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Ex2.xml" ContentType="application/vnd.ms-office.chartex+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drawings/drawing8.xml" ContentType="application/vnd.openxmlformats-officedocument.drawing+xml"/>
  <Override PartName="/xl/charts/chartEx3.xml" ContentType="application/vnd.ms-office.chartex+xml"/>
  <Override PartName="/xl/charts/style8.xml" ContentType="application/vnd.ms-office.chartstyle+xml"/>
  <Override PartName="/xl/charts/colors8.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9.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charts/chartEx4.xml" ContentType="application/vnd.ms-office.chartex+xml"/>
  <Override PartName="/xl/charts/style11.xml" ContentType="application/vnd.ms-office.chartstyle+xml"/>
  <Override PartName="/xl/charts/colors11.xml" ContentType="application/vnd.ms-office.chartcolorstyle+xml"/>
  <Override PartName="/xl/charts/chartEx5.xml" ContentType="application/vnd.ms-office.chartex+xml"/>
  <Override PartName="/xl/charts/style12.xml" ContentType="application/vnd.ms-office.chartstyle+xml"/>
  <Override PartName="/xl/charts/colors12.xml" ContentType="application/vnd.ms-office.chartcolorstyle+xml"/>
  <Override PartName="/xl/charts/chartEx6.xml" ContentType="application/vnd.ms-office.chartex+xml"/>
  <Override PartName="/xl/charts/style13.xml" ContentType="application/vnd.ms-office.chartstyle+xml"/>
  <Override PartName="/xl/charts/colors13.xml" ContentType="application/vnd.ms-office.chartcolorstyle+xml"/>
  <Override PartName="/xl/charts/chart8.xml" ContentType="application/vnd.openxmlformats-officedocument.drawingml.chart+xml"/>
  <Override PartName="/xl/charts/style14.xml" ContentType="application/vnd.ms-office.chartstyle+xml"/>
  <Override PartName="/xl/charts/colors14.xml" ContentType="application/vnd.ms-office.chartcolorstyle+xml"/>
  <Override PartName="/xl/charts/chart9.xml" ContentType="application/vnd.openxmlformats-officedocument.drawingml.chart+xml"/>
  <Override PartName="/xl/charts/style15.xml" ContentType="application/vnd.ms-office.chartstyle+xml"/>
  <Override PartName="/xl/charts/colors15.xml" ContentType="application/vnd.ms-office.chartcolorstyle+xml"/>
  <Override PartName="/xl/charts/chart10.xml" ContentType="application/vnd.openxmlformats-officedocument.drawingml.chart+xml"/>
  <Override PartName="/xl/charts/style16.xml" ContentType="application/vnd.ms-office.chartstyle+xml"/>
  <Override PartName="/xl/charts/colors1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Sarki B\OneDrive\Documents\DATA SCIENCE\LECTURE DATA\RAW DATA\Processed Data\"/>
    </mc:Choice>
  </mc:AlternateContent>
  <xr:revisionPtr revIDLastSave="0" documentId="13_ncr:1_{2F7305CF-88C5-4F31-8EAB-57AFCB4AA527}" xr6:coauthVersionLast="47" xr6:coauthVersionMax="47" xr10:uidLastSave="{00000000-0000-0000-0000-000000000000}"/>
  <bookViews>
    <workbookView xWindow="-120" yWindow="-120" windowWidth="20730" windowHeight="11040" firstSheet="9" activeTab="10" xr2:uid="{26AF0FC9-10E8-424F-90F8-9853A2F8FA2B}"/>
  </bookViews>
  <sheets>
    <sheet name="Count of Employee (Job Title)" sheetId="3" r:id="rId1"/>
    <sheet name="Salary by Department" sheetId="4" r:id="rId2"/>
    <sheet name="Salary by Business Unit" sheetId="5" r:id="rId3"/>
    <sheet name="Most Dominant Ethnic Group" sheetId="7" r:id="rId4"/>
    <sheet name="Bonus Pay by Department" sheetId="8" r:id="rId5"/>
    <sheet name="Hire By Day" sheetId="9" r:id="rId6"/>
    <sheet name="Hire by Month" sheetId="10" r:id="rId7"/>
    <sheet name="Hire by Year" sheetId="11" r:id="rId8"/>
    <sheet name="Gender Count by Department" sheetId="13" r:id="rId9"/>
    <sheet name="Number of Exited Employees" sheetId="15" r:id="rId10"/>
    <sheet name="Dashboard" sheetId="12" r:id="rId11"/>
    <sheet name="Employee Sample Data 1 (2)" sheetId="2" r:id="rId12"/>
  </sheets>
  <definedNames>
    <definedName name="_xlchart.v1.0" hidden="1">'Bonus Pay by Department'!$D$3:$D$9</definedName>
    <definedName name="_xlchart.v1.1" hidden="1">'Bonus Pay by Department'!$F$3:$F$9</definedName>
    <definedName name="_xlchart.v1.10" hidden="1">'Bonus Pay by Department'!$F$3:$F$9</definedName>
    <definedName name="_xlchart.v1.11" hidden="1">'Hire by Month'!$E$3:$E$14</definedName>
    <definedName name="_xlchart.v1.12" hidden="1">'Hire by Month'!$F$3:$F$14</definedName>
    <definedName name="_xlchart.v1.13" hidden="1">'Hire by Month'!$G$3:$G$14</definedName>
    <definedName name="_xlchart.v1.2" hidden="1">'Hire by Month'!$E$3:$E$14</definedName>
    <definedName name="_xlchart.v1.3" hidden="1">'Hire by Month'!$F$3:$F$14</definedName>
    <definedName name="_xlchart.v1.4" hidden="1">'Hire by Month'!$G$3:$G$14</definedName>
    <definedName name="_xlchart.v1.9" hidden="1">'Bonus Pay by Department'!$D$3:$D$9</definedName>
    <definedName name="_xlchart.v2.5" hidden="1">'Hire by Year'!$D$4:$D$13</definedName>
    <definedName name="_xlchart.v2.6" hidden="1">'Hire by Year'!$F$4:$F$13</definedName>
    <definedName name="_xlchart.v2.7" hidden="1">'Hire by Year'!$D$4:$D$13</definedName>
    <definedName name="_xlchart.v2.8" hidden="1">'Hire by Year'!$F$4:$F$13</definedName>
    <definedName name="ExternalData_1" localSheetId="11" hidden="1">'Employee Sample Data 1 (2)'!$A$1:$S$832</definedName>
    <definedName name="Slicer_Country">#N/A</definedName>
    <definedName name="Slicer_Ethnicity">#N/A</definedName>
  </definedNames>
  <calcPr calcId="191029"/>
  <pivotCaches>
    <pivotCache cacheId="0"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 i="2" l="1"/>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2"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501" i="2"/>
  <c r="T502" i="2"/>
  <c r="T503" i="2"/>
  <c r="T504" i="2"/>
  <c r="T505" i="2"/>
  <c r="T506" i="2"/>
  <c r="T507" i="2"/>
  <c r="T508" i="2"/>
  <c r="T509" i="2"/>
  <c r="T510" i="2"/>
  <c r="T511" i="2"/>
  <c r="T512" i="2"/>
  <c r="T513" i="2"/>
  <c r="T514" i="2"/>
  <c r="T515" i="2"/>
  <c r="T516" i="2"/>
  <c r="T517" i="2"/>
  <c r="T518" i="2"/>
  <c r="T519" i="2"/>
  <c r="T520" i="2"/>
  <c r="T521" i="2"/>
  <c r="T522" i="2"/>
  <c r="T523" i="2"/>
  <c r="T524" i="2"/>
  <c r="T525" i="2"/>
  <c r="T526" i="2"/>
  <c r="T527" i="2"/>
  <c r="T528" i="2"/>
  <c r="T529" i="2"/>
  <c r="T530" i="2"/>
  <c r="T531" i="2"/>
  <c r="T532" i="2"/>
  <c r="T533" i="2"/>
  <c r="T534" i="2"/>
  <c r="T535" i="2"/>
  <c r="T536" i="2"/>
  <c r="T537" i="2"/>
  <c r="T538" i="2"/>
  <c r="T539" i="2"/>
  <c r="T540" i="2"/>
  <c r="T541" i="2"/>
  <c r="T542" i="2"/>
  <c r="T543" i="2"/>
  <c r="T544" i="2"/>
  <c r="T545" i="2"/>
  <c r="T546" i="2"/>
  <c r="T547" i="2"/>
  <c r="T548" i="2"/>
  <c r="T549" i="2"/>
  <c r="T550" i="2"/>
  <c r="T551" i="2"/>
  <c r="T552" i="2"/>
  <c r="T553" i="2"/>
  <c r="T554" i="2"/>
  <c r="T555" i="2"/>
  <c r="T556" i="2"/>
  <c r="T557" i="2"/>
  <c r="T558" i="2"/>
  <c r="T559" i="2"/>
  <c r="T560" i="2"/>
  <c r="T561" i="2"/>
  <c r="T562" i="2"/>
  <c r="T563" i="2"/>
  <c r="T564" i="2"/>
  <c r="T565" i="2"/>
  <c r="T566" i="2"/>
  <c r="T567" i="2"/>
  <c r="T568" i="2"/>
  <c r="T569" i="2"/>
  <c r="T570" i="2"/>
  <c r="T571" i="2"/>
  <c r="T572" i="2"/>
  <c r="T573" i="2"/>
  <c r="T574" i="2"/>
  <c r="T575" i="2"/>
  <c r="T576" i="2"/>
  <c r="T577" i="2"/>
  <c r="T578" i="2"/>
  <c r="T579" i="2"/>
  <c r="T580" i="2"/>
  <c r="T581" i="2"/>
  <c r="T582" i="2"/>
  <c r="T583" i="2"/>
  <c r="T584" i="2"/>
  <c r="T585" i="2"/>
  <c r="T586" i="2"/>
  <c r="T587" i="2"/>
  <c r="T588" i="2"/>
  <c r="T589" i="2"/>
  <c r="T590" i="2"/>
  <c r="T591" i="2"/>
  <c r="T592" i="2"/>
  <c r="T593" i="2"/>
  <c r="T594" i="2"/>
  <c r="T595" i="2"/>
  <c r="T596" i="2"/>
  <c r="T597" i="2"/>
  <c r="T598" i="2"/>
  <c r="T599" i="2"/>
  <c r="T600" i="2"/>
  <c r="T601" i="2"/>
  <c r="T602" i="2"/>
  <c r="T603" i="2"/>
  <c r="T604" i="2"/>
  <c r="T605" i="2"/>
  <c r="T606" i="2"/>
  <c r="T607" i="2"/>
  <c r="T608" i="2"/>
  <c r="T609" i="2"/>
  <c r="T610" i="2"/>
  <c r="T611" i="2"/>
  <c r="T612" i="2"/>
  <c r="T613" i="2"/>
  <c r="T614" i="2"/>
  <c r="T615" i="2"/>
  <c r="T616" i="2"/>
  <c r="T617" i="2"/>
  <c r="T618" i="2"/>
  <c r="T619" i="2"/>
  <c r="T620" i="2"/>
  <c r="T621" i="2"/>
  <c r="T622" i="2"/>
  <c r="T623" i="2"/>
  <c r="T624" i="2"/>
  <c r="T625" i="2"/>
  <c r="T626" i="2"/>
  <c r="T627" i="2"/>
  <c r="T628" i="2"/>
  <c r="T629" i="2"/>
  <c r="T630" i="2"/>
  <c r="T631" i="2"/>
  <c r="T632" i="2"/>
  <c r="T633" i="2"/>
  <c r="T634" i="2"/>
  <c r="T635" i="2"/>
  <c r="T636" i="2"/>
  <c r="T637" i="2"/>
  <c r="T638" i="2"/>
  <c r="T639" i="2"/>
  <c r="T640" i="2"/>
  <c r="T641" i="2"/>
  <c r="T642" i="2"/>
  <c r="T643" i="2"/>
  <c r="T644" i="2"/>
  <c r="T645" i="2"/>
  <c r="T646" i="2"/>
  <c r="T647" i="2"/>
  <c r="T648" i="2"/>
  <c r="T649" i="2"/>
  <c r="T650" i="2"/>
  <c r="T651" i="2"/>
  <c r="T652" i="2"/>
  <c r="T653" i="2"/>
  <c r="T654" i="2"/>
  <c r="T655" i="2"/>
  <c r="T656" i="2"/>
  <c r="T657" i="2"/>
  <c r="T658" i="2"/>
  <c r="T659" i="2"/>
  <c r="T660" i="2"/>
  <c r="T661" i="2"/>
  <c r="T662" i="2"/>
  <c r="T663" i="2"/>
  <c r="T664" i="2"/>
  <c r="T665" i="2"/>
  <c r="T666" i="2"/>
  <c r="T667" i="2"/>
  <c r="T668" i="2"/>
  <c r="T669" i="2"/>
  <c r="T670" i="2"/>
  <c r="T671" i="2"/>
  <c r="T672" i="2"/>
  <c r="T673" i="2"/>
  <c r="T674" i="2"/>
  <c r="T675" i="2"/>
  <c r="T676" i="2"/>
  <c r="T677" i="2"/>
  <c r="T678" i="2"/>
  <c r="T679" i="2"/>
  <c r="T680" i="2"/>
  <c r="T681" i="2"/>
  <c r="T682" i="2"/>
  <c r="T683" i="2"/>
  <c r="T684" i="2"/>
  <c r="T685" i="2"/>
  <c r="T686" i="2"/>
  <c r="T687" i="2"/>
  <c r="T688" i="2"/>
  <c r="T689" i="2"/>
  <c r="T690" i="2"/>
  <c r="T691" i="2"/>
  <c r="T692" i="2"/>
  <c r="T693" i="2"/>
  <c r="T694" i="2"/>
  <c r="T695" i="2"/>
  <c r="T696" i="2"/>
  <c r="T697" i="2"/>
  <c r="T698" i="2"/>
  <c r="T699" i="2"/>
  <c r="T700" i="2"/>
  <c r="T701" i="2"/>
  <c r="T702" i="2"/>
  <c r="T703" i="2"/>
  <c r="T704" i="2"/>
  <c r="T705" i="2"/>
  <c r="T706" i="2"/>
  <c r="T707" i="2"/>
  <c r="T708" i="2"/>
  <c r="T709" i="2"/>
  <c r="T710" i="2"/>
  <c r="T711" i="2"/>
  <c r="T712" i="2"/>
  <c r="T713" i="2"/>
  <c r="T714" i="2"/>
  <c r="T715" i="2"/>
  <c r="T716" i="2"/>
  <c r="T717" i="2"/>
  <c r="T718" i="2"/>
  <c r="T719" i="2"/>
  <c r="T720" i="2"/>
  <c r="T721" i="2"/>
  <c r="T722" i="2"/>
  <c r="T723" i="2"/>
  <c r="T724" i="2"/>
  <c r="T725" i="2"/>
  <c r="T726" i="2"/>
  <c r="T727" i="2"/>
  <c r="T728" i="2"/>
  <c r="T729" i="2"/>
  <c r="T730" i="2"/>
  <c r="T731" i="2"/>
  <c r="T732" i="2"/>
  <c r="T733" i="2"/>
  <c r="T734" i="2"/>
  <c r="T735" i="2"/>
  <c r="T736" i="2"/>
  <c r="T737" i="2"/>
  <c r="T738" i="2"/>
  <c r="T739" i="2"/>
  <c r="T740" i="2"/>
  <c r="T741" i="2"/>
  <c r="T742" i="2"/>
  <c r="T743" i="2"/>
  <c r="T744" i="2"/>
  <c r="T745" i="2"/>
  <c r="T746" i="2"/>
  <c r="T747" i="2"/>
  <c r="T748" i="2"/>
  <c r="T749" i="2"/>
  <c r="T750" i="2"/>
  <c r="T751" i="2"/>
  <c r="T752" i="2"/>
  <c r="T753" i="2"/>
  <c r="T754" i="2"/>
  <c r="T755" i="2"/>
  <c r="T756" i="2"/>
  <c r="T757" i="2"/>
  <c r="T758" i="2"/>
  <c r="T759" i="2"/>
  <c r="T760" i="2"/>
  <c r="T761" i="2"/>
  <c r="T762" i="2"/>
  <c r="T763" i="2"/>
  <c r="T764" i="2"/>
  <c r="T765" i="2"/>
  <c r="T766" i="2"/>
  <c r="T767" i="2"/>
  <c r="T768" i="2"/>
  <c r="T769" i="2"/>
  <c r="T770" i="2"/>
  <c r="T771" i="2"/>
  <c r="T772" i="2"/>
  <c r="T773" i="2"/>
  <c r="T774" i="2"/>
  <c r="T775" i="2"/>
  <c r="T776" i="2"/>
  <c r="T777" i="2"/>
  <c r="T778" i="2"/>
  <c r="T779" i="2"/>
  <c r="T780" i="2"/>
  <c r="T781" i="2"/>
  <c r="T782" i="2"/>
  <c r="T783" i="2"/>
  <c r="T784" i="2"/>
  <c r="T785" i="2"/>
  <c r="T786" i="2"/>
  <c r="T787" i="2"/>
  <c r="T788" i="2"/>
  <c r="T789" i="2"/>
  <c r="T790" i="2"/>
  <c r="T791" i="2"/>
  <c r="T792" i="2"/>
  <c r="T793" i="2"/>
  <c r="T794" i="2"/>
  <c r="T795" i="2"/>
  <c r="T796" i="2"/>
  <c r="T797" i="2"/>
  <c r="T798" i="2"/>
  <c r="T799" i="2"/>
  <c r="T800" i="2"/>
  <c r="T801" i="2"/>
  <c r="T802" i="2"/>
  <c r="T803" i="2"/>
  <c r="T804" i="2"/>
  <c r="T805" i="2"/>
  <c r="T806" i="2"/>
  <c r="T807" i="2"/>
  <c r="T808" i="2"/>
  <c r="T809" i="2"/>
  <c r="T810" i="2"/>
  <c r="T811" i="2"/>
  <c r="T812" i="2"/>
  <c r="T813" i="2"/>
  <c r="T814" i="2"/>
  <c r="T815" i="2"/>
  <c r="T816" i="2"/>
  <c r="T817" i="2"/>
  <c r="T818" i="2"/>
  <c r="T819" i="2"/>
  <c r="T820" i="2"/>
  <c r="T821" i="2"/>
  <c r="T822" i="2"/>
  <c r="T823" i="2"/>
  <c r="T824" i="2"/>
  <c r="T825" i="2"/>
  <c r="T826" i="2"/>
  <c r="T827" i="2"/>
  <c r="T828" i="2"/>
  <c r="T829" i="2"/>
  <c r="T830" i="2"/>
  <c r="T831" i="2"/>
  <c r="T832" i="2"/>
  <c r="T2"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3" i="2"/>
  <c r="P4" i="2"/>
  <c r="P5" i="2"/>
  <c r="P6" i="2"/>
  <c r="P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2" i="2"/>
  <c r="G14" i="10"/>
  <c r="I4" i="15"/>
  <c r="E7" i="3"/>
  <c r="E7" i="11"/>
  <c r="I5" i="15"/>
  <c r="E4" i="8"/>
  <c r="G3" i="7"/>
  <c r="F12" i="10"/>
  <c r="G13" i="10"/>
  <c r="G4" i="7"/>
  <c r="E9" i="9"/>
  <c r="E7" i="9"/>
  <c r="H7" i="13"/>
  <c r="E8" i="3"/>
  <c r="H6" i="5"/>
  <c r="G9" i="10"/>
  <c r="F4" i="7"/>
  <c r="F5" i="10"/>
  <c r="E4" i="9"/>
  <c r="I3" i="13"/>
  <c r="F9" i="10"/>
  <c r="H4" i="5"/>
  <c r="G7" i="4"/>
  <c r="H5" i="13"/>
  <c r="H5" i="5"/>
  <c r="H8" i="4"/>
  <c r="G8" i="10"/>
  <c r="E12" i="11"/>
  <c r="G12" i="10"/>
  <c r="F3" i="10"/>
  <c r="E13" i="3"/>
  <c r="E16" i="3"/>
  <c r="H5" i="15"/>
  <c r="H3" i="5"/>
  <c r="E9" i="8"/>
  <c r="G4" i="10"/>
  <c r="E5" i="8"/>
  <c r="G11" i="10"/>
  <c r="H6" i="4"/>
  <c r="G10" i="10"/>
  <c r="I4" i="13"/>
  <c r="E5" i="11"/>
  <c r="F6" i="10"/>
  <c r="I2" i="13"/>
  <c r="F10" i="10"/>
  <c r="I8" i="13"/>
  <c r="G6" i="10"/>
  <c r="H3" i="13"/>
  <c r="E4" i="3"/>
  <c r="H3" i="4"/>
  <c r="I5" i="13"/>
  <c r="H7" i="4"/>
  <c r="H4" i="15"/>
  <c r="E7" i="8"/>
  <c r="G5" i="10"/>
  <c r="I6" i="5"/>
  <c r="F11" i="10"/>
  <c r="E3" i="9"/>
  <c r="G10" i="4"/>
  <c r="I4" i="5"/>
  <c r="F8" i="10"/>
  <c r="F7" i="10"/>
  <c r="E3" i="3"/>
  <c r="G3" i="4"/>
  <c r="E15" i="11"/>
  <c r="I6" i="4"/>
  <c r="G3" i="10"/>
  <c r="G5" i="7"/>
  <c r="I2" i="4"/>
  <c r="I5" i="4"/>
  <c r="E11" i="3"/>
  <c r="I7" i="13"/>
  <c r="G4" i="4"/>
  <c r="G8" i="4"/>
  <c r="G7" i="10"/>
  <c r="I4" i="4"/>
  <c r="E10" i="3"/>
  <c r="E8" i="11"/>
  <c r="I3" i="5"/>
  <c r="H5" i="4"/>
  <c r="I3" i="4"/>
  <c r="E11" i="11"/>
  <c r="G2" i="4"/>
  <c r="E8" i="8"/>
  <c r="I6" i="13"/>
  <c r="G5" i="4"/>
  <c r="E13" i="11"/>
  <c r="F13" i="10"/>
  <c r="F14" i="10"/>
  <c r="F5" i="7"/>
  <c r="E4" i="11"/>
  <c r="H2" i="13"/>
  <c r="I7" i="4"/>
  <c r="G2" i="7"/>
  <c r="E5" i="9"/>
  <c r="H8" i="13"/>
  <c r="E6" i="9"/>
  <c r="E6" i="8"/>
  <c r="E9" i="3"/>
  <c r="E6" i="3"/>
  <c r="E9" i="11"/>
  <c r="E12" i="3"/>
  <c r="I8" i="4"/>
  <c r="E8" i="9"/>
  <c r="H4" i="13"/>
  <c r="F2" i="7"/>
  <c r="H2" i="4"/>
  <c r="H6" i="13"/>
  <c r="E5" i="3"/>
  <c r="F3" i="7"/>
  <c r="G6" i="4"/>
  <c r="I5" i="5"/>
  <c r="E3" i="8"/>
  <c r="E10" i="11"/>
  <c r="H4" i="4"/>
  <c r="F4" i="10"/>
  <c r="E6" i="11"/>
  <c r="F12" i="11" l="1"/>
  <c r="J3" i="5"/>
  <c r="K3" i="5" s="1"/>
  <c r="H7" i="5"/>
  <c r="J4" i="5"/>
  <c r="K4" i="5" s="1"/>
  <c r="J5" i="5"/>
  <c r="K5" i="5" s="1"/>
  <c r="J6" i="5"/>
  <c r="K6" i="5" s="1"/>
  <c r="F10" i="11"/>
  <c r="F13" i="11"/>
  <c r="F11" i="11"/>
  <c r="I7" i="5"/>
  <c r="F6" i="7"/>
  <c r="G6" i="7"/>
  <c r="J2" i="13"/>
  <c r="H9" i="13"/>
  <c r="J6" i="13"/>
  <c r="H6" i="15"/>
  <c r="J4" i="15"/>
  <c r="J3" i="13"/>
  <c r="J7" i="13"/>
  <c r="I6" i="15"/>
  <c r="J4" i="13"/>
  <c r="J8" i="13"/>
  <c r="J5" i="15"/>
  <c r="J5" i="13"/>
  <c r="I9" i="13"/>
  <c r="G15" i="10"/>
  <c r="E10" i="9"/>
  <c r="F5" i="11"/>
  <c r="F7" i="11"/>
  <c r="F9" i="11"/>
  <c r="F15" i="10"/>
  <c r="F4" i="11"/>
  <c r="F6" i="11"/>
  <c r="F8" i="11"/>
  <c r="E10" i="8"/>
  <c r="F10" i="8" s="1"/>
  <c r="L6" i="5" l="1"/>
  <c r="L5" i="5"/>
  <c r="L4" i="5"/>
  <c r="J7" i="5"/>
  <c r="L3" i="5"/>
  <c r="J6" i="15"/>
  <c r="J9" i="13"/>
  <c r="H10" i="13" s="1"/>
  <c r="F8" i="8"/>
  <c r="F6" i="8"/>
  <c r="F9" i="8"/>
  <c r="F7" i="8"/>
  <c r="F5" i="8"/>
  <c r="F4" i="8"/>
  <c r="F3" i="8"/>
  <c r="I10" i="1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FDB2BB9-A8D8-443C-B102-76A920B280C1}" keepAlive="1" name="Query - Employee Sample Data 1" description="Connection to the 'Employee Sample Data 1' query in the workbook." type="5" refreshedVersion="8" background="1" saveData="1">
    <dbPr connection="Provider=Microsoft.Mashup.OleDb.1;Data Source=$Workbook$;Location=&quot;Employee Sample Data 1&quot;;Extended Properties=&quot;&quot;" command="SELECT * FROM [Employee Sample Data 1]"/>
  </connection>
</connections>
</file>

<file path=xl/sharedStrings.xml><?xml version="1.0" encoding="utf-8"?>
<sst xmlns="http://schemas.openxmlformats.org/spreadsheetml/2006/main" count="7795" uniqueCount="1823">
  <si>
    <t>Employee ID</t>
  </si>
  <si>
    <t>Full Name</t>
  </si>
  <si>
    <t>Job Title</t>
  </si>
  <si>
    <t>Department</t>
  </si>
  <si>
    <t>Business Unit</t>
  </si>
  <si>
    <t>Gender</t>
  </si>
  <si>
    <t>Ethnicity</t>
  </si>
  <si>
    <t>Age</t>
  </si>
  <si>
    <t>Hire Date</t>
  </si>
  <si>
    <t>Annual Salary</t>
  </si>
  <si>
    <t>Bonus %</t>
  </si>
  <si>
    <t>Country</t>
  </si>
  <si>
    <t>City</t>
  </si>
  <si>
    <t>Exit Date</t>
  </si>
  <si>
    <t>E02002</t>
  </si>
  <si>
    <t>Kai Le</t>
  </si>
  <si>
    <t>Controls Engineer</t>
  </si>
  <si>
    <t>Engineering</t>
  </si>
  <si>
    <t>Manufacturing</t>
  </si>
  <si>
    <t>Male</t>
  </si>
  <si>
    <t>Asian</t>
  </si>
  <si>
    <t>United States</t>
  </si>
  <si>
    <t>Columbus</t>
  </si>
  <si>
    <t>E02003</t>
  </si>
  <si>
    <t>Robert Patel</t>
  </si>
  <si>
    <t>Analyst</t>
  </si>
  <si>
    <t>Sales</t>
  </si>
  <si>
    <t>Corporate</t>
  </si>
  <si>
    <t>Chicago</t>
  </si>
  <si>
    <t>E02004</t>
  </si>
  <si>
    <t>Cameron Lo</t>
  </si>
  <si>
    <t>Network Administrator</t>
  </si>
  <si>
    <t>IT</t>
  </si>
  <si>
    <t>Research &amp; Development</t>
  </si>
  <si>
    <t>China</t>
  </si>
  <si>
    <t>Shanghai</t>
  </si>
  <si>
    <t>E02005</t>
  </si>
  <si>
    <t>Harper Castillo</t>
  </si>
  <si>
    <t>IT Systems Architect</t>
  </si>
  <si>
    <t>Female</t>
  </si>
  <si>
    <t>Latino</t>
  </si>
  <si>
    <t>Seattle</t>
  </si>
  <si>
    <t>E02006</t>
  </si>
  <si>
    <t>Harper Dominguez</t>
  </si>
  <si>
    <t>Director</t>
  </si>
  <si>
    <t>Austin</t>
  </si>
  <si>
    <t>E02007</t>
  </si>
  <si>
    <t>Ezra Vu</t>
  </si>
  <si>
    <t>Phoenix</t>
  </si>
  <si>
    <t>E02008</t>
  </si>
  <si>
    <t>Jade Hu</t>
  </si>
  <si>
    <t>Sr. Analyst</t>
  </si>
  <si>
    <t>Accounting</t>
  </si>
  <si>
    <t>Specialty Products</t>
  </si>
  <si>
    <t>Chongqing</t>
  </si>
  <si>
    <t>E02009</t>
  </si>
  <si>
    <t>Miles Chang</t>
  </si>
  <si>
    <t>Analyst II</t>
  </si>
  <si>
    <t>Finance</t>
  </si>
  <si>
    <t>Chengdu</t>
  </si>
  <si>
    <t>E02010</t>
  </si>
  <si>
    <t>Gianna Holmes</t>
  </si>
  <si>
    <t>System Administrator </t>
  </si>
  <si>
    <t>Caucasian</t>
  </si>
  <si>
    <t>E02011</t>
  </si>
  <si>
    <t>Jameson Thomas</t>
  </si>
  <si>
    <t>Manager</t>
  </si>
  <si>
    <t>Miami</t>
  </si>
  <si>
    <t>E02012</t>
  </si>
  <si>
    <t>Jameson Pena</t>
  </si>
  <si>
    <t>Systems Analyst</t>
  </si>
  <si>
    <t>E02013</t>
  </si>
  <si>
    <t>Bella Wu</t>
  </si>
  <si>
    <t>E02014</t>
  </si>
  <si>
    <t>Jose Wong</t>
  </si>
  <si>
    <t>E02015</t>
  </si>
  <si>
    <t>Lucas Richardson</t>
  </si>
  <si>
    <t>Marketing</t>
  </si>
  <si>
    <t>E02016</t>
  </si>
  <si>
    <t>Jacob Moore</t>
  </si>
  <si>
    <t>Sr. Manager</t>
  </si>
  <si>
    <t>Black</t>
  </si>
  <si>
    <t>E02017</t>
  </si>
  <si>
    <t>Luna Lu</t>
  </si>
  <si>
    <t>E02018</t>
  </si>
  <si>
    <t>Bella Tran</t>
  </si>
  <si>
    <t>Vice President</t>
  </si>
  <si>
    <t>E02019</t>
  </si>
  <si>
    <t>Ivy Chau</t>
  </si>
  <si>
    <t>E02020</t>
  </si>
  <si>
    <t>Jordan Kumar</t>
  </si>
  <si>
    <t>Service Desk Analyst</t>
  </si>
  <si>
    <t>E02021</t>
  </si>
  <si>
    <t>Sophia Gutierrez</t>
  </si>
  <si>
    <t>E02022</t>
  </si>
  <si>
    <t>Eli Dang</t>
  </si>
  <si>
    <t>E02023</t>
  </si>
  <si>
    <t>Lillian Lewis</t>
  </si>
  <si>
    <t>Technical Architect</t>
  </si>
  <si>
    <t>E02024</t>
  </si>
  <si>
    <t>Serenity Cao</t>
  </si>
  <si>
    <t>Account Representative</t>
  </si>
  <si>
    <t>E02025</t>
  </si>
  <si>
    <t>Parker Lai</t>
  </si>
  <si>
    <t>E02026</t>
  </si>
  <si>
    <t>Charles Simmons</t>
  </si>
  <si>
    <t>E02027</t>
  </si>
  <si>
    <t>Jayden Luu</t>
  </si>
  <si>
    <t>Beijing</t>
  </si>
  <si>
    <t>E02028</t>
  </si>
  <si>
    <t>Brooks Richardson</t>
  </si>
  <si>
    <t>E02029</t>
  </si>
  <si>
    <t>Ivy Thompson</t>
  </si>
  <si>
    <t>E02030</t>
  </si>
  <si>
    <t>Peyton Wright</t>
  </si>
  <si>
    <t>E02031</t>
  </si>
  <si>
    <t>Wyatt Dinh</t>
  </si>
  <si>
    <t>E02032</t>
  </si>
  <si>
    <t>Ruby Alexander</t>
  </si>
  <si>
    <t>E02033</t>
  </si>
  <si>
    <t>Axel Oh</t>
  </si>
  <si>
    <t>E02034</t>
  </si>
  <si>
    <t>Axel Ramirez</t>
  </si>
  <si>
    <t>Human Resources</t>
  </si>
  <si>
    <t>E02035</t>
  </si>
  <si>
    <t>Liliana Chang</t>
  </si>
  <si>
    <t>E02036</t>
  </si>
  <si>
    <t>Leonardo Carter</t>
  </si>
  <si>
    <t>Business Partner</t>
  </si>
  <si>
    <t>E02037</t>
  </si>
  <si>
    <t>Landon Gonzales</t>
  </si>
  <si>
    <t>Test Engineer</t>
  </si>
  <si>
    <t>E02038</t>
  </si>
  <si>
    <t>Amelia Dominguez</t>
  </si>
  <si>
    <t>Brazil</t>
  </si>
  <si>
    <t>Rio de Janeiro</t>
  </si>
  <si>
    <t>E02039</t>
  </si>
  <si>
    <t>Silas Ross</t>
  </si>
  <si>
    <t>E02040</t>
  </si>
  <si>
    <t>Jeremiah Cheng</t>
  </si>
  <si>
    <t>E02041</t>
  </si>
  <si>
    <t>Chloe Chin</t>
  </si>
  <si>
    <t>E02042</t>
  </si>
  <si>
    <t>Ella Martinez</t>
  </si>
  <si>
    <t>E02043</t>
  </si>
  <si>
    <t>Gianna Jones</t>
  </si>
  <si>
    <t>E02044</t>
  </si>
  <si>
    <t>Austin Chow</t>
  </si>
  <si>
    <t>E02045</t>
  </si>
  <si>
    <t>Ella Chen</t>
  </si>
  <si>
    <t>E02046</t>
  </si>
  <si>
    <t>Ruby Kaur</t>
  </si>
  <si>
    <t>E02047</t>
  </si>
  <si>
    <t>Savannah Morales</t>
  </si>
  <si>
    <t>E02048</t>
  </si>
  <si>
    <t>Luca Powell</t>
  </si>
  <si>
    <t>IT Coordinator</t>
  </si>
  <si>
    <t>E02049</t>
  </si>
  <si>
    <t>Parker Thao</t>
  </si>
  <si>
    <t>E02050</t>
  </si>
  <si>
    <t>Ryan Vo</t>
  </si>
  <si>
    <t>Cloud Infrastructure Architect</t>
  </si>
  <si>
    <t>E02051</t>
  </si>
  <si>
    <t>Isabella Ngo</t>
  </si>
  <si>
    <t>E02052</t>
  </si>
  <si>
    <t>Leah Vega</t>
  </si>
  <si>
    <t>E02053</t>
  </si>
  <si>
    <t>Jaxson Liu</t>
  </si>
  <si>
    <t>E02054</t>
  </si>
  <si>
    <t>Santiago f Ross</t>
  </si>
  <si>
    <t>Enterprise Architect</t>
  </si>
  <si>
    <t>E02055</t>
  </si>
  <si>
    <t>Layla Bell</t>
  </si>
  <si>
    <t>E02056</t>
  </si>
  <si>
    <t>Bella Morales</t>
  </si>
  <si>
    <t>E02057</t>
  </si>
  <si>
    <t>Eliza Kang</t>
  </si>
  <si>
    <t>Computer Systems Manager</t>
  </si>
  <si>
    <t>E02058</t>
  </si>
  <si>
    <t>Gabriel Reyes</t>
  </si>
  <si>
    <t>Sao Paulo</t>
  </si>
  <si>
    <t>E02059</t>
  </si>
  <si>
    <t>Piper Garcia</t>
  </si>
  <si>
    <t>E02060</t>
  </si>
  <si>
    <t>Jacob Cheng</t>
  </si>
  <si>
    <t>E02061</t>
  </si>
  <si>
    <t>Nathan Hong</t>
  </si>
  <si>
    <t>E02062</t>
  </si>
  <si>
    <t>Chloe Kim</t>
  </si>
  <si>
    <t>E02063</t>
  </si>
  <si>
    <t>Isaac Guzman</t>
  </si>
  <si>
    <t>E02064</t>
  </si>
  <si>
    <t>Julian Ford</t>
  </si>
  <si>
    <t>E02065</t>
  </si>
  <si>
    <t>Kinsley Liang</t>
  </si>
  <si>
    <t>Automation Engineer</t>
  </si>
  <si>
    <t>E02066</t>
  </si>
  <si>
    <t>Wesley Yu</t>
  </si>
  <si>
    <t>E02067</t>
  </si>
  <si>
    <t>Serenity Martin</t>
  </si>
  <si>
    <t>E02068</t>
  </si>
  <si>
    <t>Ethan Sanchez</t>
  </si>
  <si>
    <t>E02069</t>
  </si>
  <si>
    <t>David Sanchez</t>
  </si>
  <si>
    <t>E02070</t>
  </si>
  <si>
    <t>Elias Hsu</t>
  </si>
  <si>
    <t>E02071</t>
  </si>
  <si>
    <t>Luca Phan</t>
  </si>
  <si>
    <t>E02072</t>
  </si>
  <si>
    <t>Olivia Xi</t>
  </si>
  <si>
    <t>E02073</t>
  </si>
  <si>
    <t>Alice Luu</t>
  </si>
  <si>
    <t>E02074</t>
  </si>
  <si>
    <t>Leonardo Ng</t>
  </si>
  <si>
    <t>E02075</t>
  </si>
  <si>
    <t>Peyton Edwards</t>
  </si>
  <si>
    <t>E02076</t>
  </si>
  <si>
    <t>Axel Patel</t>
  </si>
  <si>
    <t>E02077</t>
  </si>
  <si>
    <t>Eva Chavez</t>
  </si>
  <si>
    <t>E02078</t>
  </si>
  <si>
    <t>Savannah Lee</t>
  </si>
  <si>
    <t>E02079</t>
  </si>
  <si>
    <t>Mia Grant</t>
  </si>
  <si>
    <t>Solutions Architect</t>
  </si>
  <si>
    <t>E02080</t>
  </si>
  <si>
    <t>Eli Richardson</t>
  </si>
  <si>
    <t>E02081</t>
  </si>
  <si>
    <t>Eloise Perry</t>
  </si>
  <si>
    <t>Sr. Business Partner</t>
  </si>
  <si>
    <t>E02082</t>
  </si>
  <si>
    <t>Ian Cheng</t>
  </si>
  <si>
    <t>E02083</t>
  </si>
  <si>
    <t>Penelope Chan</t>
  </si>
  <si>
    <t>E02084</t>
  </si>
  <si>
    <t>Sofia Vasquez</t>
  </si>
  <si>
    <t>E02085</t>
  </si>
  <si>
    <t>Anthony Baker</t>
  </si>
  <si>
    <t>E02086</t>
  </si>
  <si>
    <t>Lucas Luong</t>
  </si>
  <si>
    <t>E02087</t>
  </si>
  <si>
    <t>Xavier Patel</t>
  </si>
  <si>
    <t>E02088</t>
  </si>
  <si>
    <t>Robert Soto</t>
  </si>
  <si>
    <t>HRIS Analyst</t>
  </si>
  <si>
    <t>E02089</t>
  </si>
  <si>
    <t>Nevaeh Jiang</t>
  </si>
  <si>
    <t>E02090</t>
  </si>
  <si>
    <t>Chloe Reyes</t>
  </si>
  <si>
    <t>E02091</t>
  </si>
  <si>
    <t>Lucy Edwards</t>
  </si>
  <si>
    <t>E02092</t>
  </si>
  <si>
    <t>Luna Edwards</t>
  </si>
  <si>
    <t>E02093</t>
  </si>
  <si>
    <t>Stella Daniels</t>
  </si>
  <si>
    <t>E02094</t>
  </si>
  <si>
    <t>Ayla Ma</t>
  </si>
  <si>
    <t>E02095</t>
  </si>
  <si>
    <t>Matthew Avila</t>
  </si>
  <si>
    <t>E02096</t>
  </si>
  <si>
    <t>Gianna Lim</t>
  </si>
  <si>
    <t>E02097</t>
  </si>
  <si>
    <t>Joseph Tan</t>
  </si>
  <si>
    <t>E02098</t>
  </si>
  <si>
    <t>Connor Lai</t>
  </si>
  <si>
    <t>Engineering Manager</t>
  </si>
  <si>
    <t>E02099</t>
  </si>
  <si>
    <t>Ava Owens</t>
  </si>
  <si>
    <t>E02100</t>
  </si>
  <si>
    <t>Dylan Aguilar</t>
  </si>
  <si>
    <t>E02101</t>
  </si>
  <si>
    <t>Leah Zheng</t>
  </si>
  <si>
    <t>E02102</t>
  </si>
  <si>
    <t>Jade Pham</t>
  </si>
  <si>
    <t>E02103</t>
  </si>
  <si>
    <t>Theodore Bui</t>
  </si>
  <si>
    <t>E02104</t>
  </si>
  <si>
    <t>Asher Chan</t>
  </si>
  <si>
    <t>E02105</t>
  </si>
  <si>
    <t>Ezekiel Brown</t>
  </si>
  <si>
    <t>E02106</t>
  </si>
  <si>
    <t>Peyton Allen</t>
  </si>
  <si>
    <t>E02107</t>
  </si>
  <si>
    <t>Parker Joseph</t>
  </si>
  <si>
    <t>E02108</t>
  </si>
  <si>
    <t>Kayden Ortiz</t>
  </si>
  <si>
    <t>Manaus</t>
  </si>
  <si>
    <t>E02109</t>
  </si>
  <si>
    <t>Lillian Desai</t>
  </si>
  <si>
    <t>Field Engineer</t>
  </si>
  <si>
    <t>E02110</t>
  </si>
  <si>
    <t>Avery Gutierrez</t>
  </si>
  <si>
    <t>E02111</t>
  </si>
  <si>
    <t>Caroline Sandoval</t>
  </si>
  <si>
    <t>E02112</t>
  </si>
  <si>
    <t>Hailey Lim</t>
  </si>
  <si>
    <t>E02113</t>
  </si>
  <si>
    <t>Roman Liang</t>
  </si>
  <si>
    <t>E02114</t>
  </si>
  <si>
    <t>Elias Rojas</t>
  </si>
  <si>
    <t>E02115</t>
  </si>
  <si>
    <t>Quinn Lai</t>
  </si>
  <si>
    <t>E02116</t>
  </si>
  <si>
    <t>Clara Le</t>
  </si>
  <si>
    <t>E02117</t>
  </si>
  <si>
    <t>Chloe Yoon</t>
  </si>
  <si>
    <t>E02118</t>
  </si>
  <si>
    <t>Abigail Simmons</t>
  </si>
  <si>
    <t>E02119</t>
  </si>
  <si>
    <t>Ayla Espinoza</t>
  </si>
  <si>
    <t>E02120</t>
  </si>
  <si>
    <t>Nova Lin</t>
  </si>
  <si>
    <t>E02121</t>
  </si>
  <si>
    <t>Sadie Singh</t>
  </si>
  <si>
    <t>E02122</t>
  </si>
  <si>
    <t>Aaron Powell</t>
  </si>
  <si>
    <t>E02123</t>
  </si>
  <si>
    <t>Jameson Vargas</t>
  </si>
  <si>
    <t>E02124</t>
  </si>
  <si>
    <t>Logan Young</t>
  </si>
  <si>
    <t>E02125</t>
  </si>
  <si>
    <t>Wyatt Cheung</t>
  </si>
  <si>
    <t>E02126</t>
  </si>
  <si>
    <t>Lucas Zhu</t>
  </si>
  <si>
    <t>E02127</t>
  </si>
  <si>
    <t>Emily Hong</t>
  </si>
  <si>
    <t>E02128</t>
  </si>
  <si>
    <t>Luke Ramos</t>
  </si>
  <si>
    <t>E02129</t>
  </si>
  <si>
    <t>Maya Gupta</t>
  </si>
  <si>
    <t>E02130</t>
  </si>
  <si>
    <t>Eliana Ha</t>
  </si>
  <si>
    <t>E02131</t>
  </si>
  <si>
    <t>Lillian Cheng</t>
  </si>
  <si>
    <t>E02132</t>
  </si>
  <si>
    <t>Alexander Pena</t>
  </si>
  <si>
    <t>E02133</t>
  </si>
  <si>
    <t>Leonardo Mai</t>
  </si>
  <si>
    <t>E02134</t>
  </si>
  <si>
    <t>Jack Phillips</t>
  </si>
  <si>
    <t>E02135</t>
  </si>
  <si>
    <t>Scarlett Delgado</t>
  </si>
  <si>
    <t>E02136</t>
  </si>
  <si>
    <t>Jack Rogers</t>
  </si>
  <si>
    <t>E02137</t>
  </si>
  <si>
    <t>Violet Huynh</t>
  </si>
  <si>
    <t>E02138</t>
  </si>
  <si>
    <t>Victoria Park</t>
  </si>
  <si>
    <t>E02139</t>
  </si>
  <si>
    <t>Elizabeth Rodriguez</t>
  </si>
  <si>
    <t>E02140</t>
  </si>
  <si>
    <t>Samuel Kumar</t>
  </si>
  <si>
    <t>Network Engineer</t>
  </si>
  <si>
    <t>E02141</t>
  </si>
  <si>
    <t>Zoe Maldonado</t>
  </si>
  <si>
    <t>E02142</t>
  </si>
  <si>
    <t>Natalia Richardson</t>
  </si>
  <si>
    <t>E02143</t>
  </si>
  <si>
    <t>Madeline Contreras</t>
  </si>
  <si>
    <t>E02144</t>
  </si>
  <si>
    <t>Raelynn Espinoza</t>
  </si>
  <si>
    <t>E02145</t>
  </si>
  <si>
    <t>Noah Rojas</t>
  </si>
  <si>
    <t>E02146</t>
  </si>
  <si>
    <t>Jack Ramos</t>
  </si>
  <si>
    <t>E02147</t>
  </si>
  <si>
    <t>Riley King</t>
  </si>
  <si>
    <t>E02148</t>
  </si>
  <si>
    <t>Naomi Lee</t>
  </si>
  <si>
    <t>E02149</t>
  </si>
  <si>
    <t>Caleb Jones</t>
  </si>
  <si>
    <t>E02150</t>
  </si>
  <si>
    <t>Peyton Alvarado</t>
  </si>
  <si>
    <t>E02151</t>
  </si>
  <si>
    <t>Luca Liu</t>
  </si>
  <si>
    <t>E02152</t>
  </si>
  <si>
    <t>Christian Johnson</t>
  </si>
  <si>
    <t>Network Architect</t>
  </si>
  <si>
    <t>E02153</t>
  </si>
  <si>
    <t>Kinsley Gonzales</t>
  </si>
  <si>
    <t>E02154</t>
  </si>
  <si>
    <t>Hunter Yoon</t>
  </si>
  <si>
    <t>E02155</t>
  </si>
  <si>
    <t>Elias Dixon</t>
  </si>
  <si>
    <t>E02156</t>
  </si>
  <si>
    <t>Owen Guerrero</t>
  </si>
  <si>
    <t>E02157</t>
  </si>
  <si>
    <t>Lucas Lo</t>
  </si>
  <si>
    <t>E02158</t>
  </si>
  <si>
    <t>Hunter Mitchell</t>
  </si>
  <si>
    <t>E02159</t>
  </si>
  <si>
    <t>Eliana Bailey</t>
  </si>
  <si>
    <t>E02160</t>
  </si>
  <si>
    <t>Gabriella Choi</t>
  </si>
  <si>
    <t>E02161</t>
  </si>
  <si>
    <t>Evelyn Alvarado</t>
  </si>
  <si>
    <t>E02162</t>
  </si>
  <si>
    <t>Wyatt Chan</t>
  </si>
  <si>
    <t>E02163</t>
  </si>
  <si>
    <t>Sarah Johnson</t>
  </si>
  <si>
    <t>E02164</t>
  </si>
  <si>
    <t>Brooks Evans</t>
  </si>
  <si>
    <t>Sr. Account Representative</t>
  </si>
  <si>
    <t>E02165</t>
  </si>
  <si>
    <t>Isaiah Dixon</t>
  </si>
  <si>
    <t>Development Engineer</t>
  </si>
  <si>
    <t>E02166</t>
  </si>
  <si>
    <t>Addison Lo</t>
  </si>
  <si>
    <t>E02167</t>
  </si>
  <si>
    <t>Nolan Howard</t>
  </si>
  <si>
    <t>Quality Engineer</t>
  </si>
  <si>
    <t>E02168</t>
  </si>
  <si>
    <t>Paisley Dominguez</t>
  </si>
  <si>
    <t>E02169</t>
  </si>
  <si>
    <t>Eliana Ho</t>
  </si>
  <si>
    <t>E02170</t>
  </si>
  <si>
    <t>Charles Miller</t>
  </si>
  <si>
    <t>E02171</t>
  </si>
  <si>
    <t>Mia Jiang</t>
  </si>
  <si>
    <t>E02172</t>
  </si>
  <si>
    <t>Skylar Parker</t>
  </si>
  <si>
    <t>E02173</t>
  </si>
  <si>
    <t>Zoey Leung</t>
  </si>
  <si>
    <t>E02174</t>
  </si>
  <si>
    <t>Austin Moua</t>
  </si>
  <si>
    <t>E02175</t>
  </si>
  <si>
    <t>Christopher Robinson</t>
  </si>
  <si>
    <t>E02176</t>
  </si>
  <si>
    <t>Jayden Zhang</t>
  </si>
  <si>
    <t>E02177</t>
  </si>
  <si>
    <t>Cora Mejia</t>
  </si>
  <si>
    <t>E02178</t>
  </si>
  <si>
    <t>Julian Harris</t>
  </si>
  <si>
    <t>Operations Engineer</t>
  </si>
  <si>
    <t>E02179</t>
  </si>
  <si>
    <t>Anthony Espinoza</t>
  </si>
  <si>
    <t>E02180</t>
  </si>
  <si>
    <t>Aubrey Ruiz</t>
  </si>
  <si>
    <t>E02181</t>
  </si>
  <si>
    <t>Piper Tang</t>
  </si>
  <si>
    <t>E02182</t>
  </si>
  <si>
    <t>Colton Delgado</t>
  </si>
  <si>
    <t>E02183</t>
  </si>
  <si>
    <t>Madeline Chung</t>
  </si>
  <si>
    <t>E02184</t>
  </si>
  <si>
    <t>Ariana Sharma</t>
  </si>
  <si>
    <t>E02185</t>
  </si>
  <si>
    <t>Julian Marquez</t>
  </si>
  <si>
    <t>E02186</t>
  </si>
  <si>
    <t>Logan Reyes</t>
  </si>
  <si>
    <t>E02187</t>
  </si>
  <si>
    <t>Penelope Mai</t>
  </si>
  <si>
    <t>E02188</t>
  </si>
  <si>
    <t>Ryan Reed</t>
  </si>
  <si>
    <t>E02189</t>
  </si>
  <si>
    <t>Grayson Hwang</t>
  </si>
  <si>
    <t>E02190</t>
  </si>
  <si>
    <t>Ezra Tan</t>
  </si>
  <si>
    <t>E02191</t>
  </si>
  <si>
    <t>David Ha</t>
  </si>
  <si>
    <t>E02192</t>
  </si>
  <si>
    <t>Lillian Vang</t>
  </si>
  <si>
    <t>E02193</t>
  </si>
  <si>
    <t>Sofia Zhang</t>
  </si>
  <si>
    <t>E02194</t>
  </si>
  <si>
    <t>Athena Daniels</t>
  </si>
  <si>
    <t>E02195</t>
  </si>
  <si>
    <t>Jameson Shin</t>
  </si>
  <si>
    <t>E02196</t>
  </si>
  <si>
    <t>Everly Avila</t>
  </si>
  <si>
    <t>E02197</t>
  </si>
  <si>
    <t>Liam Nelson</t>
  </si>
  <si>
    <t>E02198</t>
  </si>
  <si>
    <t>Theodore Lai</t>
  </si>
  <si>
    <t>E02199</t>
  </si>
  <si>
    <t>Caroline Do</t>
  </si>
  <si>
    <t>E02200</t>
  </si>
  <si>
    <t>Josiah Ramos</t>
  </si>
  <si>
    <t>E02201</t>
  </si>
  <si>
    <t>Colton Alexander</t>
  </si>
  <si>
    <t>E02202</t>
  </si>
  <si>
    <t>Charles Ramos</t>
  </si>
  <si>
    <t>E02203</t>
  </si>
  <si>
    <t>Ellie Wilson</t>
  </si>
  <si>
    <t>E02204</t>
  </si>
  <si>
    <t>Peyton Powell</t>
  </si>
  <si>
    <t>E02205</t>
  </si>
  <si>
    <t>Hailey Rojas</t>
  </si>
  <si>
    <t>E02206</t>
  </si>
  <si>
    <t>Kai Singh</t>
  </si>
  <si>
    <t>E02207</t>
  </si>
  <si>
    <t>Ryan Rivera</t>
  </si>
  <si>
    <t>E02208</t>
  </si>
  <si>
    <t>Everett Lu</t>
  </si>
  <si>
    <t>E02209</t>
  </si>
  <si>
    <t>Layla Nunez</t>
  </si>
  <si>
    <t>E02210</t>
  </si>
  <si>
    <t>Liliana Collins</t>
  </si>
  <si>
    <t>E02211</t>
  </si>
  <si>
    <t>Ezekiel Jenkins</t>
  </si>
  <si>
    <t>E02212</t>
  </si>
  <si>
    <t>Christopher Wang</t>
  </si>
  <si>
    <t>E02213</t>
  </si>
  <si>
    <t>Savannah Rodriguez</t>
  </si>
  <si>
    <t>E02214</t>
  </si>
  <si>
    <t>Lyla Turner</t>
  </si>
  <si>
    <t>E02215</t>
  </si>
  <si>
    <t>Adrian Ngo</t>
  </si>
  <si>
    <t>E02216</t>
  </si>
  <si>
    <t>Aria Juarez</t>
  </si>
  <si>
    <t>E02217</t>
  </si>
  <si>
    <t>Audrey Ramos</t>
  </si>
  <si>
    <t>E02218</t>
  </si>
  <si>
    <t>Hazel Cho</t>
  </si>
  <si>
    <t>E02219</t>
  </si>
  <si>
    <t>Iris Chung</t>
  </si>
  <si>
    <t>E02220</t>
  </si>
  <si>
    <t>Thomas Rodriguez</t>
  </si>
  <si>
    <t>E02221</t>
  </si>
  <si>
    <t>Avery Lo</t>
  </si>
  <si>
    <t>E02222</t>
  </si>
  <si>
    <t>Gabriel Bell</t>
  </si>
  <si>
    <t>E02223</t>
  </si>
  <si>
    <t>Gianna Walker</t>
  </si>
  <si>
    <t>E02224</t>
  </si>
  <si>
    <t>Axel Bailey</t>
  </si>
  <si>
    <t>E02225</t>
  </si>
  <si>
    <t>Scarlett Green</t>
  </si>
  <si>
    <t>E02226</t>
  </si>
  <si>
    <t>Jackson Wong</t>
  </si>
  <si>
    <t>E02227</t>
  </si>
  <si>
    <t>Eva Jimenez</t>
  </si>
  <si>
    <t>E02228</t>
  </si>
  <si>
    <t>Ian Ma</t>
  </si>
  <si>
    <t>E02229</t>
  </si>
  <si>
    <t>Luna Castro</t>
  </si>
  <si>
    <t>E02230</t>
  </si>
  <si>
    <t>Nolan Brooks</t>
  </si>
  <si>
    <t>E02231</t>
  </si>
  <si>
    <t>Jayden Jones</t>
  </si>
  <si>
    <t>E02232</t>
  </si>
  <si>
    <t>Asher Hsu</t>
  </si>
  <si>
    <t>E02233</t>
  </si>
  <si>
    <t>Greyson Lim</t>
  </si>
  <si>
    <t>E02234</t>
  </si>
  <si>
    <t>Chloe Miller</t>
  </si>
  <si>
    <t>E02235</t>
  </si>
  <si>
    <t>Jaxson Brooks</t>
  </si>
  <si>
    <t>E02236</t>
  </si>
  <si>
    <t>Jack Perez</t>
  </si>
  <si>
    <t>E02237</t>
  </si>
  <si>
    <t>Ruby Reed</t>
  </si>
  <si>
    <t>E02238</t>
  </si>
  <si>
    <t>Ivy Rojas</t>
  </si>
  <si>
    <t>E02239</t>
  </si>
  <si>
    <t>Hudson Wong</t>
  </si>
  <si>
    <t>E02240</t>
  </si>
  <si>
    <t>Ryan Yi</t>
  </si>
  <si>
    <t>E02241</t>
  </si>
  <si>
    <t>Carter Simmons</t>
  </si>
  <si>
    <t>E02242</t>
  </si>
  <si>
    <t>Emilia Xu</t>
  </si>
  <si>
    <t>E02243</t>
  </si>
  <si>
    <t>Adam Medina</t>
  </si>
  <si>
    <t>E02244</t>
  </si>
  <si>
    <t>Connor Howard</t>
  </si>
  <si>
    <t>E02245</t>
  </si>
  <si>
    <t>Audrey Duong</t>
  </si>
  <si>
    <t>E02246</t>
  </si>
  <si>
    <t>Landon Reyes</t>
  </si>
  <si>
    <t>E02247</t>
  </si>
  <si>
    <t>Noah Ma</t>
  </si>
  <si>
    <t>E02248</t>
  </si>
  <si>
    <t>Lucas Alexander</t>
  </si>
  <si>
    <t>E02249</t>
  </si>
  <si>
    <t>Henry Vo</t>
  </si>
  <si>
    <t>E02250</t>
  </si>
  <si>
    <t>Mila Han</t>
  </si>
  <si>
    <t>E02251</t>
  </si>
  <si>
    <t>Genesis Herrera</t>
  </si>
  <si>
    <t>E02252</t>
  </si>
  <si>
    <t>Olivia Vazquez</t>
  </si>
  <si>
    <t>E02253</t>
  </si>
  <si>
    <t>Leilani Ng</t>
  </si>
  <si>
    <t>E02254</t>
  </si>
  <si>
    <t>Olivia Mendoza</t>
  </si>
  <si>
    <t>E02255</t>
  </si>
  <si>
    <t>Skylar Xu</t>
  </si>
  <si>
    <t>E02256</t>
  </si>
  <si>
    <t>Eloise Williams</t>
  </si>
  <si>
    <t>E02257</t>
  </si>
  <si>
    <t>Jackson Maldonado</t>
  </si>
  <si>
    <t>E02258</t>
  </si>
  <si>
    <t>Christian Harris</t>
  </si>
  <si>
    <t>E02259</t>
  </si>
  <si>
    <t>Penelope Santos</t>
  </si>
  <si>
    <t>E02260</t>
  </si>
  <si>
    <t>Nicholas Zhou</t>
  </si>
  <si>
    <t>E02261</t>
  </si>
  <si>
    <t>Ayla Garza</t>
  </si>
  <si>
    <t>E02262</t>
  </si>
  <si>
    <t>Carson Mai</t>
  </si>
  <si>
    <t>E02263</t>
  </si>
  <si>
    <t>E02264</t>
  </si>
  <si>
    <t>Anthony Ho</t>
  </si>
  <si>
    <t>E02265</t>
  </si>
  <si>
    <t>Clara Lopez</t>
  </si>
  <si>
    <t>E02266</t>
  </si>
  <si>
    <t>Melody Woods</t>
  </si>
  <si>
    <t>E02267</t>
  </si>
  <si>
    <t>Matthew Simmons</t>
  </si>
  <si>
    <t>E02268</t>
  </si>
  <si>
    <t>Gabriella Carrillo</t>
  </si>
  <si>
    <t>E02269</t>
  </si>
  <si>
    <t>Lydia Juarez</t>
  </si>
  <si>
    <t>E02270</t>
  </si>
  <si>
    <t>Ava Carrillo</t>
  </si>
  <si>
    <t>E02271</t>
  </si>
  <si>
    <t>Elena Sharma</t>
  </si>
  <si>
    <t>E02272</t>
  </si>
  <si>
    <t>Julia Ahmed</t>
  </si>
  <si>
    <t>E02273</t>
  </si>
  <si>
    <t>Iris Vo</t>
  </si>
  <si>
    <t>E02274</t>
  </si>
  <si>
    <t>Hunter Yi</t>
  </si>
  <si>
    <t>E02275</t>
  </si>
  <si>
    <t>Valentina Oh</t>
  </si>
  <si>
    <t>E02276</t>
  </si>
  <si>
    <t>Kinsley Tran</t>
  </si>
  <si>
    <t>E02277</t>
  </si>
  <si>
    <t>Christian Hong</t>
  </si>
  <si>
    <t>E02278</t>
  </si>
  <si>
    <t>Amelia Mehta</t>
  </si>
  <si>
    <t>E02279</t>
  </si>
  <si>
    <t>Axel Leung</t>
  </si>
  <si>
    <t>E02280</t>
  </si>
  <si>
    <t>Lucas Lam</t>
  </si>
  <si>
    <t>E02281</t>
  </si>
  <si>
    <t>Jose Thompson</t>
  </si>
  <si>
    <t>E02282</t>
  </si>
  <si>
    <t>Wesley Duong</t>
  </si>
  <si>
    <t>E02283</t>
  </si>
  <si>
    <t>Adeline Maldonado</t>
  </si>
  <si>
    <t>E02284</t>
  </si>
  <si>
    <t>Elias Diaz</t>
  </si>
  <si>
    <t>E02285</t>
  </si>
  <si>
    <t>Wyatt Aguilar</t>
  </si>
  <si>
    <t>E02286</t>
  </si>
  <si>
    <t>Josephine Espinoza</t>
  </si>
  <si>
    <t>E02287</t>
  </si>
  <si>
    <t>Adeline Lai</t>
  </si>
  <si>
    <t>E02288</t>
  </si>
  <si>
    <t>Christopher Vu</t>
  </si>
  <si>
    <t>E02289</t>
  </si>
  <si>
    <t>Kai Vega</t>
  </si>
  <si>
    <t>E02290</t>
  </si>
  <si>
    <t>Hailey Chin</t>
  </si>
  <si>
    <t>E02291</t>
  </si>
  <si>
    <t>Eleanor Xi</t>
  </si>
  <si>
    <t>E02292</t>
  </si>
  <si>
    <t>Lily Molina</t>
  </si>
  <si>
    <t>E02293</t>
  </si>
  <si>
    <t>Levi Vasquez</t>
  </si>
  <si>
    <t>E02294</t>
  </si>
  <si>
    <t>Elijah Washington</t>
  </si>
  <si>
    <t>E02295</t>
  </si>
  <si>
    <t>Gianna Park</t>
  </si>
  <si>
    <t>E02296</t>
  </si>
  <si>
    <t>Melody Leung</t>
  </si>
  <si>
    <t>E02297</t>
  </si>
  <si>
    <t>Liliana Valdez</t>
  </si>
  <si>
    <t>E02298</t>
  </si>
  <si>
    <t>Ezekiel Kumar</t>
  </si>
  <si>
    <t>E02299</t>
  </si>
  <si>
    <t>Ruby Rahman</t>
  </si>
  <si>
    <t>E02300</t>
  </si>
  <si>
    <t>Natalie Stewart</t>
  </si>
  <si>
    <t>E02301</t>
  </si>
  <si>
    <t>Charlotte Lim</t>
  </si>
  <si>
    <t>E02302</t>
  </si>
  <si>
    <t>Elena Campos</t>
  </si>
  <si>
    <t>E02303</t>
  </si>
  <si>
    <t>Vivian Lim</t>
  </si>
  <si>
    <t>E02304</t>
  </si>
  <si>
    <t>Madison Xu</t>
  </si>
  <si>
    <t>E02305</t>
  </si>
  <si>
    <t>Ava Aguilar</t>
  </si>
  <si>
    <t>E02306</t>
  </si>
  <si>
    <t>Kayden Patel</t>
  </si>
  <si>
    <t>E02307</t>
  </si>
  <si>
    <t>Penelope Desai</t>
  </si>
  <si>
    <t>E02308</t>
  </si>
  <si>
    <t>Henry Vang</t>
  </si>
  <si>
    <t>E02309</t>
  </si>
  <si>
    <t>Eliana Turner</t>
  </si>
  <si>
    <t>E02310</t>
  </si>
  <si>
    <t>Charlotte Tran</t>
  </si>
  <si>
    <t>E02311</t>
  </si>
  <si>
    <t>Everly Coleman</t>
  </si>
  <si>
    <t>E02312</t>
  </si>
  <si>
    <t>Matthew Harris</t>
  </si>
  <si>
    <t>E02313</t>
  </si>
  <si>
    <t>Emilia Barnes</t>
  </si>
  <si>
    <t>E02314</t>
  </si>
  <si>
    <t>Sophie Griffin</t>
  </si>
  <si>
    <t>E02315</t>
  </si>
  <si>
    <t>Kai Phillips</t>
  </si>
  <si>
    <t>E02316</t>
  </si>
  <si>
    <t>Dylan Khan</t>
  </si>
  <si>
    <t>E02317</t>
  </si>
  <si>
    <t>Nevaeh Clark</t>
  </si>
  <si>
    <t>E02318</t>
  </si>
  <si>
    <t>Carter Luu</t>
  </si>
  <si>
    <t>E02319</t>
  </si>
  <si>
    <t>Jordan Ngo</t>
  </si>
  <si>
    <t>E02320</t>
  </si>
  <si>
    <t>Jackson Hu</t>
  </si>
  <si>
    <t>E02321</t>
  </si>
  <si>
    <t>Madelyn Kang</t>
  </si>
  <si>
    <t>E02322</t>
  </si>
  <si>
    <t>Everleigh Bell</t>
  </si>
  <si>
    <t>E02323</t>
  </si>
  <si>
    <t>Eliana Trinh</t>
  </si>
  <si>
    <t>E02324</t>
  </si>
  <si>
    <t>Oliver Ford</t>
  </si>
  <si>
    <t>E02325</t>
  </si>
  <si>
    <t>Ryan Huang</t>
  </si>
  <si>
    <t>E02326</t>
  </si>
  <si>
    <t>Gabriel Ahmed</t>
  </si>
  <si>
    <t>E02327</t>
  </si>
  <si>
    <t>Ivy Rios</t>
  </si>
  <si>
    <t>E02328</t>
  </si>
  <si>
    <t>Luca Hunter</t>
  </si>
  <si>
    <t>E02329</t>
  </si>
  <si>
    <t>Claire Owens</t>
  </si>
  <si>
    <t>E02330</t>
  </si>
  <si>
    <t>Aubrey Maldonado</t>
  </si>
  <si>
    <t>E02331</t>
  </si>
  <si>
    <t>Elias Vasquez</t>
  </si>
  <si>
    <t>E02332</t>
  </si>
  <si>
    <t>Melody Luu</t>
  </si>
  <si>
    <t>E02333</t>
  </si>
  <si>
    <t>Christopher Luu</t>
  </si>
  <si>
    <t>E02334</t>
  </si>
  <si>
    <t>James Han</t>
  </si>
  <si>
    <t>E02335</t>
  </si>
  <si>
    <t>Jaxson Ayala</t>
  </si>
  <si>
    <t>E02336</t>
  </si>
  <si>
    <t>Levi James</t>
  </si>
  <si>
    <t>E02337</t>
  </si>
  <si>
    <t>Grayson Carrillo</t>
  </si>
  <si>
    <t>E02338</t>
  </si>
  <si>
    <t>Maverick Hwang</t>
  </si>
  <si>
    <t>E02339</t>
  </si>
  <si>
    <t>Noah Truong</t>
  </si>
  <si>
    <t>E02340</t>
  </si>
  <si>
    <t>Willow Guzman</t>
  </si>
  <si>
    <t>E02341</t>
  </si>
  <si>
    <t>Rylee Howard</t>
  </si>
  <si>
    <t>E02342</t>
  </si>
  <si>
    <t>Ian Marquez</t>
  </si>
  <si>
    <t>E02343</t>
  </si>
  <si>
    <t>Layla Owens</t>
  </si>
  <si>
    <t>E02344</t>
  </si>
  <si>
    <t>Chloe Dixon</t>
  </si>
  <si>
    <t>E02345</t>
  </si>
  <si>
    <t>Emily Zheng</t>
  </si>
  <si>
    <t>E02346</t>
  </si>
  <si>
    <t>Jayden Rogers</t>
  </si>
  <si>
    <t>E02347</t>
  </si>
  <si>
    <t>Elizabeth Vasquez</t>
  </si>
  <si>
    <t>E02348</t>
  </si>
  <si>
    <t>Samantha Ford</t>
  </si>
  <si>
    <t>E02349</t>
  </si>
  <si>
    <t>Thomas Silva</t>
  </si>
  <si>
    <t>E02350</t>
  </si>
  <si>
    <t>Charlotte Park</t>
  </si>
  <si>
    <t>E02351</t>
  </si>
  <si>
    <t>Liam Jimenez</t>
  </si>
  <si>
    <t>E02352</t>
  </si>
  <si>
    <t>Ivy Liu</t>
  </si>
  <si>
    <t>E02353</t>
  </si>
  <si>
    <t>Jayden Dixon</t>
  </si>
  <si>
    <t>E02354</t>
  </si>
  <si>
    <t>Nevaeh Butler</t>
  </si>
  <si>
    <t>E02355</t>
  </si>
  <si>
    <t>Leonardo Li</t>
  </si>
  <si>
    <t>E02356</t>
  </si>
  <si>
    <t>Kinsley Woods</t>
  </si>
  <si>
    <t>E02357</t>
  </si>
  <si>
    <t>Abigail Chu</t>
  </si>
  <si>
    <t>E02358</t>
  </si>
  <si>
    <t>Ava Xiong</t>
  </si>
  <si>
    <t>E02359</t>
  </si>
  <si>
    <t>Olivia Marquez</t>
  </si>
  <si>
    <t>E02360</t>
  </si>
  <si>
    <t>Claire Vazquez</t>
  </si>
  <si>
    <t>E02361</t>
  </si>
  <si>
    <t>Christian Castro</t>
  </si>
  <si>
    <t>E02362</t>
  </si>
  <si>
    <t>Mason Oh</t>
  </si>
  <si>
    <t>E02363</t>
  </si>
  <si>
    <t>Violet Santiago</t>
  </si>
  <si>
    <t>E02364</t>
  </si>
  <si>
    <t>Lily Rios</t>
  </si>
  <si>
    <t>E02365</t>
  </si>
  <si>
    <t>Kinsley Stewart</t>
  </si>
  <si>
    <t>E02366</t>
  </si>
  <si>
    <t>Aria Molina</t>
  </si>
  <si>
    <t>E02367</t>
  </si>
  <si>
    <t>James Cheng</t>
  </si>
  <si>
    <t>E02368</t>
  </si>
  <si>
    <t>Mila Vang</t>
  </si>
  <si>
    <t>E02369</t>
  </si>
  <si>
    <t>Alice Liu</t>
  </si>
  <si>
    <t>E02370</t>
  </si>
  <si>
    <t>Delilah Gonzalez</t>
  </si>
  <si>
    <t>E02371</t>
  </si>
  <si>
    <t>Samuel Tang</t>
  </si>
  <si>
    <t>E02372</t>
  </si>
  <si>
    <t>Serenity Gray</t>
  </si>
  <si>
    <t>E02373</t>
  </si>
  <si>
    <t>Benjamin Estrada</t>
  </si>
  <si>
    <t>E02374</t>
  </si>
  <si>
    <t>Wesley Han</t>
  </si>
  <si>
    <t>E02375</t>
  </si>
  <si>
    <t>Nora Herrera</t>
  </si>
  <si>
    <t>E02376</t>
  </si>
  <si>
    <t>Lincoln Harris</t>
  </si>
  <si>
    <t>E02377</t>
  </si>
  <si>
    <t>Charles Gonzales</t>
  </si>
  <si>
    <t>E02378</t>
  </si>
  <si>
    <t>Athena Cheng</t>
  </si>
  <si>
    <t>E02379</t>
  </si>
  <si>
    <t>David Garza</t>
  </si>
  <si>
    <t>E02380</t>
  </si>
  <si>
    <t>Hunter Doan</t>
  </si>
  <si>
    <t>E02381</t>
  </si>
  <si>
    <t>Julian Lam</t>
  </si>
  <si>
    <t>E02382</t>
  </si>
  <si>
    <t>Sofia Estrada</t>
  </si>
  <si>
    <t>E02383</t>
  </si>
  <si>
    <t>Jordan Chen</t>
  </si>
  <si>
    <t>E02384</t>
  </si>
  <si>
    <t>Eloise Huang</t>
  </si>
  <si>
    <t>E02385</t>
  </si>
  <si>
    <t>Ivy Mehta</t>
  </si>
  <si>
    <t>E02386</t>
  </si>
  <si>
    <t>Eli Castillo</t>
  </si>
  <si>
    <t>E02387</t>
  </si>
  <si>
    <t>Nolan Garcia</t>
  </si>
  <si>
    <t>E02388</t>
  </si>
  <si>
    <t>Alexander Zhu</t>
  </si>
  <si>
    <t>E02389</t>
  </si>
  <si>
    <t>Victoria Wu</t>
  </si>
  <si>
    <t>E02390</t>
  </si>
  <si>
    <t>Mateo Jordan</t>
  </si>
  <si>
    <t>E02391</t>
  </si>
  <si>
    <t>Everly Martin</t>
  </si>
  <si>
    <t>E02392</t>
  </si>
  <si>
    <t>Athena Castro</t>
  </si>
  <si>
    <t>E02393</t>
  </si>
  <si>
    <t>Josephine White</t>
  </si>
  <si>
    <t>E02394</t>
  </si>
  <si>
    <t>Nicholas Vo</t>
  </si>
  <si>
    <t>E02395</t>
  </si>
  <si>
    <t>Jackson Sandoval</t>
  </si>
  <si>
    <t>E02396</t>
  </si>
  <si>
    <t>Olivia Turner</t>
  </si>
  <si>
    <t>E02397</t>
  </si>
  <si>
    <t>Cooper Rivera</t>
  </si>
  <si>
    <t>E02398</t>
  </si>
  <si>
    <t>Hailey Washington</t>
  </si>
  <si>
    <t>E02399</t>
  </si>
  <si>
    <t>Mia Vasquez</t>
  </si>
  <si>
    <t>E02400</t>
  </si>
  <si>
    <t>Jose Grant</t>
  </si>
  <si>
    <t>E02401</t>
  </si>
  <si>
    <t>Nathan Yee</t>
  </si>
  <si>
    <t>E02402</t>
  </si>
  <si>
    <t>Isabella Munoz</t>
  </si>
  <si>
    <t>E02403</t>
  </si>
  <si>
    <t>Michael Turner</t>
  </si>
  <si>
    <t>E02404</t>
  </si>
  <si>
    <t>Oliver Jones</t>
  </si>
  <si>
    <t>E02405</t>
  </si>
  <si>
    <t>Charles Taylor</t>
  </si>
  <si>
    <t>E02406</t>
  </si>
  <si>
    <t>Gianna Alvarez</t>
  </si>
  <si>
    <t>E02407</t>
  </si>
  <si>
    <t>Nova Martin</t>
  </si>
  <si>
    <t>E02408</t>
  </si>
  <si>
    <t>Julia Gonzalez</t>
  </si>
  <si>
    <t>E02409</t>
  </si>
  <si>
    <t>Athena Vu</t>
  </si>
  <si>
    <t>E02410</t>
  </si>
  <si>
    <t>Caroline Bui</t>
  </si>
  <si>
    <t>E02411</t>
  </si>
  <si>
    <t>Daniel Ali</t>
  </si>
  <si>
    <t>E02412</t>
  </si>
  <si>
    <t>Iris Huang</t>
  </si>
  <si>
    <t>E02413</t>
  </si>
  <si>
    <t>Natalia Cheng</t>
  </si>
  <si>
    <t>E02414</t>
  </si>
  <si>
    <t>Owen Evans</t>
  </si>
  <si>
    <t>E02415</t>
  </si>
  <si>
    <t>Angel Dixon</t>
  </si>
  <si>
    <t>E02416</t>
  </si>
  <si>
    <t>Aubrey Guerrero</t>
  </si>
  <si>
    <t>E02417</t>
  </si>
  <si>
    <t>Ivy Do</t>
  </si>
  <si>
    <t>E02418</t>
  </si>
  <si>
    <t>Kai Gutierrez</t>
  </si>
  <si>
    <t>E02419</t>
  </si>
  <si>
    <t>Caroline Ahmed</t>
  </si>
  <si>
    <t>E02420</t>
  </si>
  <si>
    <t>Alice Sharma</t>
  </si>
  <si>
    <t>E02421</t>
  </si>
  <si>
    <t>Leo Simmons</t>
  </si>
  <si>
    <t>E02422</t>
  </si>
  <si>
    <t>Asher Hong</t>
  </si>
  <si>
    <t>E02423</t>
  </si>
  <si>
    <t>Gianna Ramirez</t>
  </si>
  <si>
    <t>E02424</t>
  </si>
  <si>
    <t>Thomas Smith</t>
  </si>
  <si>
    <t>E02425</t>
  </si>
  <si>
    <t>Carter Hunter</t>
  </si>
  <si>
    <t>E02426</t>
  </si>
  <si>
    <t>Charlotte Green</t>
  </si>
  <si>
    <t>E02427</t>
  </si>
  <si>
    <t>Lincoln Holmes</t>
  </si>
  <si>
    <t>E02428</t>
  </si>
  <si>
    <t>Hudson Hu</t>
  </si>
  <si>
    <t>E02429</t>
  </si>
  <si>
    <t>Noah Mitchell</t>
  </si>
  <si>
    <t>E02430</t>
  </si>
  <si>
    <t>Liliana Choi</t>
  </si>
  <si>
    <t>E02431</t>
  </si>
  <si>
    <t>Leonardo Cho</t>
  </si>
  <si>
    <t>E02432</t>
  </si>
  <si>
    <t>Oliver Delgado</t>
  </si>
  <si>
    <t>E02433</t>
  </si>
  <si>
    <t>Isabella Roberts</t>
  </si>
  <si>
    <t>E02434</t>
  </si>
  <si>
    <t>Luca Desai</t>
  </si>
  <si>
    <t>E02435</t>
  </si>
  <si>
    <t>William Juarez</t>
  </si>
  <si>
    <t>E02436</t>
  </si>
  <si>
    <t>Ryan Alvarez</t>
  </si>
  <si>
    <t>E02437</t>
  </si>
  <si>
    <t>Hudson Ha</t>
  </si>
  <si>
    <t>E02438</t>
  </si>
  <si>
    <t>Hannah Brown</t>
  </si>
  <si>
    <t>E02439</t>
  </si>
  <si>
    <t>Hadley Le</t>
  </si>
  <si>
    <t>E02440</t>
  </si>
  <si>
    <t>Jaxson Shah</t>
  </si>
  <si>
    <t>E02441</t>
  </si>
  <si>
    <t>Christopher Delgado</t>
  </si>
  <si>
    <t>E02442</t>
  </si>
  <si>
    <t>Hannah Ng</t>
  </si>
  <si>
    <t>E02443</t>
  </si>
  <si>
    <t>Austin Ngo</t>
  </si>
  <si>
    <t>E02444</t>
  </si>
  <si>
    <t>Gianna Han</t>
  </si>
  <si>
    <t>E02445</t>
  </si>
  <si>
    <t>Isaac Choi</t>
  </si>
  <si>
    <t>E02446</t>
  </si>
  <si>
    <t>Madeline Smith</t>
  </si>
  <si>
    <t>E02447</t>
  </si>
  <si>
    <t>Ellie Fernandez</t>
  </si>
  <si>
    <t>E02448</t>
  </si>
  <si>
    <t>Lyla Lai</t>
  </si>
  <si>
    <t>E02449</t>
  </si>
  <si>
    <t>Emily Moore</t>
  </si>
  <si>
    <t>E02450</t>
  </si>
  <si>
    <t>Aubrey Moreno</t>
  </si>
  <si>
    <t>E02451</t>
  </si>
  <si>
    <t>Nova Xiong</t>
  </si>
  <si>
    <t>E02452</t>
  </si>
  <si>
    <t>Eva Lam</t>
  </si>
  <si>
    <t>E02453</t>
  </si>
  <si>
    <t>Caroline Chau</t>
  </si>
  <si>
    <t>E02454</t>
  </si>
  <si>
    <t>Sofia Chen</t>
  </si>
  <si>
    <t>E02455</t>
  </si>
  <si>
    <t>Christopher Sharma</t>
  </si>
  <si>
    <t>E02456</t>
  </si>
  <si>
    <t>Lucas Grant</t>
  </si>
  <si>
    <t>E02457</t>
  </si>
  <si>
    <t>Delilah Washington</t>
  </si>
  <si>
    <t>E02458</t>
  </si>
  <si>
    <t>Eloise Molina</t>
  </si>
  <si>
    <t>E02459</t>
  </si>
  <si>
    <t>Clara Desai</t>
  </si>
  <si>
    <t>E02460</t>
  </si>
  <si>
    <t>Audrey Campbell</t>
  </si>
  <si>
    <t>E02461</t>
  </si>
  <si>
    <t>Delilah Alvarez</t>
  </si>
  <si>
    <t>E02462</t>
  </si>
  <si>
    <t>Luke Luna</t>
  </si>
  <si>
    <t>E02463</t>
  </si>
  <si>
    <t>Elizabeth Tan</t>
  </si>
  <si>
    <t>E02464</t>
  </si>
  <si>
    <t>Sophia Wang</t>
  </si>
  <si>
    <t>E02465</t>
  </si>
  <si>
    <t>Nova Park</t>
  </si>
  <si>
    <t>E02466</t>
  </si>
  <si>
    <t>Josiah Khan</t>
  </si>
  <si>
    <t>E02467</t>
  </si>
  <si>
    <t>Madison Gray</t>
  </si>
  <si>
    <t>E02468</t>
  </si>
  <si>
    <t>Luca Washington</t>
  </si>
  <si>
    <t>E02469</t>
  </si>
  <si>
    <t>Isaac Cruz</t>
  </si>
  <si>
    <t>E02470</t>
  </si>
  <si>
    <t>Ellie Ortega</t>
  </si>
  <si>
    <t>E02471</t>
  </si>
  <si>
    <t>Ian Huang</t>
  </si>
  <si>
    <t>E02472</t>
  </si>
  <si>
    <t>Jayden Ahmed</t>
  </si>
  <si>
    <t>E02473</t>
  </si>
  <si>
    <t>Violet Simmons</t>
  </si>
  <si>
    <t>E02474</t>
  </si>
  <si>
    <t>William Roberts</t>
  </si>
  <si>
    <t>E02475</t>
  </si>
  <si>
    <t>Penelope Sandoval</t>
  </si>
  <si>
    <t>E02476</t>
  </si>
  <si>
    <t>Emilia Ortiz</t>
  </si>
  <si>
    <t>E02477</t>
  </si>
  <si>
    <t>Layla Gutierrez</t>
  </si>
  <si>
    <t>E02478</t>
  </si>
  <si>
    <t>Dylan Vu</t>
  </si>
  <si>
    <t>E02479</t>
  </si>
  <si>
    <t>Peyton Wong</t>
  </si>
  <si>
    <t>E02480</t>
  </si>
  <si>
    <t>Santiago f Banks</t>
  </si>
  <si>
    <t>E02481</t>
  </si>
  <si>
    <t>Caroline Wong</t>
  </si>
  <si>
    <t>E02482</t>
  </si>
  <si>
    <t>Quinn Ho</t>
  </si>
  <si>
    <t>E02483</t>
  </si>
  <si>
    <t>Caroline Nunez</t>
  </si>
  <si>
    <t>E02484</t>
  </si>
  <si>
    <t>Carson Brown</t>
  </si>
  <si>
    <t>E02485</t>
  </si>
  <si>
    <t>Olivia Maldonado</t>
  </si>
  <si>
    <t>E02486</t>
  </si>
  <si>
    <t>Emilia Chung</t>
  </si>
  <si>
    <t>E02487</t>
  </si>
  <si>
    <t>Leilani Shin</t>
  </si>
  <si>
    <t>E02488</t>
  </si>
  <si>
    <t>Abigail Zhu</t>
  </si>
  <si>
    <t>E02489</t>
  </si>
  <si>
    <t>Autumn Xiong</t>
  </si>
  <si>
    <t>E02490</t>
  </si>
  <si>
    <t>Hailey Cruz</t>
  </si>
  <si>
    <t>E02491</t>
  </si>
  <si>
    <t>Piper Cruz</t>
  </si>
  <si>
    <t>E02492</t>
  </si>
  <si>
    <t>Jaxson Jackson</t>
  </si>
  <si>
    <t>E02493</t>
  </si>
  <si>
    <t>Serenity Mehta</t>
  </si>
  <si>
    <t>E02494</t>
  </si>
  <si>
    <t>Peyton Gomez</t>
  </si>
  <si>
    <t>E02495</t>
  </si>
  <si>
    <t>Ethan Vargas</t>
  </si>
  <si>
    <t>E02496</t>
  </si>
  <si>
    <t>Serenity Morris</t>
  </si>
  <si>
    <t>E02497</t>
  </si>
  <si>
    <t>Vivian Chan</t>
  </si>
  <si>
    <t>E02498</t>
  </si>
  <si>
    <t>Lincoln Singh</t>
  </si>
  <si>
    <t>E02499</t>
  </si>
  <si>
    <t>Ayla Lim</t>
  </si>
  <si>
    <t>E02500</t>
  </si>
  <si>
    <t>Leilani Hong</t>
  </si>
  <si>
    <t>E02501</t>
  </si>
  <si>
    <t>Victoria Doan</t>
  </si>
  <si>
    <t>E02502</t>
  </si>
  <si>
    <t>Naomi Wright</t>
  </si>
  <si>
    <t>E02503</t>
  </si>
  <si>
    <t>Scarlett Howard</t>
  </si>
  <si>
    <t>E02504</t>
  </si>
  <si>
    <t>Victoria Vo</t>
  </si>
  <si>
    <t>E02505</t>
  </si>
  <si>
    <t>Oliver Fernandez</t>
  </si>
  <si>
    <t>E02506</t>
  </si>
  <si>
    <t>Luca Jiang</t>
  </si>
  <si>
    <t>E02507</t>
  </si>
  <si>
    <t>Charlotte Owens</t>
  </si>
  <si>
    <t>E02508</t>
  </si>
  <si>
    <t>Stella Tan</t>
  </si>
  <si>
    <t>E02509</t>
  </si>
  <si>
    <t>Ellie Yoon</t>
  </si>
  <si>
    <t>E02510</t>
  </si>
  <si>
    <t>Ella Do</t>
  </si>
  <si>
    <t>E02511</t>
  </si>
  <si>
    <t>Lucas Cruz</t>
  </si>
  <si>
    <t>E02512</t>
  </si>
  <si>
    <t>Sarah Mehta</t>
  </si>
  <si>
    <t>E02513</t>
  </si>
  <si>
    <t>Anthony Phan</t>
  </si>
  <si>
    <t>E02514</t>
  </si>
  <si>
    <t>David Chu</t>
  </si>
  <si>
    <t>E02515</t>
  </si>
  <si>
    <t>Sebastian Sanders</t>
  </si>
  <si>
    <t>E02516</t>
  </si>
  <si>
    <t>Jayden Phillips</t>
  </si>
  <si>
    <t>E02517</t>
  </si>
  <si>
    <t>Caleb Chan</t>
  </si>
  <si>
    <t>E02518</t>
  </si>
  <si>
    <t>Ariana Santiago</t>
  </si>
  <si>
    <t>E02519</t>
  </si>
  <si>
    <t>Quinn Owens</t>
  </si>
  <si>
    <t>E02520</t>
  </si>
  <si>
    <t>Eli James</t>
  </si>
  <si>
    <t>E02521</t>
  </si>
  <si>
    <t>Ezra Aguilar</t>
  </si>
  <si>
    <t>E02522</t>
  </si>
  <si>
    <t>Anna Castro</t>
  </si>
  <si>
    <t>E02523</t>
  </si>
  <si>
    <t>Liliana Lewis</t>
  </si>
  <si>
    <t>E02524</t>
  </si>
  <si>
    <t>Maverick Alvarado</t>
  </si>
  <si>
    <t>E02525</t>
  </si>
  <si>
    <t>Nora Butler</t>
  </si>
  <si>
    <t>E02526</t>
  </si>
  <si>
    <t>Landon Rodriguez</t>
  </si>
  <si>
    <t>E02527</t>
  </si>
  <si>
    <t>Grace Harris</t>
  </si>
  <si>
    <t>E02528</t>
  </si>
  <si>
    <t>Jeremiah Medina</t>
  </si>
  <si>
    <t>E02529</t>
  </si>
  <si>
    <t>Charles Bryant</t>
  </si>
  <si>
    <t>E02530</t>
  </si>
  <si>
    <t>Elizabeth Dixon</t>
  </si>
  <si>
    <t>E02531</t>
  </si>
  <si>
    <t>Riley Phillips</t>
  </si>
  <si>
    <t>E02532</t>
  </si>
  <si>
    <t>Gianna Cruz</t>
  </si>
  <si>
    <t>E02533</t>
  </si>
  <si>
    <t>Lincoln Cruz</t>
  </si>
  <si>
    <t>E02534</t>
  </si>
  <si>
    <t>Ezekiel Contreras</t>
  </si>
  <si>
    <t>E02535</t>
  </si>
  <si>
    <t>Amelia Do</t>
  </si>
  <si>
    <t>E02536</t>
  </si>
  <si>
    <t>Anthony Perez</t>
  </si>
  <si>
    <t>E02537</t>
  </si>
  <si>
    <t>Elias Maldonado</t>
  </si>
  <si>
    <t>E02538</t>
  </si>
  <si>
    <t>Liam Luong</t>
  </si>
  <si>
    <t>E02539</t>
  </si>
  <si>
    <t>Jordan Ford</t>
  </si>
  <si>
    <t>E02540</t>
  </si>
  <si>
    <t>Mateo Chung</t>
  </si>
  <si>
    <t>E02541</t>
  </si>
  <si>
    <t>Jameson Vang</t>
  </si>
  <si>
    <t>E02542</t>
  </si>
  <si>
    <t>Samuel Thomas</t>
  </si>
  <si>
    <t>E02543</t>
  </si>
  <si>
    <t>Gabriel Rodriguez</t>
  </si>
  <si>
    <t>E02544</t>
  </si>
  <si>
    <t>Wyatt Robinson</t>
  </si>
  <si>
    <t>E02545</t>
  </si>
  <si>
    <t>Anna Huynh</t>
  </si>
  <si>
    <t>E02546</t>
  </si>
  <si>
    <t>Lucy Simmons</t>
  </si>
  <si>
    <t>E02547</t>
  </si>
  <si>
    <t>Austin Ng</t>
  </si>
  <si>
    <t>E02548</t>
  </si>
  <si>
    <t>Madeline Cruz</t>
  </si>
  <si>
    <t>E02549</t>
  </si>
  <si>
    <t>Layla Munoz</t>
  </si>
  <si>
    <t>E02550</t>
  </si>
  <si>
    <t>Alexander Tang</t>
  </si>
  <si>
    <t>E02551</t>
  </si>
  <si>
    <t>Carson Chen</t>
  </si>
  <si>
    <t>E02552</t>
  </si>
  <si>
    <t>Kai Duong</t>
  </si>
  <si>
    <t>E02553</t>
  </si>
  <si>
    <t>Ayla Cooper</t>
  </si>
  <si>
    <t>E02554</t>
  </si>
  <si>
    <t>Eliza Espinoza</t>
  </si>
  <si>
    <t>E02555</t>
  </si>
  <si>
    <t>Axel King</t>
  </si>
  <si>
    <t>E02556</t>
  </si>
  <si>
    <t>Alexander Carter</t>
  </si>
  <si>
    <t>E02557</t>
  </si>
  <si>
    <t>Robert Rogers</t>
  </si>
  <si>
    <t>E02558</t>
  </si>
  <si>
    <t>Anthony Gupta</t>
  </si>
  <si>
    <t>E02559</t>
  </si>
  <si>
    <t>Jackson Gupta</t>
  </si>
  <si>
    <t>E02560</t>
  </si>
  <si>
    <t>Sophia Rodriguez</t>
  </si>
  <si>
    <t>E02561</t>
  </si>
  <si>
    <t>Cora Patel</t>
  </si>
  <si>
    <t>E02562</t>
  </si>
  <si>
    <t>Piper Hsu</t>
  </si>
  <si>
    <t>E02563</t>
  </si>
  <si>
    <t>Hunter Marquez</t>
  </si>
  <si>
    <t>E02564</t>
  </si>
  <si>
    <t>Addison Li</t>
  </si>
  <si>
    <t>E02565</t>
  </si>
  <si>
    <t>Carson Hoang</t>
  </si>
  <si>
    <t>E02566</t>
  </si>
  <si>
    <t>Julian Fernandez</t>
  </si>
  <si>
    <t>E02567</t>
  </si>
  <si>
    <t>Caleb Rojas</t>
  </si>
  <si>
    <t>E02568</t>
  </si>
  <si>
    <t>Elizabeth Griffin</t>
  </si>
  <si>
    <t>E02569</t>
  </si>
  <si>
    <t>Nolan Han</t>
  </si>
  <si>
    <t>E02570</t>
  </si>
  <si>
    <t>Cameron Romero</t>
  </si>
  <si>
    <t>E02571</t>
  </si>
  <si>
    <t>Angel Patterson</t>
  </si>
  <si>
    <t>E02572</t>
  </si>
  <si>
    <t>Ryan Foster</t>
  </si>
  <si>
    <t>E02573</t>
  </si>
  <si>
    <t>Leonardo Patterson</t>
  </si>
  <si>
    <t>E02574</t>
  </si>
  <si>
    <t>William Song</t>
  </si>
  <si>
    <t>E02575</t>
  </si>
  <si>
    <t>Axel Aguilar</t>
  </si>
  <si>
    <t>E02576</t>
  </si>
  <si>
    <t>Liam Valdez</t>
  </si>
  <si>
    <t>E02577</t>
  </si>
  <si>
    <t>Hudson Washington</t>
  </si>
  <si>
    <t>E02578</t>
  </si>
  <si>
    <t>Owen Han</t>
  </si>
  <si>
    <t>E02579</t>
  </si>
  <si>
    <t>Harper Washington</t>
  </si>
  <si>
    <t>E02580</t>
  </si>
  <si>
    <t>Brooklyn Parker</t>
  </si>
  <si>
    <t>E02581</t>
  </si>
  <si>
    <t>Hudson Oh</t>
  </si>
  <si>
    <t>E02582</t>
  </si>
  <si>
    <t>Maverick Howard</t>
  </si>
  <si>
    <t>E02583</t>
  </si>
  <si>
    <t>Alexander Dominguez</t>
  </si>
  <si>
    <t>E02584</t>
  </si>
  <si>
    <t>Jack Garcia</t>
  </si>
  <si>
    <t>E02585</t>
  </si>
  <si>
    <t>Aiden Hu</t>
  </si>
  <si>
    <t>E02586</t>
  </si>
  <si>
    <t>Cora Espinoza</t>
  </si>
  <si>
    <t>E02587</t>
  </si>
  <si>
    <t>Naomi Moua</t>
  </si>
  <si>
    <t>E02588</t>
  </si>
  <si>
    <t>Liam Baker</t>
  </si>
  <si>
    <t>E02589</t>
  </si>
  <si>
    <t>Christian Liu</t>
  </si>
  <si>
    <t>E02590</t>
  </si>
  <si>
    <t>Aaron Munoz</t>
  </si>
  <si>
    <t>E02591</t>
  </si>
  <si>
    <t>Levi Kang</t>
  </si>
  <si>
    <t>E02592</t>
  </si>
  <si>
    <t>Isaac Foster</t>
  </si>
  <si>
    <t>E02593</t>
  </si>
  <si>
    <t>Samantha Zhu</t>
  </si>
  <si>
    <t>E02594</t>
  </si>
  <si>
    <t>Vivian Watson</t>
  </si>
  <si>
    <t>E02595</t>
  </si>
  <si>
    <t>Emery Hernandez</t>
  </si>
  <si>
    <t>E02596</t>
  </si>
  <si>
    <t>Camila Baker</t>
  </si>
  <si>
    <t>E02597</t>
  </si>
  <si>
    <t>David Bryant</t>
  </si>
  <si>
    <t>E02598</t>
  </si>
  <si>
    <t>Miles Perez</t>
  </si>
  <si>
    <t>E02599</t>
  </si>
  <si>
    <t>Elijah Hill</t>
  </si>
  <si>
    <t>E02600</t>
  </si>
  <si>
    <t>Sofia Shin</t>
  </si>
  <si>
    <t>E02601</t>
  </si>
  <si>
    <t>Ezekiel Lee</t>
  </si>
  <si>
    <t>E02602</t>
  </si>
  <si>
    <t>Nevaeh Truong</t>
  </si>
  <si>
    <t>E02603</t>
  </si>
  <si>
    <t>Leah Ali</t>
  </si>
  <si>
    <t>E02604</t>
  </si>
  <si>
    <t>Emma Soto</t>
  </si>
  <si>
    <t>E02605</t>
  </si>
  <si>
    <t>Lydia Marquez</t>
  </si>
  <si>
    <t>E02606</t>
  </si>
  <si>
    <t>Cora Munoz</t>
  </si>
  <si>
    <t>E02607</t>
  </si>
  <si>
    <t>Hudson Ross</t>
  </si>
  <si>
    <t>E02608</t>
  </si>
  <si>
    <t>Aiden Cheng</t>
  </si>
  <si>
    <t>E02609</t>
  </si>
  <si>
    <t>Willow Vang</t>
  </si>
  <si>
    <t>E02610</t>
  </si>
  <si>
    <t>Jonathan Young</t>
  </si>
  <si>
    <t>E02611</t>
  </si>
  <si>
    <t>Isaac Rojas</t>
  </si>
  <si>
    <t>E02612</t>
  </si>
  <si>
    <t>Dylan Guzman</t>
  </si>
  <si>
    <t>E02613</t>
  </si>
  <si>
    <t>Sarah Shin</t>
  </si>
  <si>
    <t>E02614</t>
  </si>
  <si>
    <t>Michael Johnson</t>
  </si>
  <si>
    <t>E02615</t>
  </si>
  <si>
    <t>Riley Vega</t>
  </si>
  <si>
    <t>E02616</t>
  </si>
  <si>
    <t>Benjamin Ali</t>
  </si>
  <si>
    <t>E02617</t>
  </si>
  <si>
    <t>Ezekiel Cooper</t>
  </si>
  <si>
    <t>E02618</t>
  </si>
  <si>
    <t>Lyla Walker</t>
  </si>
  <si>
    <t>E02619</t>
  </si>
  <si>
    <t>Aria Cheng</t>
  </si>
  <si>
    <t>E02620</t>
  </si>
  <si>
    <t>Christopher Ramirez</t>
  </si>
  <si>
    <t>E02621</t>
  </si>
  <si>
    <t>Emily Roberts</t>
  </si>
  <si>
    <t>E02622</t>
  </si>
  <si>
    <t>Nathan Parker</t>
  </si>
  <si>
    <t>E02623</t>
  </si>
  <si>
    <t>Nora Her</t>
  </si>
  <si>
    <t>E02624</t>
  </si>
  <si>
    <t>Mia Brown</t>
  </si>
  <si>
    <t>E02625</t>
  </si>
  <si>
    <t>Hunter Hu</t>
  </si>
  <si>
    <t>E02626</t>
  </si>
  <si>
    <t>Luke Acosta</t>
  </si>
  <si>
    <t>E02627</t>
  </si>
  <si>
    <t>Sophia Griffin</t>
  </si>
  <si>
    <t>E02628</t>
  </si>
  <si>
    <t>Anthony Chu</t>
  </si>
  <si>
    <t>E02629</t>
  </si>
  <si>
    <t>Landon Ha</t>
  </si>
  <si>
    <t>E02630</t>
  </si>
  <si>
    <t>Layla Kang</t>
  </si>
  <si>
    <t>E02631</t>
  </si>
  <si>
    <t>Cora Xu</t>
  </si>
  <si>
    <t>E02632</t>
  </si>
  <si>
    <t>Rylee Campos</t>
  </si>
  <si>
    <t>E02633</t>
  </si>
  <si>
    <t>Amelia Foster</t>
  </si>
  <si>
    <t>E02634</t>
  </si>
  <si>
    <t>Hadley Rios</t>
  </si>
  <si>
    <t>E02635</t>
  </si>
  <si>
    <t>Luna Chang</t>
  </si>
  <si>
    <t>E02636</t>
  </si>
  <si>
    <t>Mia Navarro</t>
  </si>
  <si>
    <t>E02637</t>
  </si>
  <si>
    <t>Nova Rios</t>
  </si>
  <si>
    <t>E02638</t>
  </si>
  <si>
    <t>Theodore Truong</t>
  </si>
  <si>
    <t>E02639</t>
  </si>
  <si>
    <t>Asher Ly</t>
  </si>
  <si>
    <t>E02640</t>
  </si>
  <si>
    <t>Madeline Doan</t>
  </si>
  <si>
    <t>E02641</t>
  </si>
  <si>
    <t>Scarlett Rodriguez</t>
  </si>
  <si>
    <t>E02642</t>
  </si>
  <si>
    <t>Zoey Lu</t>
  </si>
  <si>
    <t>E02643</t>
  </si>
  <si>
    <t>Mila Cheung</t>
  </si>
  <si>
    <t>E02644</t>
  </si>
  <si>
    <t>Lucy Mai</t>
  </si>
  <si>
    <t>E02645</t>
  </si>
  <si>
    <t>Benjamin Luu</t>
  </si>
  <si>
    <t>E02646</t>
  </si>
  <si>
    <t>E02647</t>
  </si>
  <si>
    <t>Maya Watson</t>
  </si>
  <si>
    <t>E02648</t>
  </si>
  <si>
    <t>Jack Adams</t>
  </si>
  <si>
    <t>E02649</t>
  </si>
  <si>
    <t>Gabriella Jordan</t>
  </si>
  <si>
    <t>E02650</t>
  </si>
  <si>
    <t>Jonathan Torres</t>
  </si>
  <si>
    <t>E02651</t>
  </si>
  <si>
    <t>Samuel Xu</t>
  </si>
  <si>
    <t>E02652</t>
  </si>
  <si>
    <t>Ezekiel Lai</t>
  </si>
  <si>
    <t>E02653</t>
  </si>
  <si>
    <t>Levi Rahman</t>
  </si>
  <si>
    <t>E02654</t>
  </si>
  <si>
    <t>Madison Phan</t>
  </si>
  <si>
    <t>E02655</t>
  </si>
  <si>
    <t>Andrew Pham</t>
  </si>
  <si>
    <t>E02656</t>
  </si>
  <si>
    <t>Clara Ford</t>
  </si>
  <si>
    <t>E02657</t>
  </si>
  <si>
    <t>Christopher Chau</t>
  </si>
  <si>
    <t>E02658</t>
  </si>
  <si>
    <t>Madeline Guerrero</t>
  </si>
  <si>
    <t>E02659</t>
  </si>
  <si>
    <t>Harper Yee</t>
  </si>
  <si>
    <t>E02660</t>
  </si>
  <si>
    <t>Mia Thomas</t>
  </si>
  <si>
    <t>E02661</t>
  </si>
  <si>
    <t>Owen Nelson</t>
  </si>
  <si>
    <t>E02662</t>
  </si>
  <si>
    <t>Aiden Evans</t>
  </si>
  <si>
    <t>E02663</t>
  </si>
  <si>
    <t>Josiah Lai</t>
  </si>
  <si>
    <t>E02664</t>
  </si>
  <si>
    <t>Jameson Yee</t>
  </si>
  <si>
    <t>E02665</t>
  </si>
  <si>
    <t>Serenity Her</t>
  </si>
  <si>
    <t>E02666</t>
  </si>
  <si>
    <t>Ariana Turner</t>
  </si>
  <si>
    <t>E02667</t>
  </si>
  <si>
    <t>Jacob Cooper</t>
  </si>
  <si>
    <t>E02668</t>
  </si>
  <si>
    <t>Christopher Dominguez</t>
  </si>
  <si>
    <t>E02669</t>
  </si>
  <si>
    <t>Nevaeh Lim</t>
  </si>
  <si>
    <t>E02670</t>
  </si>
  <si>
    <t>Dominic Cheng</t>
  </si>
  <si>
    <t>E02671</t>
  </si>
  <si>
    <t>Serenity Rodriguez</t>
  </si>
  <si>
    <t>E02672</t>
  </si>
  <si>
    <t>Caleb Thompson</t>
  </si>
  <si>
    <t>E02673</t>
  </si>
  <si>
    <t>Luke Avila</t>
  </si>
  <si>
    <t>E02674</t>
  </si>
  <si>
    <t>Sadie Chin</t>
  </si>
  <si>
    <t>E02675</t>
  </si>
  <si>
    <t>Everett Le</t>
  </si>
  <si>
    <t>E02676</t>
  </si>
  <si>
    <t>Carson Santos</t>
  </si>
  <si>
    <t>E02677</t>
  </si>
  <si>
    <t>Natalie Ho</t>
  </si>
  <si>
    <t>E02678</t>
  </si>
  <si>
    <t>Natalia Hall</t>
  </si>
  <si>
    <t>E02679</t>
  </si>
  <si>
    <t>Zoey Ahmed</t>
  </si>
  <si>
    <t>E02680</t>
  </si>
  <si>
    <t>Santiago f Turner</t>
  </si>
  <si>
    <t>E02681</t>
  </si>
  <si>
    <t>Jacob Alexander</t>
  </si>
  <si>
    <t>E02682</t>
  </si>
  <si>
    <t>Christopher Aguilar</t>
  </si>
  <si>
    <t>E02683</t>
  </si>
  <si>
    <t>Vivian Jackson</t>
  </si>
  <si>
    <t>E02684</t>
  </si>
  <si>
    <t>Leonardo Jenkins</t>
  </si>
  <si>
    <t>E02685</t>
  </si>
  <si>
    <t>Oliver Hunter</t>
  </si>
  <si>
    <t>E02686</t>
  </si>
  <si>
    <t>Ayla Brooks</t>
  </si>
  <si>
    <t>E02687</t>
  </si>
  <si>
    <t>Willow Chau</t>
  </si>
  <si>
    <t>E02688</t>
  </si>
  <si>
    <t>Kai Shin</t>
  </si>
  <si>
    <t>E02689</t>
  </si>
  <si>
    <t>Liliana Zhao</t>
  </si>
  <si>
    <t>E02690</t>
  </si>
  <si>
    <t>Aiden Carter</t>
  </si>
  <si>
    <t>E02691</t>
  </si>
  <si>
    <t>Christopher Song</t>
  </si>
  <si>
    <t>E02692</t>
  </si>
  <si>
    <t>Charles Luu</t>
  </si>
  <si>
    <t>E02693</t>
  </si>
  <si>
    <t>Kayden Dinh</t>
  </si>
  <si>
    <t>E02694</t>
  </si>
  <si>
    <t>Valentina Zhang</t>
  </si>
  <si>
    <t>E02695</t>
  </si>
  <si>
    <t>Alexander Perez</t>
  </si>
  <si>
    <t>E02696</t>
  </si>
  <si>
    <t>Everleigh Kumar</t>
  </si>
  <si>
    <t>E02697</t>
  </si>
  <si>
    <t>Santiago f Xiong</t>
  </si>
  <si>
    <t>E02698</t>
  </si>
  <si>
    <t>Elizabeth Powell</t>
  </si>
  <si>
    <t>E02699</t>
  </si>
  <si>
    <t>Lucas Yang</t>
  </si>
  <si>
    <t>E02700</t>
  </si>
  <si>
    <t>John Richardson</t>
  </si>
  <si>
    <t>E02701</t>
  </si>
  <si>
    <t>Miles Ross</t>
  </si>
  <si>
    <t>E02702</t>
  </si>
  <si>
    <t>Jonathan Santos</t>
  </si>
  <si>
    <t>E02703</t>
  </si>
  <si>
    <t>Joshua Maldonado</t>
  </si>
  <si>
    <t>E02704</t>
  </si>
  <si>
    <t>Santiago f Vo</t>
  </si>
  <si>
    <t>E02705</t>
  </si>
  <si>
    <t>Leilani Martin</t>
  </si>
  <si>
    <t>E02706</t>
  </si>
  <si>
    <t>Luca Xiong</t>
  </si>
  <si>
    <t>E02707</t>
  </si>
  <si>
    <t>Valentina Campos</t>
  </si>
  <si>
    <t>E02708</t>
  </si>
  <si>
    <t>Grayson Jenkins</t>
  </si>
  <si>
    <t>E02709</t>
  </si>
  <si>
    <t>Jeremiah Ross</t>
  </si>
  <si>
    <t>E02710</t>
  </si>
  <si>
    <t>Natalie Zheng</t>
  </si>
  <si>
    <t>E02711</t>
  </si>
  <si>
    <t>Jace Mehta</t>
  </si>
  <si>
    <t>E02712</t>
  </si>
  <si>
    <t>Hannah Doan</t>
  </si>
  <si>
    <t>E02713</t>
  </si>
  <si>
    <t>Caroline Robinson</t>
  </si>
  <si>
    <t>E02714</t>
  </si>
  <si>
    <t>Naomi Ma</t>
  </si>
  <si>
    <t>E02715</t>
  </si>
  <si>
    <t>Adam Davis</t>
  </si>
  <si>
    <t>E02716</t>
  </si>
  <si>
    <t>Ellie Ho</t>
  </si>
  <si>
    <t>E02717</t>
  </si>
  <si>
    <t>Mila Liang</t>
  </si>
  <si>
    <t>E02718</t>
  </si>
  <si>
    <t>Nova Doan</t>
  </si>
  <si>
    <t>E02719</t>
  </si>
  <si>
    <t>Colton Mejia</t>
  </si>
  <si>
    <t>E02720</t>
  </si>
  <si>
    <t>Joseph Kim</t>
  </si>
  <si>
    <t>E02721</t>
  </si>
  <si>
    <t>Audrey Campos</t>
  </si>
  <si>
    <t>E02722</t>
  </si>
  <si>
    <t>Vivian Brooks</t>
  </si>
  <si>
    <t>E02723</t>
  </si>
  <si>
    <t>Mateo Vargas</t>
  </si>
  <si>
    <t>E02724</t>
  </si>
  <si>
    <t>David Foster</t>
  </si>
  <si>
    <t>E02725</t>
  </si>
  <si>
    <t>Isaiah Ramos</t>
  </si>
  <si>
    <t>E02726</t>
  </si>
  <si>
    <t>Samantha Do</t>
  </si>
  <si>
    <t>E02727</t>
  </si>
  <si>
    <t>Emery Fernandez</t>
  </si>
  <si>
    <t>E02728</t>
  </si>
  <si>
    <t>Santiago f Brooks</t>
  </si>
  <si>
    <t>E02729</t>
  </si>
  <si>
    <t>Aubrey Lin</t>
  </si>
  <si>
    <t>E02730</t>
  </si>
  <si>
    <t>Jace Hsu</t>
  </si>
  <si>
    <t>E02731</t>
  </si>
  <si>
    <t>Nicholas Sanders</t>
  </si>
  <si>
    <t>E02732</t>
  </si>
  <si>
    <t>Joshua Sun</t>
  </si>
  <si>
    <t>E02733</t>
  </si>
  <si>
    <t>Riley Ayala</t>
  </si>
  <si>
    <t>E02734</t>
  </si>
  <si>
    <t>Isaac Santos</t>
  </si>
  <si>
    <t>E02735</t>
  </si>
  <si>
    <t>Logan Brooks</t>
  </si>
  <si>
    <t>E02736</t>
  </si>
  <si>
    <t>Leilani Hu</t>
  </si>
  <si>
    <t>E02737</t>
  </si>
  <si>
    <t>Jace Cho</t>
  </si>
  <si>
    <t>E02738</t>
  </si>
  <si>
    <t>Jaxson Fong</t>
  </si>
  <si>
    <t>E02739</t>
  </si>
  <si>
    <t>Wyatt Ly</t>
  </si>
  <si>
    <t>E02740</t>
  </si>
  <si>
    <t>Mia Huang</t>
  </si>
  <si>
    <t>E02741</t>
  </si>
  <si>
    <t>Levi Her</t>
  </si>
  <si>
    <t>E02742</t>
  </si>
  <si>
    <t>Everleigh Phillips</t>
  </si>
  <si>
    <t>E02743</t>
  </si>
  <si>
    <t>Natalie Acosta</t>
  </si>
  <si>
    <t>E02744</t>
  </si>
  <si>
    <t>Hadley Chavez</t>
  </si>
  <si>
    <t>E02745</t>
  </si>
  <si>
    <t>Hailey Liu</t>
  </si>
  <si>
    <t>E02746</t>
  </si>
  <si>
    <t>Nicholas Jiang</t>
  </si>
  <si>
    <t>E02747</t>
  </si>
  <si>
    <t>Gabriel Xu</t>
  </si>
  <si>
    <t>E02748</t>
  </si>
  <si>
    <t>Sophia Collins</t>
  </si>
  <si>
    <t>E02749</t>
  </si>
  <si>
    <t>Evelyn Vasquez</t>
  </si>
  <si>
    <t>E02750</t>
  </si>
  <si>
    <t>Paisley Baker</t>
  </si>
  <si>
    <t>E02751</t>
  </si>
  <si>
    <t>Eloise Griffin</t>
  </si>
  <si>
    <t>E02752</t>
  </si>
  <si>
    <t>Samuel Cruz</t>
  </si>
  <si>
    <t>E02753</t>
  </si>
  <si>
    <t>Gabriel Cheung</t>
  </si>
  <si>
    <t>E02754</t>
  </si>
  <si>
    <t>Kai Green</t>
  </si>
  <si>
    <t>E02755</t>
  </si>
  <si>
    <t>Julia Moore</t>
  </si>
  <si>
    <t>E02756</t>
  </si>
  <si>
    <t>Roman Mendoza</t>
  </si>
  <si>
    <t>E02757</t>
  </si>
  <si>
    <t>E02758</t>
  </si>
  <si>
    <t>Sadie Pham</t>
  </si>
  <si>
    <t>E02759</t>
  </si>
  <si>
    <t>Chloe Contreras</t>
  </si>
  <si>
    <t>E02760</t>
  </si>
  <si>
    <t>Owen Ford</t>
  </si>
  <si>
    <t>E02761</t>
  </si>
  <si>
    <t>Audrey Powell</t>
  </si>
  <si>
    <t>E02762</t>
  </si>
  <si>
    <t>Greyson Munoz</t>
  </si>
  <si>
    <t>E02763</t>
  </si>
  <si>
    <t>Isaiah Vang</t>
  </si>
  <si>
    <t>E02764</t>
  </si>
  <si>
    <t>Lincoln Alvarado</t>
  </si>
  <si>
    <t>E02765</t>
  </si>
  <si>
    <t>Carter Sandoval</t>
  </si>
  <si>
    <t>E02766</t>
  </si>
  <si>
    <t>Julia Jimenez</t>
  </si>
  <si>
    <t>E02767</t>
  </si>
  <si>
    <t>Savannah Cortez</t>
  </si>
  <si>
    <t>E02768</t>
  </si>
  <si>
    <t>Everly Brown</t>
  </si>
  <si>
    <t>E02769</t>
  </si>
  <si>
    <t>Charlotte Pham</t>
  </si>
  <si>
    <t>E02770</t>
  </si>
  <si>
    <t>Iris Bailey</t>
  </si>
  <si>
    <t>E02771</t>
  </si>
  <si>
    <t>Logan Daniels</t>
  </si>
  <si>
    <t>E02772</t>
  </si>
  <si>
    <t>Autumn Molina</t>
  </si>
  <si>
    <t>E02773</t>
  </si>
  <si>
    <t>Emma Mehta</t>
  </si>
  <si>
    <t>E02774</t>
  </si>
  <si>
    <t>Julian Joseph</t>
  </si>
  <si>
    <t>E02775</t>
  </si>
  <si>
    <t>Eleanor Munoz</t>
  </si>
  <si>
    <t>E02776</t>
  </si>
  <si>
    <t>E02777</t>
  </si>
  <si>
    <t>Eliza Zhu</t>
  </si>
  <si>
    <t>E02778</t>
  </si>
  <si>
    <t>Greyson Moore</t>
  </si>
  <si>
    <t>E02779</t>
  </si>
  <si>
    <t>Lyla Clark</t>
  </si>
  <si>
    <t>E02780</t>
  </si>
  <si>
    <t>Samuel Patterson</t>
  </si>
  <si>
    <t>E02781</t>
  </si>
  <si>
    <t>Robert Padilla</t>
  </si>
  <si>
    <t>E02782</t>
  </si>
  <si>
    <t>Landon Munoz</t>
  </si>
  <si>
    <t>E02783</t>
  </si>
  <si>
    <t>Josiah Yi</t>
  </si>
  <si>
    <t>E02784</t>
  </si>
  <si>
    <t>Owen Scott</t>
  </si>
  <si>
    <t>E02785</t>
  </si>
  <si>
    <t>Matthew Parker</t>
  </si>
  <si>
    <t>E02786</t>
  </si>
  <si>
    <t>Daniel Huynh</t>
  </si>
  <si>
    <t>E02818</t>
  </si>
  <si>
    <t>Christian Ayala</t>
  </si>
  <si>
    <t>E02819</t>
  </si>
  <si>
    <t>Willow Xiong</t>
  </si>
  <si>
    <t>E02820</t>
  </si>
  <si>
    <t>Avery Valdez</t>
  </si>
  <si>
    <t>E02821</t>
  </si>
  <si>
    <t>Abigail Carter</t>
  </si>
  <si>
    <t>E02829</t>
  </si>
  <si>
    <t>Ariana Hall</t>
  </si>
  <si>
    <t>E02847</t>
  </si>
  <si>
    <t>Addison Ma</t>
  </si>
  <si>
    <t>E02848</t>
  </si>
  <si>
    <t>Clara Collins</t>
  </si>
  <si>
    <t>E02849</t>
  </si>
  <si>
    <t>Stella Castro</t>
  </si>
  <si>
    <t>E02850</t>
  </si>
  <si>
    <t>Lucy Chin</t>
  </si>
  <si>
    <t>E02851</t>
  </si>
  <si>
    <t>Piper Evans</t>
  </si>
  <si>
    <t>E02852</t>
  </si>
  <si>
    <t>Cora Coleman</t>
  </si>
  <si>
    <t>E02853</t>
  </si>
  <si>
    <t>Cora Holmes</t>
  </si>
  <si>
    <t>E02854</t>
  </si>
  <si>
    <t>Leo Figueroa</t>
  </si>
  <si>
    <t>E02855</t>
  </si>
  <si>
    <t>Allison Wang</t>
  </si>
  <si>
    <t>E02856</t>
  </si>
  <si>
    <t>Levi Cruz</t>
  </si>
  <si>
    <t>E02857</t>
  </si>
  <si>
    <t>Iris Phillips</t>
  </si>
  <si>
    <t>E02858</t>
  </si>
  <si>
    <t>Madelyn Chavez</t>
  </si>
  <si>
    <t>E02859</t>
  </si>
  <si>
    <t>Caroline Smith</t>
  </si>
  <si>
    <t>E02866</t>
  </si>
  <si>
    <t>Melody Yoon</t>
  </si>
  <si>
    <t>E02867</t>
  </si>
  <si>
    <t>Avery Smith</t>
  </si>
  <si>
    <t>E02878</t>
  </si>
  <si>
    <t>Logan Ortega</t>
  </si>
  <si>
    <t>E02879</t>
  </si>
  <si>
    <t>Isaac Jung</t>
  </si>
  <si>
    <t>E02880</t>
  </si>
  <si>
    <t>E02881</t>
  </si>
  <si>
    <t>Levi Gonzalez</t>
  </si>
  <si>
    <t>E02882</t>
  </si>
  <si>
    <t>Santiago f Wang</t>
  </si>
  <si>
    <t>E02889</t>
  </si>
  <si>
    <t>Hadley Parker</t>
  </si>
  <si>
    <t>E02890</t>
  </si>
  <si>
    <t>Elizabeth Estrada</t>
  </si>
  <si>
    <t>E02891</t>
  </si>
  <si>
    <t>Sofia Yee</t>
  </si>
  <si>
    <t>E02892</t>
  </si>
  <si>
    <t>Asher Mendoza</t>
  </si>
  <si>
    <t>E02893</t>
  </si>
  <si>
    <t>Jordan Hernandez</t>
  </si>
  <si>
    <t>E02894</t>
  </si>
  <si>
    <t>Everleigh Tan</t>
  </si>
  <si>
    <t>E02895</t>
  </si>
  <si>
    <t>Joshua Hall</t>
  </si>
  <si>
    <t>E02896</t>
  </si>
  <si>
    <t>Stella Gupta</t>
  </si>
  <si>
    <t>E02897</t>
  </si>
  <si>
    <t>Levi White</t>
  </si>
  <si>
    <t>E02898</t>
  </si>
  <si>
    <t>Matthew Jackson</t>
  </si>
  <si>
    <t>E02899</t>
  </si>
  <si>
    <t>Dominic Martinez</t>
  </si>
  <si>
    <t>E02900</t>
  </si>
  <si>
    <t>Aiden Aguilar</t>
  </si>
  <si>
    <t>E02901</t>
  </si>
  <si>
    <t>Victoria Hu</t>
  </si>
  <si>
    <t>E02920</t>
  </si>
  <si>
    <t>Dominic Thao</t>
  </si>
  <si>
    <t>E02921</t>
  </si>
  <si>
    <t>Jaxon Shin</t>
  </si>
  <si>
    <t>E02922</t>
  </si>
  <si>
    <t>Nevaeh Diaz</t>
  </si>
  <si>
    <t>E02931</t>
  </si>
  <si>
    <t>E02933</t>
  </si>
  <si>
    <t>E02942</t>
  </si>
  <si>
    <t>Aurora Bailey</t>
  </si>
  <si>
    <t>Brooks Ngo</t>
  </si>
  <si>
    <t>E02960</t>
  </si>
  <si>
    <t>Lucas Sandoval</t>
  </si>
  <si>
    <t>E02961</t>
  </si>
  <si>
    <t>Joseph Dang</t>
  </si>
  <si>
    <t>Valentina Nelson</t>
  </si>
  <si>
    <t>Christopher Desai</t>
  </si>
  <si>
    <t>Hire Day</t>
  </si>
  <si>
    <t>Hire Month</t>
  </si>
  <si>
    <t>Hire Year</t>
  </si>
  <si>
    <t>Gross Salary</t>
  </si>
  <si>
    <t>Years of Service</t>
  </si>
  <si>
    <t>Grand Total</t>
  </si>
  <si>
    <t>Bonus Amount</t>
  </si>
  <si>
    <t>Number of Employees</t>
  </si>
  <si>
    <t>Total Salary</t>
  </si>
  <si>
    <t>Sum of Gross Salary</t>
  </si>
  <si>
    <t>Total</t>
  </si>
  <si>
    <t>R &amp; D</t>
  </si>
  <si>
    <t>Accumulated Bonus</t>
  </si>
  <si>
    <t>Percentage</t>
  </si>
  <si>
    <t>Sunday</t>
  </si>
  <si>
    <t>Monday</t>
  </si>
  <si>
    <t>Tuesday</t>
  </si>
  <si>
    <t>Wednesday</t>
  </si>
  <si>
    <t>Thursday</t>
  </si>
  <si>
    <t>Friday</t>
  </si>
  <si>
    <t>Saturday</t>
  </si>
  <si>
    <t>Hire  Day</t>
  </si>
  <si>
    <t>Hired Employees</t>
  </si>
  <si>
    <t>Hired employees</t>
  </si>
  <si>
    <t>January</t>
  </si>
  <si>
    <t>February</t>
  </si>
  <si>
    <t>March</t>
  </si>
  <si>
    <t>April</t>
  </si>
  <si>
    <t>May</t>
  </si>
  <si>
    <t>June</t>
  </si>
  <si>
    <t>July</t>
  </si>
  <si>
    <t>August</t>
  </si>
  <si>
    <t>September</t>
  </si>
  <si>
    <t>October</t>
  </si>
  <si>
    <t>November</t>
  </si>
  <si>
    <t>December</t>
  </si>
  <si>
    <t>Hire  Month</t>
  </si>
  <si>
    <t>Hire  Year</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</si>
  <si>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</si>
  <si>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</si>
  <si>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</si>
  <si>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</si>
  <si>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</si>
  <si>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</si>
  <si>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</si>
  <si>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</si>
  <si>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</si>
  <si>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</si>
  <si>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</si>
  <si>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</si>
  <si>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</si>
  <si>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</si>
  <si>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</si>
  <si>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</si>
  <si>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</si>
  <si>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</si>
  <si>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</si>
  <si>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</si>
  <si>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</si>
  <si>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</si>
  <si>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</si>
  <si>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</si>
  <si>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</si>
  <si>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</si>
  <si>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</si>
  <si>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</si>
  <si>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</si>
  <si>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</si>
  <si>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Top 10 Hire Years</t>
  </si>
  <si>
    <t>Year</t>
  </si>
  <si>
    <t>Number of Hired Employees</t>
  </si>
  <si>
    <t>Total Employees</t>
  </si>
  <si>
    <t>% of Salary</t>
  </si>
  <si>
    <t xml:space="preserve">Male </t>
  </si>
  <si>
    <t>% Male</t>
  </si>
  <si>
    <t>% of Female</t>
  </si>
  <si>
    <t>Percntage</t>
  </si>
  <si>
    <t>(blank)</t>
  </si>
  <si>
    <t>Employees in Service</t>
  </si>
  <si>
    <t>Employees out of Service</t>
  </si>
  <si>
    <t>Total Employment</t>
  </si>
  <si>
    <t>The Blanks in both pivot tables represent employees that are still in service (i.e, still working till date)</t>
  </si>
  <si>
    <t>System Admin </t>
  </si>
  <si>
    <t>% of Employees</t>
  </si>
  <si>
    <t>% of Hired Employees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</si>
</sst>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4" formatCode="_(&quot;$&quot;* #,##0.00_);_(&quot;$&quot;* \(#,##0.00\);_(&quot;$&quot;* &quot;-&quot;??_);_(@_)"/>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Aptos Narrow"/>
      <family val="2"/>
      <scheme val="minor"/>
    </font>
    <font>
      <sz val="11"/>
      <color theme="9" tint="-0.499984740745262"/>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5D7A1"/>
        <bgColor indexed="64"/>
      </patternFill>
    </fill>
    <fill>
      <patternFill patternType="solid">
        <fgColor rgb="FFF1C861"/>
        <bgColor indexed="64"/>
      </patternFill>
    </fill>
    <fill>
      <patternFill patternType="solid">
        <fgColor theme="1" tint="4.9989318521683403E-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52">
    <xf numFmtId="0" fontId="0" fillId="0" borderId="0" xfId="0"/>
    <xf numFmtId="14" fontId="0" fillId="0" borderId="0" xfId="0" applyNumberFormat="1"/>
    <xf numFmtId="44" fontId="0" fillId="0" borderId="0" xfId="42" applyFont="1"/>
    <xf numFmtId="9" fontId="0" fillId="0" borderId="0" xfId="43" applyFont="1"/>
    <xf numFmtId="0" fontId="0" fillId="0" borderId="0" xfId="0" applyAlignment="1">
      <alignment horizontal="center" vertical="top"/>
    </xf>
    <xf numFmtId="14" fontId="0" fillId="0" borderId="0" xfId="0" applyNumberFormat="1" applyAlignment="1">
      <alignment horizontal="center" vertical="top"/>
    </xf>
    <xf numFmtId="44" fontId="0" fillId="0" borderId="0" xfId="42" applyFont="1" applyAlignment="1">
      <alignment horizontal="center" vertical="top"/>
    </xf>
    <xf numFmtId="9" fontId="0" fillId="0" borderId="0" xfId="43" applyFont="1" applyAlignment="1">
      <alignment horizontal="center" vertical="top"/>
    </xf>
    <xf numFmtId="0" fontId="0" fillId="0" borderId="0" xfId="0" applyAlignment="1">
      <alignment horizontal="left"/>
    </xf>
    <xf numFmtId="44" fontId="0" fillId="0" borderId="0" xfId="43" applyNumberFormat="1" applyFont="1"/>
    <xf numFmtId="0" fontId="0" fillId="0" borderId="0" xfId="0" pivotButton="1" applyAlignment="1">
      <alignment horizontal="center"/>
    </xf>
    <xf numFmtId="0" fontId="0" fillId="0" borderId="0" xfId="0" applyAlignment="1">
      <alignment horizontal="center"/>
    </xf>
    <xf numFmtId="0" fontId="16" fillId="0" borderId="0" xfId="0" applyFont="1"/>
    <xf numFmtId="0" fontId="16" fillId="33" borderId="0" xfId="0" applyFont="1" applyFill="1"/>
    <xf numFmtId="44" fontId="0" fillId="0" borderId="0" xfId="0" applyNumberFormat="1"/>
    <xf numFmtId="0" fontId="0" fillId="0" borderId="0" xfId="0" pivotButton="1" applyAlignment="1">
      <alignment horizontal="center" vertical="center"/>
    </xf>
    <xf numFmtId="0" fontId="0" fillId="0" borderId="0" xfId="0" applyAlignment="1">
      <alignment horizontal="center" vertical="center"/>
    </xf>
    <xf numFmtId="0" fontId="16" fillId="33" borderId="0" xfId="0" applyFont="1" applyFill="1" applyAlignment="1">
      <alignment horizontal="center" vertical="center"/>
    </xf>
    <xf numFmtId="0" fontId="16" fillId="33" borderId="10" xfId="0" applyFont="1" applyFill="1" applyBorder="1" applyAlignment="1">
      <alignment horizontal="center" vertical="center"/>
    </xf>
    <xf numFmtId="0" fontId="0" fillId="0" borderId="0" xfId="0" pivotButton="1"/>
    <xf numFmtId="0" fontId="16" fillId="0" borderId="0" xfId="0" applyFont="1" applyAlignment="1">
      <alignment horizontal="center"/>
    </xf>
    <xf numFmtId="9" fontId="16" fillId="0" borderId="0" xfId="43" applyFont="1"/>
    <xf numFmtId="0" fontId="1" fillId="0" borderId="0" xfId="43" applyNumberFormat="1" applyFont="1"/>
    <xf numFmtId="0" fontId="16" fillId="0" borderId="0" xfId="0" applyFont="1" applyAlignment="1">
      <alignment horizontal="center" vertical="center"/>
    </xf>
    <xf numFmtId="44" fontId="1" fillId="0" borderId="0" xfId="43" applyNumberFormat="1" applyFont="1"/>
    <xf numFmtId="0" fontId="16" fillId="33" borderId="0" xfId="0" applyFont="1" applyFill="1" applyAlignment="1">
      <alignment horizontal="center"/>
    </xf>
    <xf numFmtId="0" fontId="16" fillId="0" borderId="0" xfId="0" applyFont="1" applyAlignment="1">
      <alignment horizontal="left"/>
    </xf>
    <xf numFmtId="44" fontId="16" fillId="0" borderId="0" xfId="42" applyFont="1"/>
    <xf numFmtId="0" fontId="0" fillId="0" borderId="0" xfId="0" pivotButton="1" applyAlignment="1">
      <alignment horizontal="left" vertical="center"/>
    </xf>
    <xf numFmtId="0" fontId="0" fillId="0" borderId="0" xfId="0" applyAlignment="1">
      <alignment horizontal="left" vertical="center"/>
    </xf>
    <xf numFmtId="0" fontId="0" fillId="0" borderId="0" xfId="0" applyAlignment="1">
      <alignment vertical="center"/>
    </xf>
    <xf numFmtId="0" fontId="18" fillId="0" borderId="0" xfId="0" applyFont="1" applyAlignment="1">
      <alignment horizontal="left"/>
    </xf>
    <xf numFmtId="0" fontId="18" fillId="0" borderId="0" xfId="0" applyFont="1"/>
    <xf numFmtId="0" fontId="0" fillId="0" borderId="0" xfId="0" pivotButton="1" applyAlignment="1">
      <alignment vertical="center"/>
    </xf>
    <xf numFmtId="0" fontId="18" fillId="33" borderId="0" xfId="0" applyFont="1" applyFill="1" applyAlignment="1">
      <alignment horizontal="center" vertical="center"/>
    </xf>
    <xf numFmtId="9" fontId="0" fillId="0" borderId="0" xfId="0" applyNumberFormat="1"/>
    <xf numFmtId="9" fontId="16" fillId="0" borderId="0" xfId="0" applyNumberFormat="1" applyFont="1"/>
    <xf numFmtId="10" fontId="0" fillId="0" borderId="0" xfId="0" applyNumberFormat="1"/>
    <xf numFmtId="9" fontId="1" fillId="0" borderId="0" xfId="43" applyFont="1"/>
    <xf numFmtId="0" fontId="18" fillId="0" borderId="0" xfId="0" applyFont="1" applyAlignment="1">
      <alignment horizontal="center" vertical="center"/>
    </xf>
    <xf numFmtId="44" fontId="18" fillId="0" borderId="0" xfId="0" applyNumberFormat="1" applyFont="1"/>
    <xf numFmtId="0" fontId="18" fillId="34" borderId="0" xfId="0" applyFont="1" applyFill="1" applyAlignment="1">
      <alignment horizontal="center" vertical="center"/>
    </xf>
    <xf numFmtId="0" fontId="18" fillId="34" borderId="0" xfId="0" applyFont="1" applyFill="1" applyAlignment="1">
      <alignment horizontal="left"/>
    </xf>
    <xf numFmtId="9" fontId="18" fillId="34" borderId="0" xfId="0" applyNumberFormat="1" applyFont="1" applyFill="1"/>
    <xf numFmtId="14" fontId="0" fillId="0" borderId="0" xfId="0" applyNumberFormat="1" applyAlignment="1">
      <alignment horizontal="left"/>
    </xf>
    <xf numFmtId="0" fontId="16" fillId="0" borderId="0" xfId="0" applyFont="1" applyAlignment="1">
      <alignment vertical="center"/>
    </xf>
    <xf numFmtId="0" fontId="16" fillId="34" borderId="0" xfId="0" applyFont="1" applyFill="1" applyAlignment="1">
      <alignment horizontal="center" vertical="center"/>
    </xf>
    <xf numFmtId="9" fontId="16" fillId="34" borderId="0" xfId="43" applyFont="1" applyFill="1" applyAlignment="1">
      <alignment horizontal="center" vertical="center"/>
    </xf>
    <xf numFmtId="10" fontId="0" fillId="0" borderId="0" xfId="43" applyNumberFormat="1" applyFont="1"/>
    <xf numFmtId="10" fontId="1" fillId="0" borderId="0" xfId="43" applyNumberFormat="1" applyFont="1"/>
    <xf numFmtId="0" fontId="19" fillId="35" borderId="0" xfId="0" applyFont="1" applyFill="1"/>
    <xf numFmtId="0" fontId="18" fillId="33" borderId="0" xfId="0" applyFont="1" applyFill="1" applyAlignment="1">
      <alignment horizontal="center" vertical="center"/>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115">
    <dxf>
      <numFmt numFmtId="19" formatCode="m/d/yyyy"/>
    </dxf>
    <dxf>
      <numFmt numFmtId="0" formatCode="General"/>
    </dxf>
    <dxf>
      <numFmt numFmtId="0" formatCode="General"/>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numFmt numFmtId="34" formatCode="_(&quot;$&quot;* #,##0.00_);_(&quot;$&quot;* \(#,##0.00\);_(&quot;$&quot;* &quot;-&quot;??_);_(@_)"/>
    </dxf>
    <dxf>
      <numFmt numFmtId="19" formatCode="m/d/yyyy"/>
    </dxf>
    <dxf>
      <numFmt numFmtId="19" formatCode="m/d/yyyy"/>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center" vertical="top" textRotation="0" wrapText="0" indent="0" justifyLastLine="0" shrinkToFit="0" readingOrder="0"/>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font>
        <b/>
      </font>
    </dxf>
    <dxf>
      <alignment vertical="center"/>
    </dxf>
    <dxf>
      <alignment horizontal="center"/>
    </dxf>
    <dxf>
      <alignment horizontal="center"/>
    </dxf>
    <dxf>
      <alignment vertical="center"/>
    </dxf>
    <dxf>
      <alignment vertical="center"/>
    </dxf>
    <dxf>
      <alignment horizontal="center"/>
    </dxf>
    <dxf>
      <alignment horizontal="center"/>
    </dxf>
    <dxf>
      <fill>
        <patternFill>
          <bgColor rgb="FF00B0F0"/>
        </patternFill>
      </fill>
    </dxf>
    <dxf>
      <numFmt numFmtId="13" formatCode="0%"/>
    </dxf>
    <dxf>
      <numFmt numFmtId="14" formatCode="0.00%"/>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left"/>
    </dxf>
    <dxf>
      <alignment horizontal="left"/>
    </dxf>
    <dxf>
      <alignment vertical="center"/>
    </dxf>
    <dxf>
      <alignment horizontal="center"/>
    </dxf>
    <dxf>
      <alignment horizontal="center"/>
    </dxf>
    <dxf>
      <alignment vertical="center"/>
    </dxf>
    <dxf>
      <alignment horizontal="center"/>
    </dxf>
    <dxf>
      <alignment horizontal="center"/>
    </dxf>
    <dxf>
      <alignment horizontal="center"/>
    </dxf>
    <dxf>
      <alignment horizontal="left"/>
    </dxf>
    <dxf>
      <alignment horizontal="left"/>
    </dxf>
    <dxf>
      <alignment vertical="center"/>
    </dxf>
    <dxf>
      <alignment vertical="center"/>
    </dxf>
    <dxf>
      <numFmt numFmtId="14" formatCode="0.00%"/>
    </dxf>
    <dxf>
      <alignment vertical="center"/>
    </dxf>
    <dxf>
      <alignment horizontal="center"/>
    </dxf>
    <dxf>
      <alignment horizontal="center"/>
    </dxf>
    <dxf>
      <alignment horizontal="center"/>
    </dxf>
    <dxf>
      <alignment horizontal="center"/>
    </dxf>
    <dxf>
      <alignment vertical="center"/>
    </dxf>
    <dxf>
      <alignment horizontal="center"/>
    </dxf>
    <dxf>
      <alignment horizontal="center"/>
    </dxf>
    <dxf>
      <alignment horizontal="center"/>
    </dxf>
    <dxf>
      <alignment horizontal="center"/>
    </dxf>
    <dxf>
      <alignment vertical="center"/>
    </dxf>
    <dxf>
      <alignment horizontal="center"/>
    </dxf>
    <dxf>
      <alignment horizontal="center"/>
    </dxf>
    <dxf>
      <alignment horizontal="center"/>
    </dxf>
    <dxf>
      <numFmt numFmtId="14" formatCode="0.00%"/>
    </dxf>
    <dxf>
      <alignment vertical="center"/>
    </dxf>
    <dxf>
      <alignment vertical="center"/>
    </dxf>
    <dxf>
      <alignment horizontal="center"/>
    </dxf>
    <dxf>
      <alignment horizontal="center"/>
    </dxf>
    <dxf>
      <alignment horizontal="center"/>
    </dxf>
    <dxf>
      <alignment horizontal="center"/>
    </dxf>
    <dxf>
      <alignment horizontal="center"/>
    </dxf>
    <dxf>
      <font>
        <b/>
      </font>
    </dxf>
    <dxf>
      <alignment horizontal="center"/>
    </dxf>
    <dxf>
      <alignment horizontal="center"/>
    </dxf>
    <dxf>
      <fill>
        <patternFill>
          <bgColor theme="7" tint="0.59996337778862885"/>
        </patternFill>
      </fill>
    </dxf>
    <dxf>
      <fill>
        <patternFill>
          <bgColor theme="3" tint="0.749961851863155"/>
        </patternFill>
      </fill>
    </dxf>
    <dxf>
      <font>
        <b/>
        <i val="0"/>
      </font>
    </dxf>
  </dxfs>
  <tableStyles count="1" defaultTableStyle="TableStyleMedium2" defaultPivotStyle="PivotStyleLight16">
    <tableStyle name="Slicer Style 1" pivot="0" table="0" count="2" xr9:uid="{5CCEC48C-D8F2-4358-84C4-1F836BBA0A16}">
      <tableStyleElement type="wholeTable" dxfId="114"/>
    </tableStyle>
  </tableStyles>
  <colors>
    <mruColors>
      <color rgb="FF68AEB0"/>
      <color rgb="FF15691D"/>
      <color rgb="FF3D7E32"/>
      <color rgb="FF34883C"/>
      <color rgb="FFC0BCAC"/>
      <color rgb="FFDED5CC"/>
      <color rgb="FFD1D2C8"/>
      <color rgb="FFF1C861"/>
      <color rgb="FFEBE6E1"/>
      <color rgb="FFE8E2DC"/>
    </mruColors>
  </colors>
  <extLst>
    <ext xmlns:x14="http://schemas.microsoft.com/office/spreadsheetml/2009/9/main" uri="{46F421CA-312F-682f-3DD2-61675219B42D}">
      <x14:dxfs count="1">
        <dxf>
          <fill>
            <patternFill>
              <bgColor rgb="FF3D7E32"/>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9.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0.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5.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6.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US" sz="1200" b="1">
                <a:solidFill>
                  <a:schemeClr val="tx1"/>
                </a:solidFill>
              </a:rPr>
              <a:t>Top 10 Occupied Positions</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0.38774125109361329"/>
          <c:y val="0.19949074074074077"/>
          <c:w val="0.57235198747009775"/>
          <c:h val="0.69310987168270621"/>
        </c:manualLayout>
      </c:layout>
      <c:barChart>
        <c:barDir val="bar"/>
        <c:grouping val="clustered"/>
        <c:varyColors val="0"/>
        <c:ser>
          <c:idx val="0"/>
          <c:order val="0"/>
          <c:spPr>
            <a:solidFill>
              <a:schemeClr val="accent1"/>
            </a:solidFill>
            <a:ln>
              <a:noFill/>
            </a:ln>
            <a:effectLst/>
          </c:spPr>
          <c:invertIfNegative val="0"/>
          <c:cat>
            <c:strRef>
              <c:f>'Count of Employee (Job Title)'!$D$3:$D$13</c:f>
              <c:strCache>
                <c:ptCount val="11"/>
                <c:pt idx="0">
                  <c:v>Manager</c:v>
                </c:pt>
                <c:pt idx="1">
                  <c:v>Vice President</c:v>
                </c:pt>
                <c:pt idx="2">
                  <c:v>Sr. Manager</c:v>
                </c:pt>
                <c:pt idx="3">
                  <c:v>Director</c:v>
                </c:pt>
                <c:pt idx="4">
                  <c:v>Analyst</c:v>
                </c:pt>
                <c:pt idx="5">
                  <c:v>Sr. Analyst</c:v>
                </c:pt>
                <c:pt idx="6">
                  <c:v>Analyst II</c:v>
                </c:pt>
                <c:pt idx="7">
                  <c:v>System Admin </c:v>
                </c:pt>
                <c:pt idx="8">
                  <c:v>Cloud Infrastructure Architect</c:v>
                </c:pt>
                <c:pt idx="9">
                  <c:v>Field Engineer</c:v>
                </c:pt>
                <c:pt idx="10">
                  <c:v>IT Coordinator</c:v>
                </c:pt>
              </c:strCache>
            </c:strRef>
          </c:cat>
          <c:val>
            <c:numRef>
              <c:f>'Count of Employee (Job Title)'!$E$3:$E$13</c:f>
              <c:numCache>
                <c:formatCode>General</c:formatCode>
                <c:ptCount val="11"/>
                <c:pt idx="0">
                  <c:v>89</c:v>
                </c:pt>
                <c:pt idx="1">
                  <c:v>87</c:v>
                </c:pt>
                <c:pt idx="2">
                  <c:v>75</c:v>
                </c:pt>
                <c:pt idx="3">
                  <c:v>73</c:v>
                </c:pt>
                <c:pt idx="4">
                  <c:v>58</c:v>
                </c:pt>
                <c:pt idx="5">
                  <c:v>49</c:v>
                </c:pt>
                <c:pt idx="6">
                  <c:v>46</c:v>
                </c:pt>
                <c:pt idx="7">
                  <c:v>19</c:v>
                </c:pt>
                <c:pt idx="8">
                  <c:v>19</c:v>
                </c:pt>
                <c:pt idx="9">
                  <c:v>19</c:v>
                </c:pt>
                <c:pt idx="10">
                  <c:v>19</c:v>
                </c:pt>
              </c:numCache>
            </c:numRef>
          </c:val>
          <c:extLst>
            <c:ext xmlns:c16="http://schemas.microsoft.com/office/drawing/2014/chart" uri="{C3380CC4-5D6E-409C-BE32-E72D297353CC}">
              <c16:uniqueId val="{00000000-2A81-4435-A856-06BF683B30F0}"/>
            </c:ext>
          </c:extLst>
        </c:ser>
        <c:dLbls>
          <c:showLegendKey val="0"/>
          <c:showVal val="0"/>
          <c:showCatName val="0"/>
          <c:showSerName val="0"/>
          <c:showPercent val="0"/>
          <c:showBubbleSize val="0"/>
        </c:dLbls>
        <c:gapWidth val="182"/>
        <c:axId val="1407859087"/>
        <c:axId val="1407855727"/>
      </c:barChart>
      <c:catAx>
        <c:axId val="14078590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407855727"/>
        <c:crosses val="autoZero"/>
        <c:auto val="1"/>
        <c:lblAlgn val="ctr"/>
        <c:lblOffset val="100"/>
        <c:noMultiLvlLbl val="0"/>
      </c:catAx>
      <c:valAx>
        <c:axId val="14078557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07859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r>
              <a:rPr lang="en-GB" sz="1000" b="1">
                <a:solidFill>
                  <a:sysClr val="windowText" lastClr="000000"/>
                </a:solidFill>
              </a:rPr>
              <a:t>Employee Count By Department and</a:t>
            </a:r>
            <a:r>
              <a:rPr lang="en-GB" sz="1000" b="1" baseline="0">
                <a:solidFill>
                  <a:sysClr val="windowText" lastClr="000000"/>
                </a:solidFill>
              </a:rPr>
              <a:t> Annual Salary</a:t>
            </a:r>
            <a:r>
              <a:rPr lang="en-GB" sz="1000" b="1">
                <a:solidFill>
                  <a:sysClr val="windowText" lastClr="000000"/>
                </a:solidFill>
              </a:rPr>
              <a:t> </a:t>
            </a:r>
          </a:p>
        </c:rich>
      </c:tx>
      <c:layout>
        <c:manualLayout>
          <c:xMode val="edge"/>
          <c:yMode val="edge"/>
          <c:x val="0.10937728937728938"/>
          <c:y val="1.5968067218438131E-2"/>
        </c:manualLayout>
      </c:layout>
      <c:overlay val="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v>Number of Employees</c:v>
          </c:tx>
          <c:spPr>
            <a:solidFill>
              <a:schemeClr val="accent1"/>
            </a:solidFill>
            <a:ln>
              <a:noFill/>
            </a:ln>
            <a:effectLst/>
          </c:spPr>
          <c:invertIfNegative val="0"/>
          <c:cat>
            <c:strRef>
              <c:f>'Salary by Department'!$F$2:$F$8</c:f>
              <c:strCache>
                <c:ptCount val="7"/>
                <c:pt idx="0">
                  <c:v>IT</c:v>
                </c:pt>
                <c:pt idx="1">
                  <c:v>Sales</c:v>
                </c:pt>
                <c:pt idx="2">
                  <c:v>Engineering</c:v>
                </c:pt>
                <c:pt idx="3">
                  <c:v>Accounting</c:v>
                </c:pt>
                <c:pt idx="4">
                  <c:v>Human Resources</c:v>
                </c:pt>
                <c:pt idx="5">
                  <c:v>Marketing</c:v>
                </c:pt>
                <c:pt idx="6">
                  <c:v>Finance</c:v>
                </c:pt>
              </c:strCache>
            </c:strRef>
          </c:cat>
          <c:val>
            <c:numRef>
              <c:f>'Salary by Department'!$G$2:$G$8</c:f>
              <c:numCache>
                <c:formatCode>General</c:formatCode>
                <c:ptCount val="7"/>
                <c:pt idx="0">
                  <c:v>240</c:v>
                </c:pt>
                <c:pt idx="1">
                  <c:v>121</c:v>
                </c:pt>
                <c:pt idx="2">
                  <c:v>116</c:v>
                </c:pt>
                <c:pt idx="3">
                  <c:v>92</c:v>
                </c:pt>
                <c:pt idx="4">
                  <c:v>91</c:v>
                </c:pt>
                <c:pt idx="5">
                  <c:v>90</c:v>
                </c:pt>
                <c:pt idx="6">
                  <c:v>81</c:v>
                </c:pt>
              </c:numCache>
            </c:numRef>
          </c:val>
          <c:extLst>
            <c:ext xmlns:c16="http://schemas.microsoft.com/office/drawing/2014/chart" uri="{C3380CC4-5D6E-409C-BE32-E72D297353CC}">
              <c16:uniqueId val="{00000000-B8B7-4533-85C0-B10B82D8144F}"/>
            </c:ext>
          </c:extLst>
        </c:ser>
        <c:dLbls>
          <c:showLegendKey val="0"/>
          <c:showVal val="0"/>
          <c:showCatName val="0"/>
          <c:showSerName val="0"/>
          <c:showPercent val="0"/>
          <c:showBubbleSize val="0"/>
        </c:dLbls>
        <c:gapWidth val="150"/>
        <c:axId val="944147391"/>
        <c:axId val="944147871"/>
      </c:barChart>
      <c:lineChart>
        <c:grouping val="standard"/>
        <c:varyColors val="0"/>
        <c:ser>
          <c:idx val="1"/>
          <c:order val="1"/>
          <c:tx>
            <c:v>% of Accrued Salary</c:v>
          </c:tx>
          <c:spPr>
            <a:ln w="28575" cap="rnd">
              <a:solidFill>
                <a:schemeClr val="accent2"/>
              </a:solidFill>
              <a:round/>
            </a:ln>
            <a:effectLst/>
          </c:spPr>
          <c:marker>
            <c:symbol val="none"/>
          </c:marker>
          <c:cat>
            <c:strRef>
              <c:f>'Salary by Department'!$F$2:$F$8</c:f>
              <c:strCache>
                <c:ptCount val="7"/>
                <c:pt idx="0">
                  <c:v>IT</c:v>
                </c:pt>
                <c:pt idx="1">
                  <c:v>Sales</c:v>
                </c:pt>
                <c:pt idx="2">
                  <c:v>Engineering</c:v>
                </c:pt>
                <c:pt idx="3">
                  <c:v>Accounting</c:v>
                </c:pt>
                <c:pt idx="4">
                  <c:v>Human Resources</c:v>
                </c:pt>
                <c:pt idx="5">
                  <c:v>Marketing</c:v>
                </c:pt>
                <c:pt idx="6">
                  <c:v>Finance</c:v>
                </c:pt>
              </c:strCache>
            </c:strRef>
          </c:cat>
          <c:val>
            <c:numRef>
              <c:f>'Salary by Department'!$I$2:$I$8</c:f>
              <c:numCache>
                <c:formatCode>0.00%</c:formatCode>
                <c:ptCount val="7"/>
                <c:pt idx="0">
                  <c:v>0.22735719373608579</c:v>
                </c:pt>
                <c:pt idx="1">
                  <c:v>0.14340531768467316</c:v>
                </c:pt>
                <c:pt idx="2">
                  <c:v>0.13563841113432176</c:v>
                </c:pt>
                <c:pt idx="3">
                  <c:v>0.13127164963339027</c:v>
                </c:pt>
                <c:pt idx="4">
                  <c:v>0.12848796314579375</c:v>
                </c:pt>
                <c:pt idx="5">
                  <c:v>0.12931725603905264</c:v>
                </c:pt>
                <c:pt idx="6">
                  <c:v>0.10452220862668263</c:v>
                </c:pt>
              </c:numCache>
            </c:numRef>
          </c:val>
          <c:smooth val="0"/>
          <c:extLst>
            <c:ext xmlns:c16="http://schemas.microsoft.com/office/drawing/2014/chart" uri="{C3380CC4-5D6E-409C-BE32-E72D297353CC}">
              <c16:uniqueId val="{00000001-B8B7-4533-85C0-B10B82D8144F}"/>
            </c:ext>
          </c:extLst>
        </c:ser>
        <c:dLbls>
          <c:showLegendKey val="0"/>
          <c:showVal val="0"/>
          <c:showCatName val="0"/>
          <c:showSerName val="0"/>
          <c:showPercent val="0"/>
          <c:showBubbleSize val="0"/>
        </c:dLbls>
        <c:marker val="1"/>
        <c:smooth val="0"/>
        <c:axId val="944146911"/>
        <c:axId val="944140191"/>
      </c:lineChart>
      <c:catAx>
        <c:axId val="944147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944147871"/>
        <c:crosses val="autoZero"/>
        <c:auto val="1"/>
        <c:lblAlgn val="ctr"/>
        <c:lblOffset val="100"/>
        <c:noMultiLvlLbl val="0"/>
      </c:catAx>
      <c:valAx>
        <c:axId val="944147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944147391"/>
        <c:crosses val="autoZero"/>
        <c:crossBetween val="between"/>
      </c:valAx>
      <c:valAx>
        <c:axId val="944140191"/>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944146911"/>
        <c:crosses val="max"/>
        <c:crossBetween val="between"/>
      </c:valAx>
      <c:catAx>
        <c:axId val="944146911"/>
        <c:scaling>
          <c:orientation val="minMax"/>
        </c:scaling>
        <c:delete val="1"/>
        <c:axPos val="b"/>
        <c:numFmt formatCode="General" sourceLinked="1"/>
        <c:majorTickMark val="none"/>
        <c:minorTickMark val="none"/>
        <c:tickLblPos val="nextTo"/>
        <c:crossAx val="94414019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ysClr val="windowText" lastClr="000000"/>
                </a:solidFill>
                <a:latin typeface="+mn-lt"/>
                <a:ea typeface="+mn-ea"/>
                <a:cs typeface="+mn-cs"/>
              </a:defRPr>
            </a:pPr>
            <a:r>
              <a:rPr lang="en-GB" sz="1100" b="1">
                <a:solidFill>
                  <a:sysClr val="windowText" lastClr="000000"/>
                </a:solidFill>
              </a:rPr>
              <a:t>Gender</a:t>
            </a:r>
            <a:r>
              <a:rPr lang="en-GB" sz="1100" b="1" baseline="0">
                <a:solidFill>
                  <a:sysClr val="windowText" lastClr="000000"/>
                </a:solidFill>
              </a:rPr>
              <a:t> Salary by Business Unit</a:t>
            </a:r>
          </a:p>
        </c:rich>
      </c:tx>
      <c:overlay val="0"/>
      <c:spPr>
        <a:noFill/>
        <a:ln>
          <a:noFill/>
        </a:ln>
        <a:effectLst/>
      </c:spPr>
      <c:txPr>
        <a:bodyPr rot="0" spcFirstLastPara="1" vertOverflow="ellipsis" vert="horz" wrap="square" anchor="ctr" anchorCtr="1"/>
        <a:lstStyle/>
        <a:p>
          <a:pPr>
            <a:defRPr sz="1100" b="1" i="0" u="none" strike="noStrike" kern="1200" spc="0" baseline="0">
              <a:solidFill>
                <a:sysClr val="windowText" lastClr="000000"/>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Male</c:v>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'Salary by Business Unit'!$G$3:$G$6</c:f>
              <c:strCache>
                <c:ptCount val="4"/>
                <c:pt idx="0">
                  <c:v>Corporate</c:v>
                </c:pt>
                <c:pt idx="1">
                  <c:v>Manufacturing</c:v>
                </c:pt>
                <c:pt idx="2">
                  <c:v>R &amp; D</c:v>
                </c:pt>
                <c:pt idx="3">
                  <c:v>Specialty Products</c:v>
                </c:pt>
              </c:strCache>
            </c:strRef>
          </c:cat>
          <c:val>
            <c:numRef>
              <c:f>'Salary by Business Unit'!$K$3:$K$6</c:f>
              <c:numCache>
                <c:formatCode>0%</c:formatCode>
                <c:ptCount val="4"/>
                <c:pt idx="0">
                  <c:v>0.44908024032388372</c:v>
                </c:pt>
                <c:pt idx="1">
                  <c:v>0.51879261211600547</c:v>
                </c:pt>
                <c:pt idx="2">
                  <c:v>0.4298990654199758</c:v>
                </c:pt>
                <c:pt idx="3">
                  <c:v>0.47297464925274307</c:v>
                </c:pt>
              </c:numCache>
            </c:numRef>
          </c:val>
          <c:extLst>
            <c:ext xmlns:c16="http://schemas.microsoft.com/office/drawing/2014/chart" uri="{C3380CC4-5D6E-409C-BE32-E72D297353CC}">
              <c16:uniqueId val="{00000000-1F9E-4584-A4C0-3E9A9D2F44DC}"/>
            </c:ext>
          </c:extLst>
        </c:ser>
        <c:ser>
          <c:idx val="1"/>
          <c:order val="1"/>
          <c:tx>
            <c:v>Female</c:v>
          </c:tx>
          <c:spPr>
            <a:solidFill>
              <a:schemeClr val="accent2"/>
            </a:solidFill>
            <a:ln>
              <a:noFill/>
            </a:ln>
            <a:effectLst/>
            <a:sp3d/>
          </c:spPr>
          <c:invertIfNegative val="0"/>
          <c:dLbls>
            <c:dLbl>
              <c:idx val="1"/>
              <c:layout>
                <c:manualLayout>
                  <c:x val="1.6666666666666666E-2"/>
                  <c:y val="-4.2437781360066642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F9E-4584-A4C0-3E9A9D2F44DC}"/>
                </c:ext>
              </c:extLst>
            </c:dLbl>
            <c:dLbl>
              <c:idx val="2"/>
              <c:layout>
                <c:manualLayout>
                  <c:x val="1.1111111111111112E-2"/>
                  <c:y val="-4.629629629629651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F9E-4584-A4C0-3E9A9D2F44DC}"/>
                </c:ext>
              </c:extLst>
            </c:dLbl>
            <c:dLbl>
              <c:idx val="3"/>
              <c:layout>
                <c:manualLayout>
                  <c:x val="1.3888888888888788E-2"/>
                  <c:y val="-4.629629629629671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F9E-4584-A4C0-3E9A9D2F44DC}"/>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'Salary by Business Unit'!$G$3:$G$6</c:f>
              <c:strCache>
                <c:ptCount val="4"/>
                <c:pt idx="0">
                  <c:v>Corporate</c:v>
                </c:pt>
                <c:pt idx="1">
                  <c:v>Manufacturing</c:v>
                </c:pt>
                <c:pt idx="2">
                  <c:v>R &amp; D</c:v>
                </c:pt>
                <c:pt idx="3">
                  <c:v>Specialty Products</c:v>
                </c:pt>
              </c:strCache>
            </c:strRef>
          </c:cat>
          <c:val>
            <c:numRef>
              <c:f>'Salary by Business Unit'!$L$3:$L$6</c:f>
              <c:numCache>
                <c:formatCode>0%</c:formatCode>
                <c:ptCount val="4"/>
                <c:pt idx="0">
                  <c:v>0.55091975967611628</c:v>
                </c:pt>
                <c:pt idx="1">
                  <c:v>0.48120738788399453</c:v>
                </c:pt>
                <c:pt idx="2">
                  <c:v>0.5701009345800242</c:v>
                </c:pt>
                <c:pt idx="3">
                  <c:v>0.52702535074725687</c:v>
                </c:pt>
              </c:numCache>
            </c:numRef>
          </c:val>
          <c:extLst>
            <c:ext xmlns:c16="http://schemas.microsoft.com/office/drawing/2014/chart" uri="{C3380CC4-5D6E-409C-BE32-E72D297353CC}">
              <c16:uniqueId val="{00000001-1F9E-4584-A4C0-3E9A9D2F44DC}"/>
            </c:ext>
          </c:extLst>
        </c:ser>
        <c:dLbls>
          <c:showLegendKey val="0"/>
          <c:showVal val="1"/>
          <c:showCatName val="0"/>
          <c:showSerName val="0"/>
          <c:showPercent val="0"/>
          <c:showBubbleSize val="0"/>
        </c:dLbls>
        <c:gapWidth val="150"/>
        <c:shape val="box"/>
        <c:axId val="1968979519"/>
        <c:axId val="1968965119"/>
        <c:axId val="0"/>
      </c:bar3DChart>
      <c:catAx>
        <c:axId val="19689795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968965119"/>
        <c:crosses val="autoZero"/>
        <c:auto val="1"/>
        <c:lblAlgn val="ctr"/>
        <c:lblOffset val="100"/>
        <c:noMultiLvlLbl val="0"/>
      </c:catAx>
      <c:valAx>
        <c:axId val="196896511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968979519"/>
        <c:crosses val="autoZero"/>
        <c:crossBetween val="between"/>
      </c:valAx>
      <c:spPr>
        <a:noFill/>
        <a:ln>
          <a:noFill/>
        </a:ln>
        <a:effectLst/>
      </c:spPr>
    </c:plotArea>
    <c:legend>
      <c:legendPos val="b"/>
      <c:layout>
        <c:manualLayout>
          <c:xMode val="edge"/>
          <c:yMode val="edge"/>
          <c:x val="0.29279746281714786"/>
          <c:y val="0.89409667541557303"/>
          <c:w val="0.39773840769903757"/>
          <c:h val="7.8125546806649168E-2"/>
        </c:manualLayout>
      </c:layou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r>
              <a:rPr lang="en-US" sz="1200" b="1">
                <a:solidFill>
                  <a:sysClr val="windowText" lastClr="000000"/>
                </a:solidFill>
              </a:rPr>
              <a:t>Dominant Ethich Group</a:t>
            </a:r>
          </a:p>
        </c:rich>
      </c:tx>
      <c:overlay val="0"/>
      <c:spPr>
        <a:noFill/>
        <a:ln>
          <a:noFill/>
        </a:ln>
        <a:effectLst/>
      </c:spPr>
      <c:txPr>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2-2C28-43F7-9186-D289E78AEDB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2C28-43F7-9186-D289E78AEDB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2C28-43F7-9186-D289E78AEDB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3-2C28-43F7-9186-D289E78AEDB4}"/>
              </c:ext>
            </c:extLst>
          </c:dPt>
          <c:dLbls>
            <c:dLbl>
              <c:idx val="0"/>
              <c:layout>
                <c:manualLayout>
                  <c:x val="8.3789242762564983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C28-43F7-9186-D289E78AEDB4}"/>
                </c:ext>
              </c:extLst>
            </c:dLbl>
            <c:dLbl>
              <c:idx val="1"/>
              <c:layout>
                <c:manualLayout>
                  <c:x val="1.9444444444444393E-2"/>
                  <c:y val="-9.259259259259267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C28-43F7-9186-D289E78AEDB4}"/>
                </c:ext>
              </c:extLst>
            </c:dLbl>
            <c:dLbl>
              <c:idx val="2"/>
              <c:layout>
                <c:manualLayout>
                  <c:x val="-6.7495906295295213E-2"/>
                  <c:y val="-4.16665968151040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C28-43F7-9186-D289E78AEDB4}"/>
                </c:ext>
              </c:extLst>
            </c:dLbl>
            <c:dLbl>
              <c:idx val="3"/>
              <c:layout>
                <c:manualLayout>
                  <c:x val="2.3051357386296788E-2"/>
                  <c:y val="7.87037114649884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C28-43F7-9186-D289E78AEDB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'Most Dominant Ethnic Group'!$E$2:$E$5</c:f>
              <c:strCache>
                <c:ptCount val="4"/>
                <c:pt idx="0">
                  <c:v>Asian</c:v>
                </c:pt>
                <c:pt idx="1">
                  <c:v>Latino</c:v>
                </c:pt>
                <c:pt idx="2">
                  <c:v>Caucasian</c:v>
                </c:pt>
                <c:pt idx="3">
                  <c:v>Black</c:v>
                </c:pt>
              </c:strCache>
            </c:strRef>
          </c:cat>
          <c:val>
            <c:numRef>
              <c:f>'Most Dominant Ethnic Group'!$G$2:$G$5</c:f>
              <c:numCache>
                <c:formatCode>0.00%</c:formatCode>
                <c:ptCount val="4"/>
                <c:pt idx="0">
                  <c:v>0.43080625752105894</c:v>
                </c:pt>
                <c:pt idx="1">
                  <c:v>0.27797833935018051</c:v>
                </c:pt>
                <c:pt idx="2">
                  <c:v>0.22262334536702769</c:v>
                </c:pt>
                <c:pt idx="3">
                  <c:v>6.8592057761732855E-2</c:v>
                </c:pt>
              </c:numCache>
            </c:numRef>
          </c:val>
          <c:extLst>
            <c:ext xmlns:c16="http://schemas.microsoft.com/office/drawing/2014/chart" uri="{C3380CC4-5D6E-409C-BE32-E72D297353CC}">
              <c16:uniqueId val="{00000000-2C28-43F7-9186-D289E78AEDB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0.18899048066752849"/>
          <c:y val="0.89409667541557303"/>
          <c:w val="0.69921667254279785"/>
          <c:h val="7.8125546806649168E-2"/>
        </c:manualLayout>
      </c:layou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r>
              <a:rPr lang="en-US" sz="1200" b="1">
                <a:solidFill>
                  <a:sysClr val="windowText" lastClr="000000"/>
                </a:solidFill>
              </a:rPr>
              <a:t>Hire by Day</a:t>
            </a:r>
          </a:p>
        </c:rich>
      </c:tx>
      <c:overlay val="0"/>
      <c:spPr>
        <a:noFill/>
        <a:ln>
          <a:noFill/>
        </a:ln>
        <a:effectLst/>
      </c:spPr>
      <c:txPr>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236920384951881"/>
          <c:y val="0.20412037037037037"/>
          <c:w val="0.82450615970301011"/>
          <c:h val="0.55422098279381748"/>
        </c:manualLayout>
      </c:layout>
      <c:barChart>
        <c:barDir val="col"/>
        <c:grouping val="clustered"/>
        <c:varyColors val="0"/>
        <c:ser>
          <c:idx val="0"/>
          <c:order val="0"/>
          <c:spPr>
            <a:solidFill>
              <a:schemeClr val="accent1"/>
            </a:solidFill>
            <a:ln>
              <a:noFill/>
            </a:ln>
            <a:effectLst/>
          </c:spPr>
          <c:invertIfNegative val="0"/>
          <c:dLbls>
            <c:dLbl>
              <c:idx val="0"/>
              <c:layout>
                <c:manualLayout>
                  <c:x val="-1.7022396980082442E-17"/>
                  <c:y val="1.621203684934820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149-4694-BA47-CFFE9765CAD8}"/>
                </c:ext>
              </c:extLst>
            </c:dLbl>
            <c:dLbl>
              <c:idx val="1"/>
              <c:layout>
                <c:manualLayout>
                  <c:x val="-3.4044793960164884E-17"/>
                  <c:y val="2.164313334068880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149-4694-BA47-CFFE9765CAD8}"/>
                </c:ext>
              </c:extLst>
            </c:dLbl>
            <c:dLbl>
              <c:idx val="2"/>
              <c:layout>
                <c:manualLayout>
                  <c:x val="-3.7140204271123491E-3"/>
                  <c:y val="1.621203684934822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149-4694-BA47-CFFE9765CAD8}"/>
                </c:ext>
              </c:extLst>
            </c:dLbl>
            <c:dLbl>
              <c:idx val="3"/>
              <c:layout>
                <c:manualLayout>
                  <c:x val="-6.8089587920329768E-17"/>
                  <c:y val="1.078094035800756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149-4694-BA47-CFFE9765CAD8}"/>
                </c:ext>
              </c:extLst>
            </c:dLbl>
            <c:dLbl>
              <c:idx val="4"/>
              <c:layout>
                <c:manualLayout>
                  <c:x val="0"/>
                  <c:y val="2.707422983202939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149-4694-BA47-CFFE9765CAD8}"/>
                </c:ext>
              </c:extLst>
            </c:dLbl>
            <c:dLbl>
              <c:idx val="5"/>
              <c:layout>
                <c:manualLayout>
                  <c:x val="-1.3617917584065954E-16"/>
                  <c:y val="2.707422983202944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149-4694-BA47-CFFE9765CAD8}"/>
                </c:ext>
              </c:extLst>
            </c:dLbl>
            <c:dLbl>
              <c:idx val="6"/>
              <c:layout>
                <c:manualLayout>
                  <c:x val="0"/>
                  <c:y val="2.707422983202944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149-4694-BA47-CFFE9765CAD8}"/>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'Hire By Day'!$D$3:$D$9</c:f>
              <c:strCache>
                <c:ptCount val="7"/>
                <c:pt idx="0">
                  <c:v>Sunday</c:v>
                </c:pt>
                <c:pt idx="1">
                  <c:v>Monday</c:v>
                </c:pt>
                <c:pt idx="2">
                  <c:v>Friday</c:v>
                </c:pt>
                <c:pt idx="3">
                  <c:v>Wednesday</c:v>
                </c:pt>
                <c:pt idx="4">
                  <c:v>Saturday</c:v>
                </c:pt>
                <c:pt idx="5">
                  <c:v>Tuesday</c:v>
                </c:pt>
                <c:pt idx="6">
                  <c:v>Thursday</c:v>
                </c:pt>
              </c:strCache>
            </c:strRef>
          </c:cat>
          <c:val>
            <c:numRef>
              <c:f>'Hire By Day'!$E$3:$E$9</c:f>
              <c:numCache>
                <c:formatCode>General</c:formatCode>
                <c:ptCount val="7"/>
                <c:pt idx="0">
                  <c:v>139</c:v>
                </c:pt>
                <c:pt idx="1">
                  <c:v>136</c:v>
                </c:pt>
                <c:pt idx="2">
                  <c:v>127</c:v>
                </c:pt>
                <c:pt idx="3">
                  <c:v>114</c:v>
                </c:pt>
                <c:pt idx="4">
                  <c:v>107</c:v>
                </c:pt>
                <c:pt idx="5">
                  <c:v>107</c:v>
                </c:pt>
                <c:pt idx="6">
                  <c:v>101</c:v>
                </c:pt>
              </c:numCache>
            </c:numRef>
          </c:val>
          <c:extLst>
            <c:ext xmlns:c16="http://schemas.microsoft.com/office/drawing/2014/chart" uri="{C3380CC4-5D6E-409C-BE32-E72D297353CC}">
              <c16:uniqueId val="{00000000-A149-4694-BA47-CFFE9765CAD8}"/>
            </c:ext>
          </c:extLst>
        </c:ser>
        <c:dLbls>
          <c:dLblPos val="inEnd"/>
          <c:showLegendKey val="0"/>
          <c:showVal val="1"/>
          <c:showCatName val="0"/>
          <c:showSerName val="0"/>
          <c:showPercent val="0"/>
          <c:showBubbleSize val="0"/>
        </c:dLbls>
        <c:gapWidth val="219"/>
        <c:overlap val="-27"/>
        <c:axId val="1613743407"/>
        <c:axId val="1613740047"/>
      </c:barChart>
      <c:catAx>
        <c:axId val="1613743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613740047"/>
        <c:crosses val="autoZero"/>
        <c:auto val="1"/>
        <c:lblAlgn val="ctr"/>
        <c:lblOffset val="100"/>
        <c:noMultiLvlLbl val="0"/>
      </c:catAx>
      <c:valAx>
        <c:axId val="1613740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61374340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7335807770088791"/>
          <c:y val="0.13671002183398759"/>
          <c:w val="0.58404672968011384"/>
          <c:h val="0.7986879062217207"/>
        </c:manualLayout>
      </c:layout>
      <c:barChart>
        <c:barDir val="bar"/>
        <c:grouping val="clustered"/>
        <c:varyColors val="0"/>
        <c:ser>
          <c:idx val="0"/>
          <c:order val="0"/>
          <c:spPr>
            <a:solidFill>
              <a:srgbClr val="15691D"/>
            </a:solidFill>
            <a:ln>
              <a:noFill/>
            </a:ln>
            <a:effectLst/>
            <a:scene3d>
              <a:camera prst="orthographicFront"/>
              <a:lightRig rig="threePt" dir="t"/>
            </a:scene3d>
            <a:sp3d>
              <a:bevelT prst="relaxedInset"/>
            </a:sp3d>
          </c:spPr>
          <c:invertIfNegative val="0"/>
          <c:cat>
            <c:strRef>
              <c:f>'Count of Employee (Job Title)'!$D$3:$D$13</c:f>
              <c:strCache>
                <c:ptCount val="11"/>
                <c:pt idx="0">
                  <c:v>Manager</c:v>
                </c:pt>
                <c:pt idx="1">
                  <c:v>Vice President</c:v>
                </c:pt>
                <c:pt idx="2">
                  <c:v>Sr. Manager</c:v>
                </c:pt>
                <c:pt idx="3">
                  <c:v>Director</c:v>
                </c:pt>
                <c:pt idx="4">
                  <c:v>Analyst</c:v>
                </c:pt>
                <c:pt idx="5">
                  <c:v>Sr. Analyst</c:v>
                </c:pt>
                <c:pt idx="6">
                  <c:v>Analyst II</c:v>
                </c:pt>
                <c:pt idx="7">
                  <c:v>System Admin </c:v>
                </c:pt>
                <c:pt idx="8">
                  <c:v>Cloud Infrastructure Architect</c:v>
                </c:pt>
                <c:pt idx="9">
                  <c:v>Field Engineer</c:v>
                </c:pt>
                <c:pt idx="10">
                  <c:v>IT Coordinator</c:v>
                </c:pt>
              </c:strCache>
            </c:strRef>
          </c:cat>
          <c:val>
            <c:numRef>
              <c:f>'Count of Employee (Job Title)'!$E$3:$E$13</c:f>
              <c:numCache>
                <c:formatCode>General</c:formatCode>
                <c:ptCount val="11"/>
                <c:pt idx="0">
                  <c:v>89</c:v>
                </c:pt>
                <c:pt idx="1">
                  <c:v>87</c:v>
                </c:pt>
                <c:pt idx="2">
                  <c:v>75</c:v>
                </c:pt>
                <c:pt idx="3">
                  <c:v>73</c:v>
                </c:pt>
                <c:pt idx="4">
                  <c:v>58</c:v>
                </c:pt>
                <c:pt idx="5">
                  <c:v>49</c:v>
                </c:pt>
                <c:pt idx="6">
                  <c:v>46</c:v>
                </c:pt>
                <c:pt idx="7">
                  <c:v>19</c:v>
                </c:pt>
                <c:pt idx="8">
                  <c:v>19</c:v>
                </c:pt>
                <c:pt idx="9">
                  <c:v>19</c:v>
                </c:pt>
                <c:pt idx="10">
                  <c:v>19</c:v>
                </c:pt>
              </c:numCache>
            </c:numRef>
          </c:val>
          <c:extLst>
            <c:ext xmlns:c16="http://schemas.microsoft.com/office/drawing/2014/chart" uri="{C3380CC4-5D6E-409C-BE32-E72D297353CC}">
              <c16:uniqueId val="{00000000-B428-45C0-A4CD-170403B760A7}"/>
            </c:ext>
          </c:extLst>
        </c:ser>
        <c:dLbls>
          <c:showLegendKey val="0"/>
          <c:showVal val="0"/>
          <c:showCatName val="0"/>
          <c:showSerName val="0"/>
          <c:showPercent val="0"/>
          <c:showBubbleSize val="0"/>
        </c:dLbls>
        <c:gapWidth val="182"/>
        <c:axId val="1407859087"/>
        <c:axId val="1407855727"/>
      </c:barChart>
      <c:catAx>
        <c:axId val="140785908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407855727"/>
        <c:crosses val="autoZero"/>
        <c:auto val="1"/>
        <c:lblAlgn val="ctr"/>
        <c:lblOffset val="100"/>
        <c:noMultiLvlLbl val="0"/>
      </c:catAx>
      <c:valAx>
        <c:axId val="1407855727"/>
        <c:scaling>
          <c:orientation val="minMax"/>
        </c:scaling>
        <c:delete val="1"/>
        <c:axPos val="b"/>
        <c:numFmt formatCode="General" sourceLinked="1"/>
        <c:majorTickMark val="out"/>
        <c:minorTickMark val="none"/>
        <c:tickLblPos val="nextTo"/>
        <c:crossAx val="1407859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407294081649466"/>
          <c:y val="0.19046867235960604"/>
          <c:w val="0.87618861285349459"/>
          <c:h val="0.31823018253752794"/>
        </c:manualLayout>
      </c:layout>
      <c:bar3DChart>
        <c:barDir val="col"/>
        <c:grouping val="clustered"/>
        <c:varyColors val="0"/>
        <c:ser>
          <c:idx val="0"/>
          <c:order val="0"/>
          <c:tx>
            <c:v>Male</c:v>
          </c:tx>
          <c:spPr>
            <a:solidFill>
              <a:srgbClr val="15691D"/>
            </a:solidFill>
            <a:ln>
              <a:noFill/>
            </a:ln>
            <a:effectLst/>
            <a:scene3d>
              <a:camera prst="orthographicFront"/>
              <a:lightRig rig="threePt" dir="t"/>
            </a:scene3d>
            <a:sp3d>
              <a:bevelT prst="relaxedInset"/>
            </a:sp3d>
          </c:spPr>
          <c:invertIfNegative val="0"/>
          <c:dLbls>
            <c:dLbl>
              <c:idx val="0"/>
              <c:layout>
                <c:manualLayout>
                  <c:x val="-1.120944299954103E-2"/>
                  <c:y val="5.680118110676430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D26-462D-947A-636BCD2C7C49}"/>
                </c:ext>
              </c:extLst>
            </c:dLbl>
            <c:dLbl>
              <c:idx val="1"/>
              <c:layout>
                <c:manualLayout>
                  <c:x val="-1.120944299954103E-2"/>
                  <c:y val="5.680118110676404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D26-462D-947A-636BCD2C7C49}"/>
                </c:ext>
              </c:extLst>
            </c:dLbl>
            <c:dLbl>
              <c:idx val="2"/>
              <c:layout>
                <c:manualLayout>
                  <c:x val="-1.120944299954109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D26-462D-947A-636BCD2C7C49}"/>
                </c:ext>
              </c:extLst>
            </c:dLbl>
            <c:dLbl>
              <c:idx val="3"/>
              <c:layout>
                <c:manualLayout>
                  <c:x val="-1.1209442999541167E-2"/>
                  <c:y val="5.680118110676404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D26-462D-947A-636BCD2C7C4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'Salary by Business Unit'!$G$3:$G$6</c:f>
              <c:strCache>
                <c:ptCount val="4"/>
                <c:pt idx="0">
                  <c:v>Corporate</c:v>
                </c:pt>
                <c:pt idx="1">
                  <c:v>Manufacturing</c:v>
                </c:pt>
                <c:pt idx="2">
                  <c:v>R &amp; D</c:v>
                </c:pt>
                <c:pt idx="3">
                  <c:v>Specialty Products</c:v>
                </c:pt>
              </c:strCache>
            </c:strRef>
          </c:cat>
          <c:val>
            <c:numRef>
              <c:f>'Salary by Business Unit'!$K$3:$K$6</c:f>
              <c:numCache>
                <c:formatCode>0%</c:formatCode>
                <c:ptCount val="4"/>
                <c:pt idx="0">
                  <c:v>0.44908024032388372</c:v>
                </c:pt>
                <c:pt idx="1">
                  <c:v>0.51879261211600547</c:v>
                </c:pt>
                <c:pt idx="2">
                  <c:v>0.4298990654199758</c:v>
                </c:pt>
                <c:pt idx="3">
                  <c:v>0.47297464925274307</c:v>
                </c:pt>
              </c:numCache>
            </c:numRef>
          </c:val>
          <c:extLst>
            <c:ext xmlns:c16="http://schemas.microsoft.com/office/drawing/2014/chart" uri="{C3380CC4-5D6E-409C-BE32-E72D297353CC}">
              <c16:uniqueId val="{00000000-CD26-462D-947A-636BCD2C7C49}"/>
            </c:ext>
          </c:extLst>
        </c:ser>
        <c:ser>
          <c:idx val="1"/>
          <c:order val="1"/>
          <c:tx>
            <c:v>Female</c:v>
          </c:tx>
          <c:spPr>
            <a:solidFill>
              <a:srgbClr val="C0BCAC"/>
            </a:solidFill>
            <a:ln>
              <a:noFill/>
            </a:ln>
            <a:effectLst/>
            <a:scene3d>
              <a:camera prst="orthographicFront"/>
              <a:lightRig rig="threePt" dir="t"/>
            </a:scene3d>
            <a:sp3d>
              <a:bevelT prst="relaxedInset"/>
            </a:sp3d>
          </c:spPr>
          <c:invertIfNegative val="0"/>
          <c:dLbls>
            <c:dLbl>
              <c:idx val="1"/>
              <c:layout>
                <c:manualLayout>
                  <c:x val="1.6666666666666666E-2"/>
                  <c:y val="-4.2437781360066642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D26-462D-947A-636BCD2C7C49}"/>
                </c:ext>
              </c:extLst>
            </c:dLbl>
            <c:dLbl>
              <c:idx val="2"/>
              <c:layout>
                <c:manualLayout>
                  <c:x val="1.1111111111111112E-2"/>
                  <c:y val="-4.629629629629651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D26-462D-947A-636BCD2C7C49}"/>
                </c:ext>
              </c:extLst>
            </c:dLbl>
            <c:dLbl>
              <c:idx val="3"/>
              <c:layout>
                <c:manualLayout>
                  <c:x val="1.3888888888888788E-2"/>
                  <c:y val="-4.629629629629671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D26-462D-947A-636BCD2C7C4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'Salary by Business Unit'!$G$3:$G$6</c:f>
              <c:strCache>
                <c:ptCount val="4"/>
                <c:pt idx="0">
                  <c:v>Corporate</c:v>
                </c:pt>
                <c:pt idx="1">
                  <c:v>Manufacturing</c:v>
                </c:pt>
                <c:pt idx="2">
                  <c:v>R &amp; D</c:v>
                </c:pt>
                <c:pt idx="3">
                  <c:v>Specialty Products</c:v>
                </c:pt>
              </c:strCache>
            </c:strRef>
          </c:cat>
          <c:val>
            <c:numRef>
              <c:f>'Salary by Business Unit'!$L$3:$L$6</c:f>
              <c:numCache>
                <c:formatCode>0%</c:formatCode>
                <c:ptCount val="4"/>
                <c:pt idx="0">
                  <c:v>0.55091975967611628</c:v>
                </c:pt>
                <c:pt idx="1">
                  <c:v>0.48120738788399453</c:v>
                </c:pt>
                <c:pt idx="2">
                  <c:v>0.5701009345800242</c:v>
                </c:pt>
                <c:pt idx="3">
                  <c:v>0.52702535074725687</c:v>
                </c:pt>
              </c:numCache>
            </c:numRef>
          </c:val>
          <c:extLst>
            <c:ext xmlns:c16="http://schemas.microsoft.com/office/drawing/2014/chart" uri="{C3380CC4-5D6E-409C-BE32-E72D297353CC}">
              <c16:uniqueId val="{00000004-CD26-462D-947A-636BCD2C7C49}"/>
            </c:ext>
          </c:extLst>
        </c:ser>
        <c:dLbls>
          <c:showLegendKey val="0"/>
          <c:showVal val="1"/>
          <c:showCatName val="0"/>
          <c:showSerName val="0"/>
          <c:showPercent val="0"/>
          <c:showBubbleSize val="0"/>
        </c:dLbls>
        <c:gapWidth val="150"/>
        <c:shape val="box"/>
        <c:axId val="1968979519"/>
        <c:axId val="1968965119"/>
        <c:axId val="0"/>
      </c:bar3DChart>
      <c:catAx>
        <c:axId val="19689795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968965119"/>
        <c:crosses val="autoZero"/>
        <c:auto val="1"/>
        <c:lblAlgn val="ctr"/>
        <c:lblOffset val="100"/>
        <c:noMultiLvlLbl val="0"/>
      </c:catAx>
      <c:valAx>
        <c:axId val="196896511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968979519"/>
        <c:crosses val="autoZero"/>
        <c:crossBetween val="between"/>
      </c:valAx>
      <c:spPr>
        <a:noFill/>
        <a:ln>
          <a:noFill/>
        </a:ln>
        <a:effectLst/>
      </c:spPr>
    </c:plotArea>
    <c:legend>
      <c:legendPos val="b"/>
      <c:layout>
        <c:manualLayout>
          <c:xMode val="edge"/>
          <c:yMode val="edge"/>
          <c:x val="0.29279741800336578"/>
          <c:y val="0.91113701205213726"/>
          <c:w val="0.39773840769903757"/>
          <c:h val="7.8125546806649168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626862860229011"/>
          <c:y val="9.0079694583631589E-2"/>
          <c:w val="0.55413166100836897"/>
          <c:h val="0.71877976616559291"/>
        </c:manualLayout>
      </c:layout>
      <c:doughnutChart>
        <c:varyColors val="1"/>
        <c:ser>
          <c:idx val="0"/>
          <c:order val="0"/>
          <c:spPr>
            <a:ln>
              <a:noFill/>
            </a:ln>
          </c:spPr>
          <c:dPt>
            <c:idx val="0"/>
            <c:bubble3D val="0"/>
            <c:spPr>
              <a:solidFill>
                <a:schemeClr val="accent1"/>
              </a:solidFill>
              <a:ln w="19050">
                <a:noFill/>
              </a:ln>
              <a:effectLst/>
            </c:spPr>
            <c:extLst>
              <c:ext xmlns:c16="http://schemas.microsoft.com/office/drawing/2014/chart" uri="{C3380CC4-5D6E-409C-BE32-E72D297353CC}">
                <c16:uniqueId val="{00000001-F4FF-4E33-A476-DFBB1FF5A5D5}"/>
              </c:ext>
            </c:extLst>
          </c:dPt>
          <c:dPt>
            <c:idx val="1"/>
            <c:bubble3D val="0"/>
            <c:spPr>
              <a:solidFill>
                <a:schemeClr val="accent2"/>
              </a:solidFill>
              <a:ln w="19050">
                <a:noFill/>
              </a:ln>
              <a:effectLst/>
            </c:spPr>
            <c:extLst>
              <c:ext xmlns:c16="http://schemas.microsoft.com/office/drawing/2014/chart" uri="{C3380CC4-5D6E-409C-BE32-E72D297353CC}">
                <c16:uniqueId val="{00000003-F4FF-4E33-A476-DFBB1FF5A5D5}"/>
              </c:ext>
            </c:extLst>
          </c:dPt>
          <c:dPt>
            <c:idx val="2"/>
            <c:bubble3D val="0"/>
            <c:spPr>
              <a:solidFill>
                <a:schemeClr val="accent3"/>
              </a:solidFill>
              <a:ln w="19050">
                <a:noFill/>
              </a:ln>
              <a:effectLst/>
            </c:spPr>
            <c:extLst>
              <c:ext xmlns:c16="http://schemas.microsoft.com/office/drawing/2014/chart" uri="{C3380CC4-5D6E-409C-BE32-E72D297353CC}">
                <c16:uniqueId val="{00000005-F4FF-4E33-A476-DFBB1FF5A5D5}"/>
              </c:ext>
            </c:extLst>
          </c:dPt>
          <c:dPt>
            <c:idx val="3"/>
            <c:bubble3D val="0"/>
            <c:spPr>
              <a:solidFill>
                <a:schemeClr val="accent4"/>
              </a:solidFill>
              <a:ln w="19050">
                <a:noFill/>
              </a:ln>
              <a:effectLst/>
            </c:spPr>
            <c:extLst>
              <c:ext xmlns:c16="http://schemas.microsoft.com/office/drawing/2014/chart" uri="{C3380CC4-5D6E-409C-BE32-E72D297353CC}">
                <c16:uniqueId val="{00000007-F4FF-4E33-A476-DFBB1FF5A5D5}"/>
              </c:ext>
            </c:extLst>
          </c:dPt>
          <c:dLbls>
            <c:dLbl>
              <c:idx val="0"/>
              <c:layout>
                <c:manualLayout>
                  <c:x val="0.13036820734063714"/>
                  <c:y val="-9.4309122574631442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551447832555593"/>
                      <c:h val="9.0818420424719631E-2"/>
                    </c:manualLayout>
                  </c15:layout>
                </c:ext>
                <c:ext xmlns:c16="http://schemas.microsoft.com/office/drawing/2014/chart" uri="{C3380CC4-5D6E-409C-BE32-E72D297353CC}">
                  <c16:uniqueId val="{00000001-F4FF-4E33-A476-DFBB1FF5A5D5}"/>
                </c:ext>
              </c:extLst>
            </c:dLbl>
            <c:dLbl>
              <c:idx val="1"/>
              <c:layout>
                <c:manualLayout>
                  <c:x val="7.0623542738488934E-2"/>
                  <c:y val="-0.1166654401844629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4FF-4E33-A476-DFBB1FF5A5D5}"/>
                </c:ext>
              </c:extLst>
            </c:dLbl>
            <c:dLbl>
              <c:idx val="2"/>
              <c:layout>
                <c:manualLayout>
                  <c:x val="-0.11889157700950506"/>
                  <c:y val="-5.98482462419470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4FF-4E33-A476-DFBB1FF5A5D5}"/>
                </c:ext>
              </c:extLst>
            </c:dLbl>
            <c:dLbl>
              <c:idx val="3"/>
              <c:layout>
                <c:manualLayout>
                  <c:x val="4.1596408424199038E-2"/>
                  <c:y val="0.1098565015821620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4FF-4E33-A476-DFBB1FF5A5D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'Most Dominant Ethnic Group'!$E$2:$E$5</c:f>
              <c:strCache>
                <c:ptCount val="4"/>
                <c:pt idx="0">
                  <c:v>Asian</c:v>
                </c:pt>
                <c:pt idx="1">
                  <c:v>Latino</c:v>
                </c:pt>
                <c:pt idx="2">
                  <c:v>Caucasian</c:v>
                </c:pt>
                <c:pt idx="3">
                  <c:v>Black</c:v>
                </c:pt>
              </c:strCache>
            </c:strRef>
          </c:cat>
          <c:val>
            <c:numRef>
              <c:f>'Most Dominant Ethnic Group'!$G$2:$G$5</c:f>
              <c:numCache>
                <c:formatCode>0.00%</c:formatCode>
                <c:ptCount val="4"/>
                <c:pt idx="0">
                  <c:v>0.43080625752105894</c:v>
                </c:pt>
                <c:pt idx="1">
                  <c:v>0.27797833935018051</c:v>
                </c:pt>
                <c:pt idx="2">
                  <c:v>0.22262334536702769</c:v>
                </c:pt>
                <c:pt idx="3">
                  <c:v>6.8592057761732855E-2</c:v>
                </c:pt>
              </c:numCache>
            </c:numRef>
          </c:val>
          <c:extLst>
            <c:ext xmlns:c16="http://schemas.microsoft.com/office/drawing/2014/chart" uri="{C3380CC4-5D6E-409C-BE32-E72D297353CC}">
              <c16:uniqueId val="{00000008-F4FF-4E33-A476-DFBB1FF5A5D5}"/>
            </c:ext>
          </c:extLst>
        </c:ser>
        <c:dLbls>
          <c:showLegendKey val="0"/>
          <c:showVal val="0"/>
          <c:showCatName val="0"/>
          <c:showSerName val="0"/>
          <c:showPercent val="0"/>
          <c:showBubbleSize val="0"/>
          <c:showLeaderLines val="1"/>
        </c:dLbls>
        <c:firstSliceAng val="0"/>
        <c:holeSize val="65"/>
      </c:doughnutChart>
      <c:spPr>
        <a:noFill/>
        <a:ln>
          <a:noFill/>
        </a:ln>
        <a:effectLst/>
      </c:spPr>
    </c:plotArea>
    <c:legend>
      <c:legendPos val="b"/>
      <c:layout>
        <c:manualLayout>
          <c:xMode val="edge"/>
          <c:yMode val="edge"/>
          <c:x val="3.0131354915802475E-2"/>
          <c:y val="0.89409667541557303"/>
          <c:w val="0.93283291613505159"/>
          <c:h val="7.8125546806649168E-2"/>
        </c:manualLayout>
      </c:layou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Number of Employees</c:v>
          </c:tx>
          <c:spPr>
            <a:solidFill>
              <a:srgbClr val="15691D"/>
            </a:solidFill>
            <a:ln>
              <a:noFill/>
            </a:ln>
            <a:effectLst/>
            <a:scene3d>
              <a:camera prst="orthographicFront"/>
              <a:lightRig rig="threePt" dir="t"/>
            </a:scene3d>
            <a:sp3d>
              <a:bevelT/>
            </a:sp3d>
          </c:spPr>
          <c:invertIfNegative val="0"/>
          <c:cat>
            <c:strRef>
              <c:f>'Salary by Department'!$F$2:$F$8</c:f>
              <c:strCache>
                <c:ptCount val="7"/>
                <c:pt idx="0">
                  <c:v>IT</c:v>
                </c:pt>
                <c:pt idx="1">
                  <c:v>Sales</c:v>
                </c:pt>
                <c:pt idx="2">
                  <c:v>Engineering</c:v>
                </c:pt>
                <c:pt idx="3">
                  <c:v>Accounting</c:v>
                </c:pt>
                <c:pt idx="4">
                  <c:v>Human Resources</c:v>
                </c:pt>
                <c:pt idx="5">
                  <c:v>Marketing</c:v>
                </c:pt>
                <c:pt idx="6">
                  <c:v>Finance</c:v>
                </c:pt>
              </c:strCache>
            </c:strRef>
          </c:cat>
          <c:val>
            <c:numRef>
              <c:f>'Salary by Department'!$G$2:$G$8</c:f>
              <c:numCache>
                <c:formatCode>General</c:formatCode>
                <c:ptCount val="7"/>
                <c:pt idx="0">
                  <c:v>240</c:v>
                </c:pt>
                <c:pt idx="1">
                  <c:v>121</c:v>
                </c:pt>
                <c:pt idx="2">
                  <c:v>116</c:v>
                </c:pt>
                <c:pt idx="3">
                  <c:v>92</c:v>
                </c:pt>
                <c:pt idx="4">
                  <c:v>91</c:v>
                </c:pt>
                <c:pt idx="5">
                  <c:v>90</c:v>
                </c:pt>
                <c:pt idx="6">
                  <c:v>81</c:v>
                </c:pt>
              </c:numCache>
            </c:numRef>
          </c:val>
          <c:extLst>
            <c:ext xmlns:c16="http://schemas.microsoft.com/office/drawing/2014/chart" uri="{C3380CC4-5D6E-409C-BE32-E72D297353CC}">
              <c16:uniqueId val="{00000000-3245-4E2F-AEC3-34F68DCA28C9}"/>
            </c:ext>
          </c:extLst>
        </c:ser>
        <c:dLbls>
          <c:showLegendKey val="0"/>
          <c:showVal val="0"/>
          <c:showCatName val="0"/>
          <c:showSerName val="0"/>
          <c:showPercent val="0"/>
          <c:showBubbleSize val="0"/>
        </c:dLbls>
        <c:gapWidth val="100"/>
        <c:axId val="944147391"/>
        <c:axId val="944147871"/>
      </c:barChart>
      <c:lineChart>
        <c:grouping val="standard"/>
        <c:varyColors val="0"/>
        <c:ser>
          <c:idx val="1"/>
          <c:order val="1"/>
          <c:tx>
            <c:v>% of Accrued Salary</c:v>
          </c:tx>
          <c:spPr>
            <a:ln w="28575" cap="rnd">
              <a:solidFill>
                <a:schemeClr val="tx1">
                  <a:lumMod val="65000"/>
                  <a:lumOff val="35000"/>
                </a:schemeClr>
              </a:solidFill>
              <a:round/>
            </a:ln>
            <a:effectLst/>
          </c:spPr>
          <c:marker>
            <c:symbol val="none"/>
          </c:marker>
          <c:cat>
            <c:strRef>
              <c:f>'Salary by Department'!$F$2:$F$8</c:f>
              <c:strCache>
                <c:ptCount val="7"/>
                <c:pt idx="0">
                  <c:v>IT</c:v>
                </c:pt>
                <c:pt idx="1">
                  <c:v>Sales</c:v>
                </c:pt>
                <c:pt idx="2">
                  <c:v>Engineering</c:v>
                </c:pt>
                <c:pt idx="3">
                  <c:v>Accounting</c:v>
                </c:pt>
                <c:pt idx="4">
                  <c:v>Human Resources</c:v>
                </c:pt>
                <c:pt idx="5">
                  <c:v>Marketing</c:v>
                </c:pt>
                <c:pt idx="6">
                  <c:v>Finance</c:v>
                </c:pt>
              </c:strCache>
            </c:strRef>
          </c:cat>
          <c:val>
            <c:numRef>
              <c:f>'Salary by Department'!$I$2:$I$8</c:f>
              <c:numCache>
                <c:formatCode>0.00%</c:formatCode>
                <c:ptCount val="7"/>
                <c:pt idx="0">
                  <c:v>0.22735719373608579</c:v>
                </c:pt>
                <c:pt idx="1">
                  <c:v>0.14340531768467316</c:v>
                </c:pt>
                <c:pt idx="2">
                  <c:v>0.13563841113432176</c:v>
                </c:pt>
                <c:pt idx="3">
                  <c:v>0.13127164963339027</c:v>
                </c:pt>
                <c:pt idx="4">
                  <c:v>0.12848796314579375</c:v>
                </c:pt>
                <c:pt idx="5">
                  <c:v>0.12931725603905264</c:v>
                </c:pt>
                <c:pt idx="6">
                  <c:v>0.10452220862668263</c:v>
                </c:pt>
              </c:numCache>
            </c:numRef>
          </c:val>
          <c:smooth val="0"/>
          <c:extLst>
            <c:ext xmlns:c16="http://schemas.microsoft.com/office/drawing/2014/chart" uri="{C3380CC4-5D6E-409C-BE32-E72D297353CC}">
              <c16:uniqueId val="{00000001-3245-4E2F-AEC3-34F68DCA28C9}"/>
            </c:ext>
          </c:extLst>
        </c:ser>
        <c:dLbls>
          <c:showLegendKey val="0"/>
          <c:showVal val="0"/>
          <c:showCatName val="0"/>
          <c:showSerName val="0"/>
          <c:showPercent val="0"/>
          <c:showBubbleSize val="0"/>
        </c:dLbls>
        <c:marker val="1"/>
        <c:smooth val="0"/>
        <c:axId val="944146911"/>
        <c:axId val="944140191"/>
      </c:lineChart>
      <c:catAx>
        <c:axId val="944147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944147871"/>
        <c:crosses val="autoZero"/>
        <c:auto val="1"/>
        <c:lblAlgn val="ctr"/>
        <c:lblOffset val="100"/>
        <c:noMultiLvlLbl val="0"/>
      </c:catAx>
      <c:valAx>
        <c:axId val="9441478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944147391"/>
        <c:crosses val="autoZero"/>
        <c:crossBetween val="between"/>
      </c:valAx>
      <c:valAx>
        <c:axId val="944140191"/>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944146911"/>
        <c:crosses val="max"/>
        <c:crossBetween val="between"/>
      </c:valAx>
      <c:catAx>
        <c:axId val="944146911"/>
        <c:scaling>
          <c:orientation val="minMax"/>
        </c:scaling>
        <c:delete val="1"/>
        <c:axPos val="b"/>
        <c:numFmt formatCode="General" sourceLinked="1"/>
        <c:majorTickMark val="none"/>
        <c:minorTickMark val="none"/>
        <c:tickLblPos val="nextTo"/>
        <c:crossAx val="94414019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5326589235329732E-2"/>
          <c:y val="9.4203215435255366E-2"/>
          <c:w val="0.8985230833340011"/>
          <c:h val="0.64134103711315971"/>
        </c:manualLayout>
      </c:layout>
      <c:barChart>
        <c:barDir val="col"/>
        <c:grouping val="clustered"/>
        <c:varyColors val="0"/>
        <c:ser>
          <c:idx val="0"/>
          <c:order val="0"/>
          <c:spPr>
            <a:solidFill>
              <a:srgbClr val="15691D"/>
            </a:solidFill>
            <a:ln>
              <a:noFill/>
            </a:ln>
            <a:effectLst/>
            <a:scene3d>
              <a:camera prst="orthographicFront"/>
              <a:lightRig rig="threePt" dir="t"/>
            </a:scene3d>
            <a:sp3d>
              <a:bevelT/>
            </a:sp3d>
          </c:spPr>
          <c:invertIfNegative val="0"/>
          <c:dLbls>
            <c:dLbl>
              <c:idx val="0"/>
              <c:layout>
                <c:manualLayout>
                  <c:x val="-1.7022396980082442E-17"/>
                  <c:y val="1.621203684934820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BFC-4979-A393-85E527056227}"/>
                </c:ext>
              </c:extLst>
            </c:dLbl>
            <c:dLbl>
              <c:idx val="1"/>
              <c:layout>
                <c:manualLayout>
                  <c:x val="-3.4044793960164884E-17"/>
                  <c:y val="2.164313334068880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BFC-4979-A393-85E527056227}"/>
                </c:ext>
              </c:extLst>
            </c:dLbl>
            <c:dLbl>
              <c:idx val="2"/>
              <c:layout>
                <c:manualLayout>
                  <c:x val="-3.7140204271123491E-3"/>
                  <c:y val="1.621203684934822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BFC-4979-A393-85E527056227}"/>
                </c:ext>
              </c:extLst>
            </c:dLbl>
            <c:dLbl>
              <c:idx val="3"/>
              <c:layout>
                <c:manualLayout>
                  <c:x val="-6.8089587920329768E-17"/>
                  <c:y val="1.078094035800756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BFC-4979-A393-85E527056227}"/>
                </c:ext>
              </c:extLst>
            </c:dLbl>
            <c:dLbl>
              <c:idx val="4"/>
              <c:layout>
                <c:manualLayout>
                  <c:x val="0"/>
                  <c:y val="2.707422983202939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BFC-4979-A393-85E527056227}"/>
                </c:ext>
              </c:extLst>
            </c:dLbl>
            <c:dLbl>
              <c:idx val="5"/>
              <c:layout>
                <c:manualLayout>
                  <c:x val="-1.3617917584065954E-16"/>
                  <c:y val="2.707422983202944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BFC-4979-A393-85E527056227}"/>
                </c:ext>
              </c:extLst>
            </c:dLbl>
            <c:dLbl>
              <c:idx val="6"/>
              <c:layout>
                <c:manualLayout>
                  <c:x val="0"/>
                  <c:y val="2.707422983202944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BFC-4979-A393-85E527056227}"/>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'Hire By Day'!$D$3:$D$9</c:f>
              <c:strCache>
                <c:ptCount val="7"/>
                <c:pt idx="0">
                  <c:v>Sunday</c:v>
                </c:pt>
                <c:pt idx="1">
                  <c:v>Monday</c:v>
                </c:pt>
                <c:pt idx="2">
                  <c:v>Friday</c:v>
                </c:pt>
                <c:pt idx="3">
                  <c:v>Wednesday</c:v>
                </c:pt>
                <c:pt idx="4">
                  <c:v>Saturday</c:v>
                </c:pt>
                <c:pt idx="5">
                  <c:v>Tuesday</c:v>
                </c:pt>
                <c:pt idx="6">
                  <c:v>Thursday</c:v>
                </c:pt>
              </c:strCache>
            </c:strRef>
          </c:cat>
          <c:val>
            <c:numRef>
              <c:f>'Hire By Day'!$E$3:$E$9</c:f>
              <c:numCache>
                <c:formatCode>General</c:formatCode>
                <c:ptCount val="7"/>
                <c:pt idx="0">
                  <c:v>139</c:v>
                </c:pt>
                <c:pt idx="1">
                  <c:v>136</c:v>
                </c:pt>
                <c:pt idx="2">
                  <c:v>127</c:v>
                </c:pt>
                <c:pt idx="3">
                  <c:v>114</c:v>
                </c:pt>
                <c:pt idx="4">
                  <c:v>107</c:v>
                </c:pt>
                <c:pt idx="5">
                  <c:v>107</c:v>
                </c:pt>
                <c:pt idx="6">
                  <c:v>101</c:v>
                </c:pt>
              </c:numCache>
            </c:numRef>
          </c:val>
          <c:extLst>
            <c:ext xmlns:c16="http://schemas.microsoft.com/office/drawing/2014/chart" uri="{C3380CC4-5D6E-409C-BE32-E72D297353CC}">
              <c16:uniqueId val="{00000007-4BFC-4979-A393-85E527056227}"/>
            </c:ext>
          </c:extLst>
        </c:ser>
        <c:dLbls>
          <c:dLblPos val="inEnd"/>
          <c:showLegendKey val="0"/>
          <c:showVal val="1"/>
          <c:showCatName val="0"/>
          <c:showSerName val="0"/>
          <c:showPercent val="0"/>
          <c:showBubbleSize val="0"/>
        </c:dLbls>
        <c:gapWidth val="100"/>
        <c:overlap val="-27"/>
        <c:axId val="1613743407"/>
        <c:axId val="1613740047"/>
      </c:barChart>
      <c:catAx>
        <c:axId val="1613743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613740047"/>
        <c:crosses val="autoZero"/>
        <c:auto val="1"/>
        <c:lblAlgn val="ctr"/>
        <c:lblOffset val="100"/>
        <c:noMultiLvlLbl val="0"/>
      </c:catAx>
      <c:valAx>
        <c:axId val="1613740047"/>
        <c:scaling>
          <c:orientation val="minMax"/>
        </c:scaling>
        <c:delete val="1"/>
        <c:axPos val="l"/>
        <c:numFmt formatCode="General" sourceLinked="1"/>
        <c:majorTickMark val="none"/>
        <c:minorTickMark val="none"/>
        <c:tickLblPos val="nextTo"/>
        <c:crossAx val="1613743407"/>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Bonus Pay by Department</cx:v>
        </cx:txData>
      </cx:tx>
      <cx:txPr>
        <a:bodyPr spcFirstLastPara="1" vertOverflow="ellipsis" horzOverflow="overflow" wrap="square" lIns="0" tIns="0" rIns="0" bIns="0" anchor="ctr" anchorCtr="1"/>
        <a:lstStyle/>
        <a:p>
          <a:pPr algn="ctr" rtl="0">
            <a:defRPr sz="1200"/>
          </a:pPr>
          <a:r>
            <a:rPr lang="en-US" sz="1200" b="1" i="0" u="none" strike="noStrike" baseline="0">
              <a:solidFill>
                <a:sysClr val="windowText" lastClr="000000">
                  <a:lumMod val="75000"/>
                  <a:lumOff val="25000"/>
                </a:sysClr>
              </a:solidFill>
              <a:latin typeface="Aptos Narrow" panose="02110004020202020204"/>
            </a:rPr>
            <a:t>Bonus Pay by Department</a:t>
          </a:r>
        </a:p>
      </cx:txPr>
    </cx:title>
    <cx:plotArea>
      <cx:plotAreaRegion>
        <cx:series layoutId="sunburst" uniqueId="{4DD8857A-5CC9-4386-B032-E3B65E19B8CD}">
          <cx:dataLabels pos="ctr">
            <cx:txPr>
              <a:bodyPr spcFirstLastPara="1" vertOverflow="ellipsis" horzOverflow="overflow" wrap="square" lIns="0" tIns="0" rIns="0" bIns="0" anchor="ctr" anchorCtr="1"/>
              <a:lstStyle/>
              <a:p>
                <a:pPr algn="ctr" rtl="0">
                  <a:defRPr sz="900" b="1"/>
                </a:pPr>
                <a:endParaRPr lang="en-US" sz="900" b="1" i="0" u="none" strike="noStrike" baseline="0">
                  <a:solidFill>
                    <a:sysClr val="window" lastClr="FFFFFF"/>
                  </a:solidFill>
                  <a:latin typeface="Aptos Narrow" panose="02110004020202020204"/>
                </a:endParaRPr>
              </a:p>
            </cx:txPr>
            <cx:visibility seriesName="0" categoryName="1" value="0"/>
          </cx:dataLabels>
          <cx:dataId val="0"/>
        </cx:series>
      </cx:plotAreaRegion>
    </cx:plotArea>
    <cx:legend pos="r" align="ctr" overlay="0">
      <cx:txPr>
        <a:bodyPr spcFirstLastPara="1" vertOverflow="ellipsis" horzOverflow="overflow" wrap="square" lIns="0" tIns="0" rIns="0" bIns="0" anchor="ctr" anchorCtr="1"/>
        <a:lstStyle/>
        <a:p>
          <a:pPr algn="ctr" rtl="0">
            <a:defRPr b="1">
              <a:solidFill>
                <a:sysClr val="windowText" lastClr="000000"/>
              </a:solidFill>
            </a:defRPr>
          </a:pPr>
          <a:endParaRPr lang="en-US" sz="900" b="1" i="0" u="none" strike="noStrike" baseline="0">
            <a:solidFill>
              <a:sysClr val="windowText" lastClr="000000"/>
            </a:solidFill>
            <a:latin typeface="Aptos Narrow" panose="02110004020202020204"/>
          </a:endParaRPr>
        </a:p>
      </cx:txPr>
    </cx:legend>
  </cx:chart>
  <cx:spPr>
    <a:solidFill>
      <a:srgbClr val="FFFFFF"/>
    </a:solid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data id="1">
      <cx:strDim type="cat">
        <cx:f>_xlchart.v1.2</cx:f>
      </cx:strDim>
      <cx:numDim type="size">
        <cx:f>_xlchart.v1.4</cx:f>
      </cx:numDim>
    </cx:data>
  </cx:chartData>
  <cx:chart>
    <cx:title pos="t" align="ctr" overlay="0">
      <cx:tx>
        <cx:txData>
          <cx:v>Hire by Month</cx:v>
        </cx:txData>
      </cx:tx>
      <cx:txPr>
        <a:bodyPr spcFirstLastPara="1" vertOverflow="ellipsis" horzOverflow="overflow" wrap="square" lIns="0" tIns="0" rIns="0" bIns="0" anchor="ctr" anchorCtr="1"/>
        <a:lstStyle/>
        <a:p>
          <a:pPr algn="ctr" rtl="0">
            <a:defRPr sz="1200" b="1">
              <a:solidFill>
                <a:sysClr val="windowText" lastClr="000000"/>
              </a:solidFill>
            </a:defRPr>
          </a:pPr>
          <a:r>
            <a:rPr lang="en-US" sz="1200" b="1" i="0" u="none" strike="noStrike" baseline="0">
              <a:solidFill>
                <a:sysClr val="windowText" lastClr="000000"/>
              </a:solidFill>
              <a:latin typeface="Aptos Narrow" panose="02110004020202020204"/>
            </a:rPr>
            <a:t>Hire by Month</a:t>
          </a:r>
        </a:p>
      </cx:txPr>
    </cx:title>
    <cx:plotArea>
      <cx:plotAreaRegion>
        <cx:series layoutId="treemap" uniqueId="{61D0F18C-1499-4733-82D9-7EE77B6C1A9D}" formatIdx="0">
          <cx:dataLabels>
            <cx:txPr>
              <a:bodyPr spcFirstLastPara="1" vertOverflow="ellipsis" horzOverflow="overflow" wrap="square" lIns="0" tIns="0" rIns="0" bIns="0" anchor="ctr" anchorCtr="1"/>
              <a:lstStyle/>
              <a:p>
                <a:pPr algn="ctr" rtl="0">
                  <a:defRPr sz="1000" b="1"/>
                </a:pPr>
                <a:endParaRPr lang="en-US" sz="1000" b="1" i="0" u="none" strike="noStrike" baseline="0">
                  <a:solidFill>
                    <a:sysClr val="window" lastClr="FFFFFF"/>
                  </a:solidFill>
                  <a:latin typeface="Aptos Narrow" panose="02110004020202020204"/>
                </a:endParaRPr>
              </a:p>
            </cx:txPr>
          </cx:dataLabels>
          <cx:dataId val="0"/>
          <cx:layoutPr>
            <cx:parentLabelLayout val="overlapping"/>
          </cx:layoutPr>
        </cx:series>
        <cx:series layoutId="treemap" hidden="1" uniqueId="{F916DB8C-E009-43C0-918A-FA40E2075D93}" formatIdx="1">
          <cx:dataId val="1"/>
          <cx:layoutPr>
            <cx:parentLabelLayout val="overlapping"/>
          </cx:layoutPr>
        </cx:series>
      </cx:plotAreaRegion>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_xlchart.v2.5</cx:f>
      </cx:strDim>
      <cx:numDim type="val">
        <cx:f>_xlchart.v2.6</cx:f>
      </cx:numDim>
    </cx:data>
  </cx:chartData>
  <cx:chart>
    <cx:title pos="t" align="ctr" overlay="0">
      <cx:tx>
        <cx:txData>
          <cx:v>Top 10 Hire Years</cx:v>
        </cx:txData>
      </cx:tx>
      <cx:txPr>
        <a:bodyPr spcFirstLastPara="1" vertOverflow="ellipsis" horzOverflow="overflow" wrap="square" lIns="0" tIns="0" rIns="0" bIns="0" anchor="ctr" anchorCtr="1"/>
        <a:lstStyle/>
        <a:p>
          <a:pPr algn="ctr" rtl="0">
            <a:defRPr sz="1100" b="1">
              <a:solidFill>
                <a:sysClr val="windowText" lastClr="000000"/>
              </a:solidFill>
            </a:defRPr>
          </a:pPr>
          <a:r>
            <a:rPr lang="en-US" sz="1100" b="1" i="0" u="none" strike="noStrike" baseline="0">
              <a:solidFill>
                <a:sysClr val="windowText" lastClr="000000"/>
              </a:solidFill>
              <a:latin typeface="Aptos Narrow" panose="02110004020202020204"/>
            </a:rPr>
            <a:t>Top 10 Hire Years</a:t>
          </a:r>
        </a:p>
      </cx:txPr>
    </cx:title>
    <cx:plotArea>
      <cx:plotAreaRegion>
        <cx:series layoutId="funnel" uniqueId="{1A19E78A-B547-4FBE-A5EC-870FF5029B1D}">
          <cx:dataLabels>
            <cx:txPr>
              <a:bodyPr spcFirstLastPara="1" vertOverflow="ellipsis" horzOverflow="overflow" wrap="square" lIns="0" tIns="0" rIns="0" bIns="0" anchor="ctr" anchorCtr="1"/>
              <a:lstStyle/>
              <a:p>
                <a:pPr algn="ctr" rtl="0">
                  <a:defRPr sz="1050" b="1">
                    <a:solidFill>
                      <a:schemeClr val="bg1"/>
                    </a:solidFill>
                  </a:defRPr>
                </a:pPr>
                <a:endParaRPr lang="en-US" sz="1050" b="1" i="0" u="none" strike="noStrike" baseline="0">
                  <a:solidFill>
                    <a:schemeClr val="bg1"/>
                  </a:solidFill>
                  <a:latin typeface="Aptos Narrow" panose="0211000402020202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solidFill>
                  <a:sysClr val="windowText" lastClr="000000"/>
                </a:solidFill>
              </a:defRPr>
            </a:pPr>
            <a:endParaRPr lang="en-US" sz="900" b="1" i="0" u="none" strike="noStrike" baseline="0">
              <a:solidFill>
                <a:sysClr val="windowText" lastClr="000000"/>
              </a:solidFill>
              <a:latin typeface="Aptos Narrow" panose="02110004020202020204"/>
            </a:endParaRPr>
          </a:p>
        </cx:txPr>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size">
        <cx:f>_xlchart.v1.10</cx:f>
      </cx:numDim>
    </cx:data>
  </cx:chartData>
  <cx:chart>
    <cx:plotArea>
      <cx:plotAreaRegion>
        <cx:series layoutId="sunburst" uniqueId="{4DD8857A-5CC9-4386-B032-E3B65E19B8CD}">
          <cx:spPr>
            <a:ln>
              <a:noFill/>
            </a:ln>
          </cx:spPr>
          <cx:dataLabels>
            <cx:visibility seriesName="0" categoryName="1" value="0"/>
          </cx:dataLabels>
          <cx:dataId val="0"/>
        </cx:series>
      </cx:plotAreaRegion>
    </cx:plotArea>
  </cx:chart>
  <cx:spPr>
    <a:noFill/>
    <a:ln>
      <a:noFill/>
    </a:ln>
  </cx:spPr>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_xlchart.v1.11</cx:f>
      </cx:strDim>
      <cx:numDim type="size">
        <cx:f>_xlchart.v1.12</cx:f>
      </cx:numDim>
    </cx:data>
    <cx:data id="1">
      <cx:strDim type="cat">
        <cx:f>_xlchart.v1.11</cx:f>
      </cx:strDim>
      <cx:numDim type="size">
        <cx:f>_xlchart.v1.13</cx:f>
      </cx:numDim>
    </cx:data>
  </cx:chartData>
  <cx:chart>
    <cx:plotArea>
      <cx:plotAreaRegion>
        <cx:series layoutId="treemap" uniqueId="{61D0F18C-1499-4733-82D9-7EE77B6C1A9D}" formatIdx="0">
          <cx:spPr>
            <a:ln>
              <a:noFill/>
            </a:ln>
          </cx:spPr>
          <cx:dataLabels>
            <cx:txPr>
              <a:bodyPr spcFirstLastPara="1" vertOverflow="ellipsis" horzOverflow="overflow" wrap="square" lIns="0" tIns="0" rIns="0" bIns="0" anchor="ctr" anchorCtr="1"/>
              <a:lstStyle/>
              <a:p>
                <a:pPr algn="ctr" rtl="0">
                  <a:defRPr sz="1000" b="1"/>
                </a:pPr>
                <a:endParaRPr lang="en-US" sz="1000" b="1" i="0" u="none" strike="noStrike" baseline="0">
                  <a:solidFill>
                    <a:sysClr val="window" lastClr="FFFFFF"/>
                  </a:solidFill>
                  <a:latin typeface="Aptos Narrow" panose="02110004020202020204"/>
                </a:endParaRPr>
              </a:p>
            </cx:txPr>
          </cx:dataLabels>
          <cx:dataId val="0"/>
          <cx:layoutPr>
            <cx:parentLabelLayout val="overlapping"/>
          </cx:layoutPr>
        </cx:series>
        <cx:series layoutId="treemap" hidden="1" uniqueId="{F916DB8C-E009-43C0-918A-FA40E2075D93}" formatIdx="1">
          <cx:dataId val="1"/>
          <cx:layoutPr>
            <cx:parentLabelLayout val="overlapping"/>
          </cx:layoutPr>
        </cx:series>
      </cx:plotAreaRegion>
    </cx:plotArea>
  </cx:chart>
  <cx:spPr>
    <a:noFill/>
    <a:ln>
      <a:noFill/>
    </a:ln>
  </cx:spPr>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strDim type="cat">
        <cx:f>_xlchart.v2.7</cx:f>
      </cx:strDim>
      <cx:numDim type="val">
        <cx:f>_xlchart.v2.8</cx:f>
      </cx:numDim>
    </cx:data>
  </cx:chartData>
  <cx:chart>
    <cx:plotArea>
      <cx:plotAreaRegion>
        <cx:series layoutId="funnel" uniqueId="{1A19E78A-B547-4FBE-A5EC-870FF5029B1D}">
          <cx:spPr>
            <a:solidFill>
              <a:srgbClr val="15691D"/>
            </a:solidFill>
          </cx:spPr>
          <cx:dataLabels>
            <cx:spPr>
              <a:solidFill>
                <a:schemeClr val="bg1"/>
              </a:solidFill>
              <a:ln>
                <a:solidFill>
                  <a:srgbClr val="E8E2DC"/>
                </a:solidFill>
              </a:ln>
            </cx:spPr>
            <cx:txPr>
              <a:bodyPr spcFirstLastPara="1" vertOverflow="ellipsis" horzOverflow="overflow" wrap="square" lIns="0" tIns="0" rIns="0" bIns="0" anchor="ctr" anchorCtr="1"/>
              <a:lstStyle/>
              <a:p>
                <a:pPr algn="ctr" rtl="0">
                  <a:defRPr sz="1000" b="1">
                    <a:solidFill>
                      <a:sysClr val="windowText" lastClr="000000"/>
                    </a:solidFill>
                  </a:defRPr>
                </a:pPr>
                <a:endParaRPr lang="en-US" sz="1000" b="1" i="0" u="none" strike="noStrike" baseline="0">
                  <a:solidFill>
                    <a:sysClr val="windowText" lastClr="000000"/>
                  </a:solidFill>
                  <a:latin typeface="Aptos Narrow" panose="0211000402020202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solidFill>
                  <a:sysClr val="windowText" lastClr="000000"/>
                </a:solidFill>
              </a:defRPr>
            </a:pPr>
            <a:endParaRPr lang="en-US" sz="900" b="1" i="0" u="none" strike="noStrike" baseline="0">
              <a:solidFill>
                <a:sysClr val="windowText" lastClr="000000"/>
              </a:solidFill>
              <a:latin typeface="Aptos Narrow" panose="0211000402020202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83">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83">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microsoft.com/office/2014/relationships/chartEx" Target="../charts/chartEx2.xml"/></Relationships>
</file>

<file path=xl/drawings/_rels/drawing8.xml.rels><?xml version="1.0" encoding="UTF-8" standalone="yes"?>
<Relationships xmlns="http://schemas.openxmlformats.org/package/2006/relationships"><Relationship Id="rId1" Type="http://schemas.microsoft.com/office/2014/relationships/chartEx" Target="../charts/chartEx3.xml"/></Relationships>
</file>

<file path=xl/drawings/_rels/drawing9.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image" Target="../media/image6.png"/><Relationship Id="rId18" Type="http://schemas.openxmlformats.org/officeDocument/2006/relationships/image" Target="../media/image11.svg"/><Relationship Id="rId3" Type="http://schemas.openxmlformats.org/officeDocument/2006/relationships/chart" Target="../charts/chart7.xml"/><Relationship Id="rId7" Type="http://schemas.openxmlformats.org/officeDocument/2006/relationships/chart" Target="../charts/chart8.xml"/><Relationship Id="rId12" Type="http://schemas.openxmlformats.org/officeDocument/2006/relationships/image" Target="../media/image5.svg"/><Relationship Id="rId17" Type="http://schemas.openxmlformats.org/officeDocument/2006/relationships/image" Target="../media/image10.png"/><Relationship Id="rId2" Type="http://schemas.openxmlformats.org/officeDocument/2006/relationships/chart" Target="../charts/chart6.xml"/><Relationship Id="rId16" Type="http://schemas.openxmlformats.org/officeDocument/2006/relationships/image" Target="../media/image9.svg"/><Relationship Id="rId1" Type="http://schemas.openxmlformats.org/officeDocument/2006/relationships/image" Target="../media/image1.png"/><Relationship Id="rId6" Type="http://schemas.microsoft.com/office/2014/relationships/chartEx" Target="../charts/chartEx6.xml"/><Relationship Id="rId11" Type="http://schemas.openxmlformats.org/officeDocument/2006/relationships/image" Target="../media/image4.png"/><Relationship Id="rId5" Type="http://schemas.microsoft.com/office/2014/relationships/chartEx" Target="../charts/chartEx5.xml"/><Relationship Id="rId15" Type="http://schemas.openxmlformats.org/officeDocument/2006/relationships/image" Target="../media/image8.png"/><Relationship Id="rId10" Type="http://schemas.openxmlformats.org/officeDocument/2006/relationships/image" Target="../media/image3.svg"/><Relationship Id="rId19" Type="http://schemas.openxmlformats.org/officeDocument/2006/relationships/chart" Target="../charts/chart10.xml"/><Relationship Id="rId4" Type="http://schemas.microsoft.com/office/2014/relationships/chartEx" Target="../charts/chartEx4.xml"/><Relationship Id="rId9" Type="http://schemas.openxmlformats.org/officeDocument/2006/relationships/image" Target="../media/image2.png"/><Relationship Id="rId14" Type="http://schemas.openxmlformats.org/officeDocument/2006/relationships/image" Target="../media/image7.svg"/></Relationships>
</file>

<file path=xl/drawings/drawing1.xml><?xml version="1.0" encoding="utf-8"?>
<xdr:wsDr xmlns:xdr="http://schemas.openxmlformats.org/drawingml/2006/spreadsheetDrawing" xmlns:a="http://schemas.openxmlformats.org/drawingml/2006/main">
  <xdr:twoCellAnchor>
    <xdr:from>
      <xdr:col>5</xdr:col>
      <xdr:colOff>123824</xdr:colOff>
      <xdr:row>0</xdr:row>
      <xdr:rowOff>166687</xdr:rowOff>
    </xdr:from>
    <xdr:to>
      <xdr:col>11</xdr:col>
      <xdr:colOff>590550</xdr:colOff>
      <xdr:row>15</xdr:row>
      <xdr:rowOff>52387</xdr:rowOff>
    </xdr:to>
    <xdr:graphicFrame macro="">
      <xdr:nvGraphicFramePr>
        <xdr:cNvPr id="2" name="Chart 1">
          <a:extLst>
            <a:ext uri="{FF2B5EF4-FFF2-40B4-BE49-F238E27FC236}">
              <a16:creationId xmlns:a16="http://schemas.microsoft.com/office/drawing/2014/main" id="{CFA9BED7-A066-D292-379E-C13F7C447B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561975</xdr:colOff>
      <xdr:row>8</xdr:row>
      <xdr:rowOff>28575</xdr:rowOff>
    </xdr:from>
    <xdr:to>
      <xdr:col>6</xdr:col>
      <xdr:colOff>1333500</xdr:colOff>
      <xdr:row>20</xdr:row>
      <xdr:rowOff>128587</xdr:rowOff>
    </xdr:to>
    <xdr:graphicFrame macro="">
      <xdr:nvGraphicFramePr>
        <xdr:cNvPr id="3" name="Chart 2">
          <a:extLst>
            <a:ext uri="{FF2B5EF4-FFF2-40B4-BE49-F238E27FC236}">
              <a16:creationId xmlns:a16="http://schemas.microsoft.com/office/drawing/2014/main" id="{FDD66426-48E2-BD58-68AA-7C61B80831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819150</xdr:colOff>
      <xdr:row>10</xdr:row>
      <xdr:rowOff>28575</xdr:rowOff>
    </xdr:from>
    <xdr:to>
      <xdr:col>2</xdr:col>
      <xdr:colOff>66675</xdr:colOff>
      <xdr:row>18</xdr:row>
      <xdr:rowOff>180975</xdr:rowOff>
    </xdr:to>
    <mc:AlternateContent xmlns:mc="http://schemas.openxmlformats.org/markup-compatibility/2006" xmlns:a14="http://schemas.microsoft.com/office/drawing/2010/main">
      <mc:Choice Requires="a14">
        <xdr:graphicFrame macro="">
          <xdr:nvGraphicFramePr>
            <xdr:cNvPr id="2" name="Country 1">
              <a:extLst>
                <a:ext uri="{FF2B5EF4-FFF2-40B4-BE49-F238E27FC236}">
                  <a16:creationId xmlns:a16="http://schemas.microsoft.com/office/drawing/2014/main" id="{8A639408-A27C-4819-9430-B43F265F50D8}"/>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819150" y="2000250"/>
              <a:ext cx="1828800" cy="1676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123825</xdr:colOff>
      <xdr:row>7</xdr:row>
      <xdr:rowOff>71437</xdr:rowOff>
    </xdr:from>
    <xdr:to>
      <xdr:col>9</xdr:col>
      <xdr:colOff>857250</xdr:colOff>
      <xdr:row>21</xdr:row>
      <xdr:rowOff>147637</xdr:rowOff>
    </xdr:to>
    <xdr:graphicFrame macro="">
      <xdr:nvGraphicFramePr>
        <xdr:cNvPr id="2" name="Chart 1">
          <a:extLst>
            <a:ext uri="{FF2B5EF4-FFF2-40B4-BE49-F238E27FC236}">
              <a16:creationId xmlns:a16="http://schemas.microsoft.com/office/drawing/2014/main" id="{9B726BAA-12DF-DEFE-ECFB-09E91068F0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752475</xdr:colOff>
      <xdr:row>6</xdr:row>
      <xdr:rowOff>9525</xdr:rowOff>
    </xdr:from>
    <xdr:to>
      <xdr:col>7</xdr:col>
      <xdr:colOff>542925</xdr:colOff>
      <xdr:row>18</xdr:row>
      <xdr:rowOff>109537</xdr:rowOff>
    </xdr:to>
    <xdr:graphicFrame macro="">
      <xdr:nvGraphicFramePr>
        <xdr:cNvPr id="3" name="Chart 2">
          <a:extLst>
            <a:ext uri="{FF2B5EF4-FFF2-40B4-BE49-F238E27FC236}">
              <a16:creationId xmlns:a16="http://schemas.microsoft.com/office/drawing/2014/main" id="{2F09D58F-4F0B-CBC5-B106-1BE05B2768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609599</xdr:colOff>
      <xdr:row>0</xdr:row>
      <xdr:rowOff>161926</xdr:rowOff>
    </xdr:from>
    <xdr:to>
      <xdr:col>11</xdr:col>
      <xdr:colOff>323850</xdr:colOff>
      <xdr:row>8</xdr:row>
      <xdr:rowOff>104776</xdr:rowOff>
    </xdr:to>
    <mc:AlternateContent xmlns:mc="http://schemas.openxmlformats.org/markup-compatibility/2006" xmlns:a14="http://schemas.microsoft.com/office/drawing/2010/main">
      <mc:Choice Requires="a14">
        <xdr:graphicFrame macro="">
          <xdr:nvGraphicFramePr>
            <xdr:cNvPr id="4" name="Ethnicity">
              <a:extLst>
                <a:ext uri="{FF2B5EF4-FFF2-40B4-BE49-F238E27FC236}">
                  <a16:creationId xmlns:a16="http://schemas.microsoft.com/office/drawing/2014/main" id="{047EE1DB-AB19-7C01-6AD6-30EF22C742E4}"/>
                </a:ext>
              </a:extLst>
            </xdr:cNvPr>
            <xdr:cNvGraphicFramePr/>
          </xdr:nvGraphicFramePr>
          <xdr:xfrm>
            <a:off x="0" y="0"/>
            <a:ext cx="0" cy="0"/>
          </xdr:xfrm>
          <a:graphic>
            <a:graphicData uri="http://schemas.microsoft.com/office/drawing/2010/slicer">
              <sle:slicer xmlns:sle="http://schemas.microsoft.com/office/drawing/2010/slicer" name="Ethnicity"/>
            </a:graphicData>
          </a:graphic>
        </xdr:graphicFrame>
      </mc:Choice>
      <mc:Fallback xmlns="">
        <xdr:sp macro="" textlink="">
          <xdr:nvSpPr>
            <xdr:cNvPr id="0" name=""/>
            <xdr:cNvSpPr>
              <a:spLocks noTextEdit="1"/>
            </xdr:cNvSpPr>
          </xdr:nvSpPr>
          <xdr:spPr>
            <a:xfrm>
              <a:off x="8324849" y="161926"/>
              <a:ext cx="1543051" cy="15621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6</xdr:col>
      <xdr:colOff>200025</xdr:colOff>
      <xdr:row>0</xdr:row>
      <xdr:rowOff>185737</xdr:rowOff>
    </xdr:from>
    <xdr:to>
      <xdr:col>12</xdr:col>
      <xdr:colOff>0</xdr:colOff>
      <xdr:row>15</xdr:row>
      <xdr:rowOff>23812</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A1EF7BAE-4EB1-DF11-E743-0AB472A1E13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819900" y="185737"/>
              <a:ext cx="3457575" cy="27432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5</xdr:col>
      <xdr:colOff>133349</xdr:colOff>
      <xdr:row>0</xdr:row>
      <xdr:rowOff>180975</xdr:rowOff>
    </xdr:from>
    <xdr:to>
      <xdr:col>10</xdr:col>
      <xdr:colOff>504824</xdr:colOff>
      <xdr:row>12</xdr:row>
      <xdr:rowOff>157161</xdr:rowOff>
    </xdr:to>
    <xdr:graphicFrame macro="">
      <xdr:nvGraphicFramePr>
        <xdr:cNvPr id="2" name="Chart 1">
          <a:extLst>
            <a:ext uri="{FF2B5EF4-FFF2-40B4-BE49-F238E27FC236}">
              <a16:creationId xmlns:a16="http://schemas.microsoft.com/office/drawing/2014/main" id="{019E962D-D508-2B0F-7F92-05B2B02E89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8</xdr:col>
      <xdr:colOff>457200</xdr:colOff>
      <xdr:row>1</xdr:row>
      <xdr:rowOff>152399</xdr:rowOff>
    </xdr:from>
    <xdr:to>
      <xdr:col>13</xdr:col>
      <xdr:colOff>66675</xdr:colOff>
      <xdr:row>12</xdr:row>
      <xdr:rowOff>133350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95D24A3A-9C27-5D8B-F203-5DFBE265FB5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772400" y="342899"/>
              <a:ext cx="2505075" cy="2143126"/>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6</xdr:col>
      <xdr:colOff>104774</xdr:colOff>
      <xdr:row>1</xdr:row>
      <xdr:rowOff>0</xdr:rowOff>
    </xdr:from>
    <xdr:to>
      <xdr:col>11</xdr:col>
      <xdr:colOff>414618</xdr:colOff>
      <xdr:row>14</xdr:row>
      <xdr:rowOff>78441</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ECCB5EC0-1A9B-8DED-5E83-5EB1C1E0EE6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334124" y="190500"/>
              <a:ext cx="3357844" cy="2659716"/>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1</xdr:col>
      <xdr:colOff>42335</xdr:colOff>
      <xdr:row>0</xdr:row>
      <xdr:rowOff>76200</xdr:rowOff>
    </xdr:from>
    <xdr:to>
      <xdr:col>21</xdr:col>
      <xdr:colOff>370416</xdr:colOff>
      <xdr:row>6</xdr:row>
      <xdr:rowOff>57150</xdr:rowOff>
    </xdr:to>
    <xdr:grpSp>
      <xdr:nvGrpSpPr>
        <xdr:cNvPr id="49" name="Group 48">
          <a:extLst>
            <a:ext uri="{FF2B5EF4-FFF2-40B4-BE49-F238E27FC236}">
              <a16:creationId xmlns:a16="http://schemas.microsoft.com/office/drawing/2014/main" id="{A1604812-0583-DADD-CEF7-82BFF906BC4F}"/>
            </a:ext>
          </a:extLst>
        </xdr:cNvPr>
        <xdr:cNvGrpSpPr/>
      </xdr:nvGrpSpPr>
      <xdr:grpSpPr>
        <a:xfrm>
          <a:off x="656168" y="76200"/>
          <a:ext cx="12604748" cy="1123950"/>
          <a:chOff x="656168" y="76200"/>
          <a:chExt cx="12604748" cy="1123950"/>
        </a:xfrm>
      </xdr:grpSpPr>
      <xdr:sp macro="" textlink="">
        <xdr:nvSpPr>
          <xdr:cNvPr id="2" name="Rectangle: Rounded Corners 1">
            <a:extLst>
              <a:ext uri="{FF2B5EF4-FFF2-40B4-BE49-F238E27FC236}">
                <a16:creationId xmlns:a16="http://schemas.microsoft.com/office/drawing/2014/main" id="{F5162E55-4313-0975-FBC4-951569C9C7FE}"/>
              </a:ext>
            </a:extLst>
          </xdr:cNvPr>
          <xdr:cNvSpPr/>
        </xdr:nvSpPr>
        <xdr:spPr>
          <a:xfrm>
            <a:off x="656168" y="76200"/>
            <a:ext cx="12604748" cy="1123950"/>
          </a:xfrm>
          <a:prstGeom prst="roundRect">
            <a:avLst>
              <a:gd name="adj" fmla="val 5409"/>
            </a:avLst>
          </a:prstGeom>
          <a:solidFill>
            <a:srgbClr val="E8E2DC"/>
          </a:solidFill>
          <a:ln>
            <a:noFill/>
          </a:ln>
          <a:scene3d>
            <a:camera prst="orthographicFront"/>
            <a:lightRig rig="threePt" dir="t"/>
          </a:scene3d>
          <a:sp3d>
            <a:bevelT/>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ln>
                <a:noFill/>
              </a:ln>
            </a:endParaRPr>
          </a:p>
        </xdr:txBody>
      </xdr:sp>
      <xdr:sp macro="" textlink="">
        <xdr:nvSpPr>
          <xdr:cNvPr id="3" name="TextBox 2">
            <a:extLst>
              <a:ext uri="{FF2B5EF4-FFF2-40B4-BE49-F238E27FC236}">
                <a16:creationId xmlns:a16="http://schemas.microsoft.com/office/drawing/2014/main" id="{2E6A6C4F-FE16-B11B-5D4A-376FBE7C1AE6}"/>
              </a:ext>
            </a:extLst>
          </xdr:cNvPr>
          <xdr:cNvSpPr txBox="1"/>
        </xdr:nvSpPr>
        <xdr:spPr>
          <a:xfrm>
            <a:off x="2780988" y="127000"/>
            <a:ext cx="10384667" cy="1016000"/>
          </a:xfrm>
          <a:prstGeom prst="rect">
            <a:avLst/>
          </a:prstGeom>
          <a:solidFill>
            <a:srgbClr val="E8E2D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400" b="1">
                <a:solidFill>
                  <a:srgbClr val="13611A"/>
                </a:solidFill>
                <a:latin typeface="Rockwell Extra Bold" panose="02060903040505020403" pitchFamily="18" charset="0"/>
                <a:cs typeface="Times New Roman" panose="02020603050405020304" pitchFamily="18" charset="0"/>
              </a:rPr>
              <a:t>EMERALD</a:t>
            </a:r>
            <a:r>
              <a:rPr lang="en-GB" sz="2400" b="1" baseline="0">
                <a:solidFill>
                  <a:srgbClr val="13611A"/>
                </a:solidFill>
                <a:latin typeface="Rockwell Extra Bold" panose="02060903040505020403" pitchFamily="18" charset="0"/>
                <a:cs typeface="Times New Roman" panose="02020603050405020304" pitchFamily="18" charset="0"/>
              </a:rPr>
              <a:t> GLOBAL VENTURES EMPLOYEE ANALYSIS</a:t>
            </a:r>
            <a:endParaRPr lang="en-GB" sz="2400" b="1">
              <a:solidFill>
                <a:srgbClr val="13611A"/>
              </a:solidFill>
              <a:latin typeface="Rockwell Extra Bold" panose="02060903040505020403" pitchFamily="18" charset="0"/>
              <a:cs typeface="Times New Roman" panose="02020603050405020304" pitchFamily="18" charset="0"/>
            </a:endParaRPr>
          </a:p>
        </xdr:txBody>
      </xdr:sp>
      <xdr:pic>
        <xdr:nvPicPr>
          <xdr:cNvPr id="7" name="Picture 6">
            <a:extLst>
              <a:ext uri="{FF2B5EF4-FFF2-40B4-BE49-F238E27FC236}">
                <a16:creationId xmlns:a16="http://schemas.microsoft.com/office/drawing/2014/main" id="{540B7AD2-C8FA-2573-1D84-631258B9B99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6562" y="127000"/>
            <a:ext cx="2032001" cy="1005417"/>
          </a:xfrm>
          <a:prstGeom prst="rect">
            <a:avLst/>
          </a:prstGeom>
          <a:solidFill>
            <a:srgbClr val="E8E2DC"/>
          </a:solidFill>
        </xdr:spPr>
      </xdr:pic>
    </xdr:grpSp>
    <xdr:clientData/>
  </xdr:twoCellAnchor>
  <xdr:twoCellAnchor>
    <xdr:from>
      <xdr:col>17</xdr:col>
      <xdr:colOff>122141</xdr:colOff>
      <xdr:row>11</xdr:row>
      <xdr:rowOff>126998</xdr:rowOff>
    </xdr:from>
    <xdr:to>
      <xdr:col>21</xdr:col>
      <xdr:colOff>380998</xdr:colOff>
      <xdr:row>24</xdr:row>
      <xdr:rowOff>63499</xdr:rowOff>
    </xdr:to>
    <xdr:sp macro="" textlink="">
      <xdr:nvSpPr>
        <xdr:cNvPr id="12" name="Rectangle: Rounded Corners 11">
          <a:extLst>
            <a:ext uri="{FF2B5EF4-FFF2-40B4-BE49-F238E27FC236}">
              <a16:creationId xmlns:a16="http://schemas.microsoft.com/office/drawing/2014/main" id="{547EB651-DF4F-5EEE-27B1-864F60543D42}"/>
            </a:ext>
          </a:extLst>
        </xdr:cNvPr>
        <xdr:cNvSpPr/>
      </xdr:nvSpPr>
      <xdr:spPr>
        <a:xfrm>
          <a:off x="10557308" y="2222498"/>
          <a:ext cx="2714190" cy="2413001"/>
        </a:xfrm>
        <a:prstGeom prst="roundRect">
          <a:avLst>
            <a:gd name="adj" fmla="val 1895"/>
          </a:avLst>
        </a:prstGeom>
        <a:solidFill>
          <a:srgbClr val="E8E2DC"/>
        </a:soli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1</xdr:col>
      <xdr:colOff>63499</xdr:colOff>
      <xdr:row>24</xdr:row>
      <xdr:rowOff>151397</xdr:rowOff>
    </xdr:from>
    <xdr:to>
      <xdr:col>6</xdr:col>
      <xdr:colOff>125877</xdr:colOff>
      <xdr:row>36</xdr:row>
      <xdr:rowOff>90237</xdr:rowOff>
    </xdr:to>
    <xdr:sp macro="" textlink="">
      <xdr:nvSpPr>
        <xdr:cNvPr id="22" name="Rectangle: Rounded Corners 21">
          <a:extLst>
            <a:ext uri="{FF2B5EF4-FFF2-40B4-BE49-F238E27FC236}">
              <a16:creationId xmlns:a16="http://schemas.microsoft.com/office/drawing/2014/main" id="{F580C288-59BE-DB52-0E08-164DE4BE8C3D}"/>
            </a:ext>
          </a:extLst>
        </xdr:cNvPr>
        <xdr:cNvSpPr/>
      </xdr:nvSpPr>
      <xdr:spPr>
        <a:xfrm>
          <a:off x="677332" y="4723397"/>
          <a:ext cx="3131545" cy="2224840"/>
        </a:xfrm>
        <a:prstGeom prst="roundRect">
          <a:avLst>
            <a:gd name="adj" fmla="val 1895"/>
          </a:avLst>
        </a:prstGeom>
        <a:solidFill>
          <a:srgbClr val="E8E2DC"/>
        </a:soli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16</xdr:col>
      <xdr:colOff>130890</xdr:colOff>
      <xdr:row>24</xdr:row>
      <xdr:rowOff>151396</xdr:rowOff>
    </xdr:from>
    <xdr:to>
      <xdr:col>21</xdr:col>
      <xdr:colOff>380990</xdr:colOff>
      <xdr:row>36</xdr:row>
      <xdr:rowOff>80720</xdr:rowOff>
    </xdr:to>
    <xdr:sp macro="" textlink="">
      <xdr:nvSpPr>
        <xdr:cNvPr id="23" name="Rectangle: Rounded Corners 22">
          <a:extLst>
            <a:ext uri="{FF2B5EF4-FFF2-40B4-BE49-F238E27FC236}">
              <a16:creationId xmlns:a16="http://schemas.microsoft.com/office/drawing/2014/main" id="{B08F3BFC-3E6B-B126-44EE-BCE513D8B008}"/>
            </a:ext>
          </a:extLst>
        </xdr:cNvPr>
        <xdr:cNvSpPr/>
      </xdr:nvSpPr>
      <xdr:spPr>
        <a:xfrm>
          <a:off x="9952223" y="4723396"/>
          <a:ext cx="3319267" cy="2215324"/>
        </a:xfrm>
        <a:prstGeom prst="roundRect">
          <a:avLst>
            <a:gd name="adj" fmla="val 1895"/>
          </a:avLst>
        </a:prstGeom>
        <a:solidFill>
          <a:srgbClr val="E8E2DC"/>
        </a:soli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204754</xdr:colOff>
      <xdr:row>24</xdr:row>
      <xdr:rowOff>151396</xdr:rowOff>
    </xdr:from>
    <xdr:to>
      <xdr:col>11</xdr:col>
      <xdr:colOff>77417</xdr:colOff>
      <xdr:row>36</xdr:row>
      <xdr:rowOff>96864</xdr:rowOff>
    </xdr:to>
    <xdr:sp macro="" textlink="">
      <xdr:nvSpPr>
        <xdr:cNvPr id="24" name="Rectangle: Rounded Corners 23">
          <a:extLst>
            <a:ext uri="{FF2B5EF4-FFF2-40B4-BE49-F238E27FC236}">
              <a16:creationId xmlns:a16="http://schemas.microsoft.com/office/drawing/2014/main" id="{8959F2C8-3A96-BCC4-C2F7-5D6ECDDFA79B}"/>
            </a:ext>
          </a:extLst>
        </xdr:cNvPr>
        <xdr:cNvSpPr/>
      </xdr:nvSpPr>
      <xdr:spPr>
        <a:xfrm>
          <a:off x="3887754" y="4723396"/>
          <a:ext cx="2941830" cy="2231468"/>
        </a:xfrm>
        <a:prstGeom prst="roundRect">
          <a:avLst>
            <a:gd name="adj" fmla="val 1895"/>
          </a:avLst>
        </a:prstGeom>
        <a:solidFill>
          <a:srgbClr val="E8E2DC"/>
        </a:soli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159297</xdr:colOff>
      <xdr:row>24</xdr:row>
      <xdr:rowOff>151397</xdr:rowOff>
    </xdr:from>
    <xdr:to>
      <xdr:col>16</xdr:col>
      <xdr:colOff>49012</xdr:colOff>
      <xdr:row>36</xdr:row>
      <xdr:rowOff>80721</xdr:rowOff>
    </xdr:to>
    <xdr:sp macro="" textlink="">
      <xdr:nvSpPr>
        <xdr:cNvPr id="25" name="Rectangle: Rounded Corners 24">
          <a:extLst>
            <a:ext uri="{FF2B5EF4-FFF2-40B4-BE49-F238E27FC236}">
              <a16:creationId xmlns:a16="http://schemas.microsoft.com/office/drawing/2014/main" id="{FA264105-0A82-4D2E-44A2-E313162C118B}"/>
            </a:ext>
          </a:extLst>
        </xdr:cNvPr>
        <xdr:cNvSpPr/>
      </xdr:nvSpPr>
      <xdr:spPr>
        <a:xfrm>
          <a:off x="6911464" y="4723397"/>
          <a:ext cx="2958881" cy="2215324"/>
        </a:xfrm>
        <a:prstGeom prst="roundRect">
          <a:avLst>
            <a:gd name="adj" fmla="val 1895"/>
          </a:avLst>
        </a:prstGeom>
        <a:solidFill>
          <a:srgbClr val="E8E2DC"/>
        </a:soli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67715</xdr:colOff>
      <xdr:row>11</xdr:row>
      <xdr:rowOff>132346</xdr:rowOff>
    </xdr:from>
    <xdr:to>
      <xdr:col>5</xdr:col>
      <xdr:colOff>301327</xdr:colOff>
      <xdr:row>24</xdr:row>
      <xdr:rowOff>125325</xdr:rowOff>
    </xdr:to>
    <xdr:grpSp>
      <xdr:nvGrpSpPr>
        <xdr:cNvPr id="60" name="Group 59">
          <a:extLst>
            <a:ext uri="{FF2B5EF4-FFF2-40B4-BE49-F238E27FC236}">
              <a16:creationId xmlns:a16="http://schemas.microsoft.com/office/drawing/2014/main" id="{969ACB6A-835D-E543-427C-B6BC3317E90F}"/>
            </a:ext>
          </a:extLst>
        </xdr:cNvPr>
        <xdr:cNvGrpSpPr/>
      </xdr:nvGrpSpPr>
      <xdr:grpSpPr>
        <a:xfrm>
          <a:off x="681548" y="2227846"/>
          <a:ext cx="2688946" cy="2469479"/>
          <a:chOff x="681548" y="2227846"/>
          <a:chExt cx="2688946" cy="2469479"/>
        </a:xfrm>
      </xdr:grpSpPr>
      <xdr:sp macro="" textlink="">
        <xdr:nvSpPr>
          <xdr:cNvPr id="4" name="Rectangle: Rounded Corners 3">
            <a:extLst>
              <a:ext uri="{FF2B5EF4-FFF2-40B4-BE49-F238E27FC236}">
                <a16:creationId xmlns:a16="http://schemas.microsoft.com/office/drawing/2014/main" id="{6F2FB099-97AF-026C-48A5-F1905DADFD79}"/>
              </a:ext>
            </a:extLst>
          </xdr:cNvPr>
          <xdr:cNvSpPr/>
        </xdr:nvSpPr>
        <xdr:spPr>
          <a:xfrm>
            <a:off x="681548" y="2227846"/>
            <a:ext cx="2688946" cy="2434390"/>
          </a:xfrm>
          <a:prstGeom prst="roundRect">
            <a:avLst>
              <a:gd name="adj" fmla="val 1895"/>
            </a:avLst>
          </a:prstGeom>
          <a:solidFill>
            <a:srgbClr val="E8E2DC"/>
          </a:soli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aphicFrame macro="">
        <xdr:nvGraphicFramePr>
          <xdr:cNvPr id="26" name="Chart 25">
            <a:extLst>
              <a:ext uri="{FF2B5EF4-FFF2-40B4-BE49-F238E27FC236}">
                <a16:creationId xmlns:a16="http://schemas.microsoft.com/office/drawing/2014/main" id="{8E7895E3-74FB-4555-9804-8E9B82E39389}"/>
              </a:ext>
            </a:extLst>
          </xdr:cNvPr>
          <xdr:cNvGraphicFramePr>
            <a:graphicFrameLocks/>
          </xdr:cNvGraphicFramePr>
        </xdr:nvGraphicFramePr>
        <xdr:xfrm>
          <a:off x="684561" y="2333622"/>
          <a:ext cx="2665886" cy="2363703"/>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27" name="TextBox 26">
            <a:extLst>
              <a:ext uri="{FF2B5EF4-FFF2-40B4-BE49-F238E27FC236}">
                <a16:creationId xmlns:a16="http://schemas.microsoft.com/office/drawing/2014/main" id="{2AFC5E91-9CE2-8F26-72FB-EC19C1483268}"/>
              </a:ext>
            </a:extLst>
          </xdr:cNvPr>
          <xdr:cNvSpPr txBox="1"/>
        </xdr:nvSpPr>
        <xdr:spPr>
          <a:xfrm>
            <a:off x="905141" y="2270243"/>
            <a:ext cx="2224728" cy="2205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GB" sz="1000" b="1">
                <a:solidFill>
                  <a:srgbClr val="15691D"/>
                </a:solidFill>
                <a:latin typeface="Rockwell Extra Bold" panose="02060903040505020403" pitchFamily="18" charset="0"/>
                <a:ea typeface="+mn-ea"/>
                <a:cs typeface="+mn-cs"/>
              </a:rPr>
              <a:t>Top 10 Occupied Job Titles</a:t>
            </a:r>
          </a:p>
        </xdr:txBody>
      </xdr:sp>
    </xdr:grpSp>
    <xdr:clientData/>
  </xdr:twoCellAnchor>
  <xdr:twoCellAnchor>
    <xdr:from>
      <xdr:col>1</xdr:col>
      <xdr:colOff>10581</xdr:colOff>
      <xdr:row>24</xdr:row>
      <xdr:rowOff>180975</xdr:rowOff>
    </xdr:from>
    <xdr:to>
      <xdr:col>6</xdr:col>
      <xdr:colOff>277383</xdr:colOff>
      <xdr:row>35</xdr:row>
      <xdr:rowOff>179917</xdr:rowOff>
    </xdr:to>
    <xdr:graphicFrame macro="">
      <xdr:nvGraphicFramePr>
        <xdr:cNvPr id="29" name="Chart 28">
          <a:extLst>
            <a:ext uri="{FF2B5EF4-FFF2-40B4-BE49-F238E27FC236}">
              <a16:creationId xmlns:a16="http://schemas.microsoft.com/office/drawing/2014/main" id="{648926FE-57A3-491B-AF8A-F1C86D90CE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31753</xdr:colOff>
      <xdr:row>26</xdr:row>
      <xdr:rowOff>114743</xdr:rowOff>
    </xdr:from>
    <xdr:to>
      <xdr:col>16</xdr:col>
      <xdr:colOff>148170</xdr:colOff>
      <xdr:row>36</xdr:row>
      <xdr:rowOff>8464</xdr:rowOff>
    </xdr:to>
    <mc:AlternateContent xmlns:mc="http://schemas.openxmlformats.org/markup-compatibility/2006">
      <mc:Choice xmlns:cx1="http://schemas.microsoft.com/office/drawing/2015/9/8/chartex" Requires="cx1">
        <xdr:graphicFrame macro="">
          <xdr:nvGraphicFramePr>
            <xdr:cNvPr id="31" name="Chart 30">
              <a:extLst>
                <a:ext uri="{FF2B5EF4-FFF2-40B4-BE49-F238E27FC236}">
                  <a16:creationId xmlns:a16="http://schemas.microsoft.com/office/drawing/2014/main" id="{FA2F3AB5-2F04-45E1-ACDA-63A958C2A6D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6737353" y="5067743"/>
              <a:ext cx="3164417" cy="1798721"/>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377094</xdr:colOff>
      <xdr:row>24</xdr:row>
      <xdr:rowOff>166628</xdr:rowOff>
    </xdr:from>
    <xdr:to>
      <xdr:col>15</xdr:col>
      <xdr:colOff>417200</xdr:colOff>
      <xdr:row>26</xdr:row>
      <xdr:rowOff>56339</xdr:rowOff>
    </xdr:to>
    <xdr:sp macro="" textlink="">
      <xdr:nvSpPr>
        <xdr:cNvPr id="32" name="TextBox 31">
          <a:extLst>
            <a:ext uri="{FF2B5EF4-FFF2-40B4-BE49-F238E27FC236}">
              <a16:creationId xmlns:a16="http://schemas.microsoft.com/office/drawing/2014/main" id="{E93BA870-1A6F-33F6-0DD0-07A980FC2A39}"/>
            </a:ext>
          </a:extLst>
        </xdr:cNvPr>
        <xdr:cNvSpPr txBox="1"/>
      </xdr:nvSpPr>
      <xdr:spPr>
        <a:xfrm>
          <a:off x="7129261" y="4738628"/>
          <a:ext cx="2495439" cy="2707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GB" sz="1000" b="1">
              <a:solidFill>
                <a:srgbClr val="15691D"/>
              </a:solidFill>
              <a:latin typeface="Rockwell Extra Bold" panose="02060903040505020403" pitchFamily="18" charset="0"/>
              <a:ea typeface="+mn-ea"/>
              <a:cs typeface="+mn-cs"/>
            </a:rPr>
            <a:t>Bonus Pay by Department</a:t>
          </a:r>
        </a:p>
      </xdr:txBody>
    </xdr:sp>
    <xdr:clientData/>
  </xdr:twoCellAnchor>
  <xdr:twoCellAnchor>
    <xdr:from>
      <xdr:col>1</xdr:col>
      <xdr:colOff>106390</xdr:colOff>
      <xdr:row>24</xdr:row>
      <xdr:rowOff>139814</xdr:rowOff>
    </xdr:from>
    <xdr:to>
      <xdr:col>6</xdr:col>
      <xdr:colOff>42332</xdr:colOff>
      <xdr:row>26</xdr:row>
      <xdr:rowOff>31750</xdr:rowOff>
    </xdr:to>
    <xdr:sp macro="" textlink="">
      <xdr:nvSpPr>
        <xdr:cNvPr id="35" name="TextBox 34">
          <a:extLst>
            <a:ext uri="{FF2B5EF4-FFF2-40B4-BE49-F238E27FC236}">
              <a16:creationId xmlns:a16="http://schemas.microsoft.com/office/drawing/2014/main" id="{03DD925F-C9A4-379E-8CD0-86DB15784D6A}"/>
            </a:ext>
          </a:extLst>
        </xdr:cNvPr>
        <xdr:cNvSpPr txBox="1"/>
      </xdr:nvSpPr>
      <xdr:spPr>
        <a:xfrm>
          <a:off x="720223" y="4711814"/>
          <a:ext cx="3005109" cy="2729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GB" sz="1000" b="1">
              <a:solidFill>
                <a:srgbClr val="15691D"/>
              </a:solidFill>
              <a:latin typeface="Rockwell Extra Bold" panose="02060903040505020403" pitchFamily="18" charset="0"/>
              <a:ea typeface="+mn-ea"/>
              <a:cs typeface="+mn-cs"/>
            </a:rPr>
            <a:t>% of  Salary to Bsiness Unit by Gender</a:t>
          </a:r>
        </a:p>
        <a:p>
          <a:pPr marL="0" indent="0" algn="ctr"/>
          <a:endParaRPr lang="en-GB" sz="1000" b="1">
            <a:solidFill>
              <a:srgbClr val="15691D"/>
            </a:solidFill>
            <a:latin typeface="Rockwell Extra Bold" panose="02060903040505020403" pitchFamily="18" charset="0"/>
            <a:ea typeface="+mn-ea"/>
            <a:cs typeface="+mn-cs"/>
          </a:endParaRPr>
        </a:p>
      </xdr:txBody>
    </xdr:sp>
    <xdr:clientData/>
  </xdr:twoCellAnchor>
  <xdr:twoCellAnchor>
    <xdr:from>
      <xdr:col>17</xdr:col>
      <xdr:colOff>75578</xdr:colOff>
      <xdr:row>12</xdr:row>
      <xdr:rowOff>184301</xdr:rowOff>
    </xdr:from>
    <xdr:to>
      <xdr:col>21</xdr:col>
      <xdr:colOff>415757</xdr:colOff>
      <xdr:row>24</xdr:row>
      <xdr:rowOff>117626</xdr:rowOff>
    </xdr:to>
    <mc:AlternateContent xmlns:mc="http://schemas.openxmlformats.org/markup-compatibility/2006">
      <mc:Choice xmlns:cx1="http://schemas.microsoft.com/office/drawing/2015/9/8/chartex" Requires="cx1">
        <xdr:graphicFrame macro="">
          <xdr:nvGraphicFramePr>
            <xdr:cNvPr id="37" name="Chart 36">
              <a:extLst>
                <a:ext uri="{FF2B5EF4-FFF2-40B4-BE49-F238E27FC236}">
                  <a16:creationId xmlns:a16="http://schemas.microsoft.com/office/drawing/2014/main" id="{DEB4E83F-693A-476B-91F8-122CEEE3D6C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0438778" y="2470301"/>
              <a:ext cx="2778579" cy="2219325"/>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364055</xdr:colOff>
      <xdr:row>11</xdr:row>
      <xdr:rowOff>154819</xdr:rowOff>
    </xdr:from>
    <xdr:to>
      <xdr:col>20</xdr:col>
      <xdr:colOff>592655</xdr:colOff>
      <xdr:row>13</xdr:row>
      <xdr:rowOff>2419</xdr:rowOff>
    </xdr:to>
    <xdr:sp macro="" textlink="">
      <xdr:nvSpPr>
        <xdr:cNvPr id="38" name="TextBox 37">
          <a:extLst>
            <a:ext uri="{FF2B5EF4-FFF2-40B4-BE49-F238E27FC236}">
              <a16:creationId xmlns:a16="http://schemas.microsoft.com/office/drawing/2014/main" id="{DDC922FF-81B5-D4C0-F804-5104AFC57C51}"/>
            </a:ext>
          </a:extLst>
        </xdr:cNvPr>
        <xdr:cNvSpPr txBox="1"/>
      </xdr:nvSpPr>
      <xdr:spPr>
        <a:xfrm>
          <a:off x="10799222" y="2250319"/>
          <a:ext cx="20701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GB" sz="1000" b="1">
              <a:solidFill>
                <a:srgbClr val="15691D"/>
              </a:solidFill>
              <a:latin typeface="Rockwell Extra Bold" panose="02060903040505020403" pitchFamily="18" charset="0"/>
              <a:ea typeface="+mn-ea"/>
              <a:cs typeface="+mn-cs"/>
            </a:rPr>
            <a:t>Hire by Month</a:t>
          </a:r>
        </a:p>
      </xdr:txBody>
    </xdr:sp>
    <xdr:clientData/>
  </xdr:twoCellAnchor>
  <xdr:twoCellAnchor>
    <xdr:from>
      <xdr:col>6</xdr:col>
      <xdr:colOff>223301</xdr:colOff>
      <xdr:row>26</xdr:row>
      <xdr:rowOff>114300</xdr:rowOff>
    </xdr:from>
    <xdr:to>
      <xdr:col>11</xdr:col>
      <xdr:colOff>51850</xdr:colOff>
      <xdr:row>36</xdr:row>
      <xdr:rowOff>66674</xdr:rowOff>
    </xdr:to>
    <mc:AlternateContent xmlns:mc="http://schemas.openxmlformats.org/markup-compatibility/2006">
      <mc:Choice xmlns:cx2="http://schemas.microsoft.com/office/drawing/2015/10/21/chartex" Requires="cx2">
        <xdr:graphicFrame macro="">
          <xdr:nvGraphicFramePr>
            <xdr:cNvPr id="39" name="Chart 38">
              <a:extLst>
                <a:ext uri="{FF2B5EF4-FFF2-40B4-BE49-F238E27FC236}">
                  <a16:creationId xmlns:a16="http://schemas.microsoft.com/office/drawing/2014/main" id="{1C7A24CD-388C-4A60-ADA5-049E06DF14A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3880901" y="5067300"/>
              <a:ext cx="2876549" cy="1857374"/>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8458</xdr:colOff>
      <xdr:row>24</xdr:row>
      <xdr:rowOff>175681</xdr:rowOff>
    </xdr:from>
    <xdr:to>
      <xdr:col>10</xdr:col>
      <xdr:colOff>256108</xdr:colOff>
      <xdr:row>26</xdr:row>
      <xdr:rowOff>13756</xdr:rowOff>
    </xdr:to>
    <xdr:sp macro="" textlink="">
      <xdr:nvSpPr>
        <xdr:cNvPr id="40" name="TextBox 39">
          <a:extLst>
            <a:ext uri="{FF2B5EF4-FFF2-40B4-BE49-F238E27FC236}">
              <a16:creationId xmlns:a16="http://schemas.microsoft.com/office/drawing/2014/main" id="{333B985A-4432-3A77-3BEC-4BB893C2B64F}"/>
            </a:ext>
          </a:extLst>
        </xdr:cNvPr>
        <xdr:cNvSpPr txBox="1"/>
      </xdr:nvSpPr>
      <xdr:spPr>
        <a:xfrm>
          <a:off x="4305291" y="4747681"/>
          <a:ext cx="208915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GB" sz="1000" b="1">
              <a:solidFill>
                <a:srgbClr val="15691D"/>
              </a:solidFill>
              <a:latin typeface="Rockwell Extra Bold" panose="02060903040505020403" pitchFamily="18" charset="0"/>
              <a:ea typeface="+mn-ea"/>
              <a:cs typeface="+mn-cs"/>
            </a:rPr>
            <a:t>Top 10 Hire Years</a:t>
          </a:r>
        </a:p>
      </xdr:txBody>
    </xdr:sp>
    <xdr:clientData/>
  </xdr:twoCellAnchor>
  <xdr:twoCellAnchor>
    <xdr:from>
      <xdr:col>5</xdr:col>
      <xdr:colOff>348906</xdr:colOff>
      <xdr:row>11</xdr:row>
      <xdr:rowOff>132348</xdr:rowOff>
    </xdr:from>
    <xdr:to>
      <xdr:col>10</xdr:col>
      <xdr:colOff>31182</xdr:colOff>
      <xdr:row>24</xdr:row>
      <xdr:rowOff>90236</xdr:rowOff>
    </xdr:to>
    <xdr:grpSp>
      <xdr:nvGrpSpPr>
        <xdr:cNvPr id="61" name="Group 60">
          <a:extLst>
            <a:ext uri="{FF2B5EF4-FFF2-40B4-BE49-F238E27FC236}">
              <a16:creationId xmlns:a16="http://schemas.microsoft.com/office/drawing/2014/main" id="{6D8F2216-D895-10B2-1DCD-A0707ACB4565}"/>
            </a:ext>
          </a:extLst>
        </xdr:cNvPr>
        <xdr:cNvGrpSpPr/>
      </xdr:nvGrpSpPr>
      <xdr:grpSpPr>
        <a:xfrm>
          <a:off x="3418073" y="2227848"/>
          <a:ext cx="2751442" cy="2434388"/>
          <a:chOff x="3418073" y="2227848"/>
          <a:chExt cx="2751442" cy="2434388"/>
        </a:xfrm>
      </xdr:grpSpPr>
      <xdr:sp macro="" textlink="">
        <xdr:nvSpPr>
          <xdr:cNvPr id="5" name="Rectangle: Rounded Corners 4">
            <a:extLst>
              <a:ext uri="{FF2B5EF4-FFF2-40B4-BE49-F238E27FC236}">
                <a16:creationId xmlns:a16="http://schemas.microsoft.com/office/drawing/2014/main" id="{F7A012ED-025F-66F7-82BB-C9BB576ADB21}"/>
              </a:ext>
            </a:extLst>
          </xdr:cNvPr>
          <xdr:cNvSpPr/>
        </xdr:nvSpPr>
        <xdr:spPr>
          <a:xfrm>
            <a:off x="3431217" y="2227848"/>
            <a:ext cx="2738298" cy="2434388"/>
          </a:xfrm>
          <a:prstGeom prst="roundRect">
            <a:avLst>
              <a:gd name="adj" fmla="val 1895"/>
            </a:avLst>
          </a:prstGeom>
          <a:solidFill>
            <a:srgbClr val="EBE6E1"/>
          </a:soli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sp macro="" textlink="">
        <xdr:nvSpPr>
          <xdr:cNvPr id="33" name="TextBox 32">
            <a:extLst>
              <a:ext uri="{FF2B5EF4-FFF2-40B4-BE49-F238E27FC236}">
                <a16:creationId xmlns:a16="http://schemas.microsoft.com/office/drawing/2014/main" id="{D5CA8A83-26F8-6635-80DE-23DFC52ED2FC}"/>
              </a:ext>
            </a:extLst>
          </xdr:cNvPr>
          <xdr:cNvSpPr txBox="1"/>
        </xdr:nvSpPr>
        <xdr:spPr>
          <a:xfrm>
            <a:off x="3530595" y="2270243"/>
            <a:ext cx="2512484" cy="2348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GB" sz="1000" b="1">
                <a:solidFill>
                  <a:srgbClr val="15691D"/>
                </a:solidFill>
                <a:latin typeface="Rockwell Extra Bold" panose="02060903040505020403" pitchFamily="18" charset="0"/>
                <a:ea typeface="+mn-ea"/>
                <a:cs typeface="+mn-cs"/>
              </a:rPr>
              <a:t>Employees by Ethnic Group</a:t>
            </a:r>
          </a:p>
        </xdr:txBody>
      </xdr:sp>
      <xdr:graphicFrame macro="">
        <xdr:nvGraphicFramePr>
          <xdr:cNvPr id="34" name="Chart 33">
            <a:extLst>
              <a:ext uri="{FF2B5EF4-FFF2-40B4-BE49-F238E27FC236}">
                <a16:creationId xmlns:a16="http://schemas.microsoft.com/office/drawing/2014/main" id="{6D7D8473-2367-4FC5-95C2-E275DAE325F2}"/>
              </a:ext>
            </a:extLst>
          </xdr:cNvPr>
          <xdr:cNvGraphicFramePr>
            <a:graphicFrameLocks/>
          </xdr:cNvGraphicFramePr>
        </xdr:nvGraphicFramePr>
        <xdr:xfrm>
          <a:off x="3418073" y="2590800"/>
          <a:ext cx="2739299" cy="2038350"/>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16</xdr:col>
      <xdr:colOff>363332</xdr:colOff>
      <xdr:row>24</xdr:row>
      <xdr:rowOff>157103</xdr:rowOff>
    </xdr:from>
    <xdr:to>
      <xdr:col>20</xdr:col>
      <xdr:colOff>569372</xdr:colOff>
      <xdr:row>26</xdr:row>
      <xdr:rowOff>46814</xdr:rowOff>
    </xdr:to>
    <xdr:sp macro="" textlink="">
      <xdr:nvSpPr>
        <xdr:cNvPr id="46" name="TextBox 45">
          <a:extLst>
            <a:ext uri="{FF2B5EF4-FFF2-40B4-BE49-F238E27FC236}">
              <a16:creationId xmlns:a16="http://schemas.microsoft.com/office/drawing/2014/main" id="{DD639883-8D11-BFAE-2CC4-ADC763FCE9E8}"/>
            </a:ext>
          </a:extLst>
        </xdr:cNvPr>
        <xdr:cNvSpPr txBox="1"/>
      </xdr:nvSpPr>
      <xdr:spPr>
        <a:xfrm>
          <a:off x="10184665" y="4729103"/>
          <a:ext cx="2661374" cy="2707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GB" sz="1000" b="1">
              <a:solidFill>
                <a:srgbClr val="15691D"/>
              </a:solidFill>
              <a:latin typeface="Rockwell Extra Bold" panose="02060903040505020403" pitchFamily="18" charset="0"/>
              <a:ea typeface="+mn-ea"/>
              <a:cs typeface="+mn-cs"/>
            </a:rPr>
            <a:t>% of Accrued Salary to Dept.</a:t>
          </a:r>
        </a:p>
      </xdr:txBody>
    </xdr:sp>
    <xdr:clientData/>
  </xdr:twoCellAnchor>
  <xdr:twoCellAnchor>
    <xdr:from>
      <xdr:col>16</xdr:col>
      <xdr:colOff>152392</xdr:colOff>
      <xdr:row>26</xdr:row>
      <xdr:rowOff>158750</xdr:rowOff>
    </xdr:from>
    <xdr:to>
      <xdr:col>21</xdr:col>
      <xdr:colOff>323841</xdr:colOff>
      <xdr:row>36</xdr:row>
      <xdr:rowOff>101597</xdr:rowOff>
    </xdr:to>
    <xdr:graphicFrame macro="">
      <xdr:nvGraphicFramePr>
        <xdr:cNvPr id="47" name="Chart 46">
          <a:extLst>
            <a:ext uri="{FF2B5EF4-FFF2-40B4-BE49-F238E27FC236}">
              <a16:creationId xmlns:a16="http://schemas.microsoft.com/office/drawing/2014/main" id="{E0ECD207-DAC1-4A1C-8EDF-97166C6BB9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264580</xdr:colOff>
      <xdr:row>6</xdr:row>
      <xdr:rowOff>123825</xdr:rowOff>
    </xdr:from>
    <xdr:to>
      <xdr:col>4</xdr:col>
      <xdr:colOff>429674</xdr:colOff>
      <xdr:row>11</xdr:row>
      <xdr:rowOff>38100</xdr:rowOff>
    </xdr:to>
    <xdr:grpSp>
      <xdr:nvGrpSpPr>
        <xdr:cNvPr id="57" name="Group 56">
          <a:extLst>
            <a:ext uri="{FF2B5EF4-FFF2-40B4-BE49-F238E27FC236}">
              <a16:creationId xmlns:a16="http://schemas.microsoft.com/office/drawing/2014/main" id="{3046B7C3-49B0-2CFC-10B5-B3094F8F92F5}"/>
            </a:ext>
          </a:extLst>
        </xdr:cNvPr>
        <xdr:cNvGrpSpPr/>
      </xdr:nvGrpSpPr>
      <xdr:grpSpPr>
        <a:xfrm>
          <a:off x="878413" y="1266825"/>
          <a:ext cx="2006594" cy="866775"/>
          <a:chOff x="878413" y="1266825"/>
          <a:chExt cx="2006594" cy="866775"/>
        </a:xfrm>
      </xdr:grpSpPr>
      <xdr:sp macro="" textlink="'Count of Employee (Job Title)'!E16">
        <xdr:nvSpPr>
          <xdr:cNvPr id="8" name="Rectangle: Rounded Corners 7">
            <a:extLst>
              <a:ext uri="{FF2B5EF4-FFF2-40B4-BE49-F238E27FC236}">
                <a16:creationId xmlns:a16="http://schemas.microsoft.com/office/drawing/2014/main" id="{E8E39E0C-5E9A-5D8E-7404-3379F8FBDD46}"/>
              </a:ext>
            </a:extLst>
          </xdr:cNvPr>
          <xdr:cNvSpPr/>
        </xdr:nvSpPr>
        <xdr:spPr>
          <a:xfrm>
            <a:off x="910155" y="1266825"/>
            <a:ext cx="1974852" cy="866775"/>
          </a:xfrm>
          <a:prstGeom prst="roundRect">
            <a:avLst>
              <a:gd name="adj" fmla="val 7917"/>
            </a:avLst>
          </a:prstGeom>
          <a:solidFill>
            <a:srgbClr val="EBE6E1"/>
          </a:soli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0" u="none" strike="noStrike">
              <a:solidFill>
                <a:srgbClr val="000000"/>
              </a:solidFill>
              <a:latin typeface="Aptos Narrow"/>
            </a:endParaRPr>
          </a:p>
          <a:p>
            <a:pPr algn="l"/>
            <a:endParaRPr lang="en-US" sz="1100" b="0" i="0" u="none" strike="noStrike">
              <a:solidFill>
                <a:srgbClr val="000000"/>
              </a:solidFill>
              <a:latin typeface="Aptos Narrow"/>
            </a:endParaRPr>
          </a:p>
          <a:p>
            <a:pPr algn="ctr"/>
            <a:r>
              <a:rPr lang="en-US" sz="2000" b="1" i="0" u="none" strike="noStrike">
                <a:solidFill>
                  <a:srgbClr val="15691D"/>
                </a:solidFill>
                <a:latin typeface="Aptos Narrow"/>
              </a:rPr>
              <a:t>                 </a:t>
            </a:r>
            <a:endParaRPr lang="en-GB" sz="2000" b="1">
              <a:solidFill>
                <a:srgbClr val="15691D"/>
              </a:solidFill>
              <a:latin typeface="Rockwell Extra Bold" panose="02060903040505020403" pitchFamily="18" charset="0"/>
            </a:endParaRPr>
          </a:p>
        </xdr:txBody>
      </xdr:sp>
      <xdr:sp macro="" textlink="">
        <xdr:nvSpPr>
          <xdr:cNvPr id="14" name="TextBox 13">
            <a:extLst>
              <a:ext uri="{FF2B5EF4-FFF2-40B4-BE49-F238E27FC236}">
                <a16:creationId xmlns:a16="http://schemas.microsoft.com/office/drawing/2014/main" id="{DD894050-6CFB-666C-A2E8-E87F430ADE0C}"/>
              </a:ext>
            </a:extLst>
          </xdr:cNvPr>
          <xdr:cNvSpPr txBox="1"/>
        </xdr:nvSpPr>
        <xdr:spPr>
          <a:xfrm>
            <a:off x="878413" y="1285874"/>
            <a:ext cx="1997075" cy="238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000" b="1">
                <a:solidFill>
                  <a:srgbClr val="15691D"/>
                </a:solidFill>
                <a:latin typeface="Rockwell Extra Bold" panose="02060903040505020403" pitchFamily="18" charset="0"/>
              </a:rPr>
              <a:t>TOTAL</a:t>
            </a:r>
            <a:r>
              <a:rPr lang="en-GB" sz="1000" b="1" baseline="0">
                <a:solidFill>
                  <a:srgbClr val="15691D"/>
                </a:solidFill>
                <a:latin typeface="Rockwell Extra Bold" panose="02060903040505020403" pitchFamily="18" charset="0"/>
              </a:rPr>
              <a:t> EMPLOYEES</a:t>
            </a:r>
            <a:endParaRPr lang="en-GB" sz="1000" b="1">
              <a:solidFill>
                <a:srgbClr val="15691D"/>
              </a:solidFill>
              <a:latin typeface="Rockwell Extra Bold" panose="02060903040505020403" pitchFamily="18" charset="0"/>
            </a:endParaRPr>
          </a:p>
        </xdr:txBody>
      </xdr:sp>
      <xdr:pic>
        <xdr:nvPicPr>
          <xdr:cNvPr id="16" name="Graphic 15" descr="Group of women">
            <a:extLst>
              <a:ext uri="{FF2B5EF4-FFF2-40B4-BE49-F238E27FC236}">
                <a16:creationId xmlns:a16="http://schemas.microsoft.com/office/drawing/2014/main" id="{F1A17C15-5F33-4CAE-94D6-FC822F5B5CE6}"/>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1080550" y="1460500"/>
            <a:ext cx="572269" cy="634999"/>
          </a:xfrm>
          <a:prstGeom prst="rect">
            <a:avLst/>
          </a:prstGeom>
        </xdr:spPr>
      </xdr:pic>
      <xdr:sp macro="" textlink="'Number of Exited Employees'!J4">
        <xdr:nvSpPr>
          <xdr:cNvPr id="28" name="TextBox 27">
            <a:extLst>
              <a:ext uri="{FF2B5EF4-FFF2-40B4-BE49-F238E27FC236}">
                <a16:creationId xmlns:a16="http://schemas.microsoft.com/office/drawing/2014/main" id="{4A71174E-DEFB-3B6E-FB10-BC7091344E11}"/>
              </a:ext>
            </a:extLst>
          </xdr:cNvPr>
          <xdr:cNvSpPr txBox="1"/>
        </xdr:nvSpPr>
        <xdr:spPr>
          <a:xfrm>
            <a:off x="1926152" y="1576919"/>
            <a:ext cx="814916" cy="359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2E4C683-74C3-464E-8899-D1AEF5E18929}" type="TxLink">
              <a:rPr lang="en-US" sz="2000" b="1" i="0" u="none" strike="noStrike">
                <a:solidFill>
                  <a:srgbClr val="15691D"/>
                </a:solidFill>
                <a:latin typeface="Rockwell Extra Bold" panose="02060903040505020403" pitchFamily="18" charset="0"/>
              </a:rPr>
              <a:pPr/>
              <a:t>831</a:t>
            </a:fld>
            <a:endParaRPr lang="en-GB" sz="1800" b="1">
              <a:solidFill>
                <a:srgbClr val="15691D"/>
              </a:solidFill>
              <a:latin typeface="Rockwell Extra Bold" panose="02060903040505020403" pitchFamily="18" charset="0"/>
            </a:endParaRPr>
          </a:p>
        </xdr:txBody>
      </xdr:sp>
    </xdr:grpSp>
    <xdr:clientData/>
  </xdr:twoCellAnchor>
  <xdr:twoCellAnchor>
    <xdr:from>
      <xdr:col>4</xdr:col>
      <xdr:colOff>520161</xdr:colOff>
      <xdr:row>6</xdr:row>
      <xdr:rowOff>123825</xdr:rowOff>
    </xdr:from>
    <xdr:to>
      <xdr:col>8</xdr:col>
      <xdr:colOff>287328</xdr:colOff>
      <xdr:row>11</xdr:row>
      <xdr:rowOff>38100</xdr:rowOff>
    </xdr:to>
    <xdr:grpSp>
      <xdr:nvGrpSpPr>
        <xdr:cNvPr id="56" name="Group 55">
          <a:extLst>
            <a:ext uri="{FF2B5EF4-FFF2-40B4-BE49-F238E27FC236}">
              <a16:creationId xmlns:a16="http://schemas.microsoft.com/office/drawing/2014/main" id="{012B2791-10EC-42CD-1C5D-0487255505E3}"/>
            </a:ext>
          </a:extLst>
        </xdr:cNvPr>
        <xdr:cNvGrpSpPr/>
      </xdr:nvGrpSpPr>
      <xdr:grpSpPr>
        <a:xfrm>
          <a:off x="2975494" y="1266825"/>
          <a:ext cx="2222501" cy="866775"/>
          <a:chOff x="2975494" y="1266825"/>
          <a:chExt cx="2222501" cy="866775"/>
        </a:xfrm>
      </xdr:grpSpPr>
      <xdr:sp macro="" textlink="'Gender Count by Department'!H10">
        <xdr:nvSpPr>
          <xdr:cNvPr id="10" name="Rectangle: Rounded Corners 9">
            <a:extLst>
              <a:ext uri="{FF2B5EF4-FFF2-40B4-BE49-F238E27FC236}">
                <a16:creationId xmlns:a16="http://schemas.microsoft.com/office/drawing/2014/main" id="{2E2B7688-4951-4767-B483-8480CDE43F5F}"/>
              </a:ext>
            </a:extLst>
          </xdr:cNvPr>
          <xdr:cNvSpPr/>
        </xdr:nvSpPr>
        <xdr:spPr>
          <a:xfrm>
            <a:off x="2975494" y="1266825"/>
            <a:ext cx="2222501" cy="866775"/>
          </a:xfrm>
          <a:prstGeom prst="roundRect">
            <a:avLst>
              <a:gd name="adj" fmla="val 5763"/>
            </a:avLst>
          </a:prstGeom>
          <a:solidFill>
            <a:srgbClr val="E8E2DC"/>
          </a:soli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200" b="1" i="0" u="none" strike="noStrike">
              <a:solidFill>
                <a:srgbClr val="000000"/>
              </a:solidFill>
              <a:latin typeface="Aptos Narrow"/>
              <a:ea typeface="+mn-ea"/>
              <a:cs typeface="+mn-cs"/>
            </a:endParaRPr>
          </a:p>
          <a:p>
            <a:pPr marL="0" indent="0" algn="l"/>
            <a:endParaRPr lang="en-US" sz="1200" b="1" i="0" u="none" strike="noStrike">
              <a:solidFill>
                <a:srgbClr val="000000"/>
              </a:solidFill>
              <a:latin typeface="Aptos Narrow"/>
              <a:ea typeface="+mn-ea"/>
              <a:cs typeface="+mn-cs"/>
            </a:endParaRPr>
          </a:p>
          <a:p>
            <a:pPr marL="0" indent="0" algn="ctr"/>
            <a:r>
              <a:rPr lang="en-US" sz="2000" b="1" i="0" u="none" strike="noStrike">
                <a:solidFill>
                  <a:srgbClr val="15691D"/>
                </a:solidFill>
                <a:latin typeface="Aptos Narrow"/>
                <a:ea typeface="+mn-ea"/>
                <a:cs typeface="+mn-cs"/>
              </a:rPr>
              <a:t>              </a:t>
            </a:r>
            <a:endParaRPr lang="en-GB" sz="1800" b="0" i="0" u="none" strike="noStrike">
              <a:solidFill>
                <a:srgbClr val="15691D"/>
              </a:solidFill>
              <a:latin typeface="Rockwell Extra Bold" panose="02060903040505020403" pitchFamily="18" charset="0"/>
              <a:ea typeface="+mn-ea"/>
              <a:cs typeface="+mn-cs"/>
            </a:endParaRPr>
          </a:p>
        </xdr:txBody>
      </xdr:sp>
      <xdr:sp macro="" textlink="">
        <xdr:nvSpPr>
          <xdr:cNvPr id="15" name="TextBox 14">
            <a:extLst>
              <a:ext uri="{FF2B5EF4-FFF2-40B4-BE49-F238E27FC236}">
                <a16:creationId xmlns:a16="http://schemas.microsoft.com/office/drawing/2014/main" id="{C0EE6930-98E7-789D-AECB-DA5A604CE0F7}"/>
              </a:ext>
            </a:extLst>
          </xdr:cNvPr>
          <xdr:cNvSpPr txBox="1"/>
        </xdr:nvSpPr>
        <xdr:spPr>
          <a:xfrm>
            <a:off x="3005666" y="1317624"/>
            <a:ext cx="2137833" cy="174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GB" sz="1000" b="1">
                <a:solidFill>
                  <a:srgbClr val="15691D"/>
                </a:solidFill>
                <a:latin typeface="Rockwell Extra Bold" panose="02060903040505020403" pitchFamily="18" charset="0"/>
                <a:ea typeface="+mn-ea"/>
                <a:cs typeface="+mn-cs"/>
              </a:rPr>
              <a:t>% OF MALE EMPLOYEES</a:t>
            </a:r>
          </a:p>
        </xdr:txBody>
      </xdr:sp>
      <xdr:pic>
        <xdr:nvPicPr>
          <xdr:cNvPr id="18" name="Graphic 17" descr="Man">
            <a:extLst>
              <a:ext uri="{FF2B5EF4-FFF2-40B4-BE49-F238E27FC236}">
                <a16:creationId xmlns:a16="http://schemas.microsoft.com/office/drawing/2014/main" id="{946108C5-DE33-4141-8C3D-8397D3320A97}"/>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3194045" y="1495425"/>
            <a:ext cx="613835" cy="570378"/>
          </a:xfrm>
          <a:prstGeom prst="rect">
            <a:avLst/>
          </a:prstGeom>
        </xdr:spPr>
      </xdr:pic>
      <xdr:sp macro="" textlink="'Gender Count by Department'!H10">
        <xdr:nvSpPr>
          <xdr:cNvPr id="30" name="TextBox 29">
            <a:extLst>
              <a:ext uri="{FF2B5EF4-FFF2-40B4-BE49-F238E27FC236}">
                <a16:creationId xmlns:a16="http://schemas.microsoft.com/office/drawing/2014/main" id="{BF29DAED-1129-35B6-18C1-A35FD6801603}"/>
              </a:ext>
            </a:extLst>
          </xdr:cNvPr>
          <xdr:cNvSpPr txBox="1"/>
        </xdr:nvSpPr>
        <xdr:spPr>
          <a:xfrm>
            <a:off x="4127501" y="1576918"/>
            <a:ext cx="793749"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29AB2BA-9459-4280-B6C4-25E61D9D861F}" type="TxLink">
              <a:rPr lang="en-US" sz="2000" b="1" i="0" u="none" strike="noStrike">
                <a:solidFill>
                  <a:srgbClr val="15691D"/>
                </a:solidFill>
                <a:latin typeface="Rockwell Extra Bold" panose="02060903040505020403" pitchFamily="18" charset="0"/>
                <a:ea typeface="+mn-ea"/>
                <a:cs typeface="+mn-cs"/>
              </a:rPr>
              <a:pPr marL="0" indent="0"/>
              <a:t>49%</a:t>
            </a:fld>
            <a:endParaRPr lang="en-GB" sz="2000" b="1" i="0" u="none" strike="noStrike">
              <a:solidFill>
                <a:srgbClr val="15691D"/>
              </a:solidFill>
              <a:latin typeface="Rockwell Extra Bold" panose="02060903040505020403" pitchFamily="18" charset="0"/>
              <a:ea typeface="+mn-ea"/>
              <a:cs typeface="+mn-cs"/>
            </a:endParaRPr>
          </a:p>
        </xdr:txBody>
      </xdr:sp>
    </xdr:grpSp>
    <xdr:clientData/>
  </xdr:twoCellAnchor>
  <xdr:twoCellAnchor>
    <xdr:from>
      <xdr:col>16</xdr:col>
      <xdr:colOff>465658</xdr:colOff>
      <xdr:row>6</xdr:row>
      <xdr:rowOff>130175</xdr:rowOff>
    </xdr:from>
    <xdr:to>
      <xdr:col>21</xdr:col>
      <xdr:colOff>160858</xdr:colOff>
      <xdr:row>11</xdr:row>
      <xdr:rowOff>31750</xdr:rowOff>
    </xdr:to>
    <xdr:grpSp>
      <xdr:nvGrpSpPr>
        <xdr:cNvPr id="53" name="Group 52">
          <a:extLst>
            <a:ext uri="{FF2B5EF4-FFF2-40B4-BE49-F238E27FC236}">
              <a16:creationId xmlns:a16="http://schemas.microsoft.com/office/drawing/2014/main" id="{5FC07DAB-EFFF-2EBA-8277-D27B22DD68AB}"/>
            </a:ext>
          </a:extLst>
        </xdr:cNvPr>
        <xdr:cNvGrpSpPr/>
      </xdr:nvGrpSpPr>
      <xdr:grpSpPr>
        <a:xfrm>
          <a:off x="10286991" y="1273175"/>
          <a:ext cx="2764367" cy="854075"/>
          <a:chOff x="10286991" y="1273175"/>
          <a:chExt cx="2764367" cy="854075"/>
        </a:xfrm>
      </xdr:grpSpPr>
      <xdr:sp macro="" textlink="'Number of Exited Employees'!J6">
        <xdr:nvSpPr>
          <xdr:cNvPr id="13" name="Rectangle: Rounded Corners 12">
            <a:extLst>
              <a:ext uri="{FF2B5EF4-FFF2-40B4-BE49-F238E27FC236}">
                <a16:creationId xmlns:a16="http://schemas.microsoft.com/office/drawing/2014/main" id="{444DFA11-ED5F-E865-8A35-3957F82D0CEE}"/>
              </a:ext>
            </a:extLst>
          </xdr:cNvPr>
          <xdr:cNvSpPr/>
        </xdr:nvSpPr>
        <xdr:spPr>
          <a:xfrm>
            <a:off x="10286991" y="1273175"/>
            <a:ext cx="2764367" cy="854075"/>
          </a:xfrm>
          <a:prstGeom prst="roundRect">
            <a:avLst>
              <a:gd name="adj" fmla="val 6667"/>
            </a:avLst>
          </a:prstGeom>
          <a:solidFill>
            <a:srgbClr val="E8E2DC"/>
          </a:soli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b="1" i="0" u="none" strike="noStrike">
              <a:solidFill>
                <a:srgbClr val="000000"/>
              </a:solidFill>
              <a:latin typeface="Aptos Narrow"/>
            </a:endParaRPr>
          </a:p>
          <a:p>
            <a:pPr algn="l"/>
            <a:endParaRPr lang="en-US" sz="1200" b="1" i="0" u="none" strike="noStrike">
              <a:solidFill>
                <a:srgbClr val="000000"/>
              </a:solidFill>
              <a:latin typeface="Aptos Narrow"/>
            </a:endParaRPr>
          </a:p>
          <a:p>
            <a:pPr algn="ctr"/>
            <a:r>
              <a:rPr lang="en-US" sz="1200" b="1" i="0" u="none" strike="noStrike">
                <a:solidFill>
                  <a:srgbClr val="000000"/>
                </a:solidFill>
                <a:latin typeface="Aptos Narrow"/>
              </a:rPr>
              <a:t>                                   </a:t>
            </a:r>
            <a:r>
              <a:rPr lang="en-US" sz="2000" b="1" i="0" u="none" strike="noStrike">
                <a:solidFill>
                  <a:srgbClr val="15691D"/>
                </a:solidFill>
                <a:latin typeface="Aptos Narrow"/>
              </a:rPr>
              <a:t> </a:t>
            </a:r>
            <a:endParaRPr lang="en-GB" sz="2000">
              <a:solidFill>
                <a:srgbClr val="15691D"/>
              </a:solidFill>
              <a:latin typeface="Rockwell Extra Bold" panose="02060903040505020403" pitchFamily="18" charset="0"/>
            </a:endParaRPr>
          </a:p>
        </xdr:txBody>
      </xdr:sp>
      <xdr:sp macro="" textlink="">
        <xdr:nvSpPr>
          <xdr:cNvPr id="21" name="TextBox 20">
            <a:extLst>
              <a:ext uri="{FF2B5EF4-FFF2-40B4-BE49-F238E27FC236}">
                <a16:creationId xmlns:a16="http://schemas.microsoft.com/office/drawing/2014/main" id="{F3FBAD66-C5AA-28C5-E026-40DD0B4080E1}"/>
              </a:ext>
            </a:extLst>
          </xdr:cNvPr>
          <xdr:cNvSpPr txBox="1"/>
        </xdr:nvSpPr>
        <xdr:spPr>
          <a:xfrm>
            <a:off x="10445750" y="1287993"/>
            <a:ext cx="2435215" cy="225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000" b="1">
                <a:solidFill>
                  <a:srgbClr val="15691D"/>
                </a:solidFill>
                <a:latin typeface="Rockwell Extra Bold" panose="02060903040505020403" pitchFamily="18" charset="0"/>
                <a:ea typeface="+mn-ea"/>
                <a:cs typeface="+mn-cs"/>
              </a:rPr>
              <a:t>EMPLOYEES OUT OF SERVICE</a:t>
            </a:r>
          </a:p>
          <a:p>
            <a:pPr marL="0" indent="0" algn="ctr"/>
            <a:endParaRPr lang="en-GB" sz="1000" b="1">
              <a:solidFill>
                <a:srgbClr val="15691D"/>
              </a:solidFill>
              <a:latin typeface="Rockwell Extra Bold" panose="02060903040505020403" pitchFamily="18" charset="0"/>
              <a:ea typeface="+mn-ea"/>
              <a:cs typeface="+mn-cs"/>
            </a:endParaRPr>
          </a:p>
        </xdr:txBody>
      </xdr:sp>
      <xdr:pic>
        <xdr:nvPicPr>
          <xdr:cNvPr id="42" name="Graphic 41" descr="Office worker male with solid fill">
            <a:extLst>
              <a:ext uri="{FF2B5EF4-FFF2-40B4-BE49-F238E27FC236}">
                <a16:creationId xmlns:a16="http://schemas.microsoft.com/office/drawing/2014/main" id="{0A5174A4-781E-45DA-9639-DDE2003047B7}"/>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1017258" y="1419225"/>
            <a:ext cx="351367" cy="704850"/>
          </a:xfrm>
          <a:prstGeom prst="rect">
            <a:avLst/>
          </a:prstGeom>
        </xdr:spPr>
      </xdr:pic>
      <xdr:pic>
        <xdr:nvPicPr>
          <xdr:cNvPr id="43" name="Graphic 42" descr="No sign with solid fill">
            <a:extLst>
              <a:ext uri="{FF2B5EF4-FFF2-40B4-BE49-F238E27FC236}">
                <a16:creationId xmlns:a16="http://schemas.microsoft.com/office/drawing/2014/main" id="{ED55DA63-4D3C-45A0-9E37-B7EB61B08998}"/>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0827802" y="1638300"/>
            <a:ext cx="728133" cy="380999"/>
          </a:xfrm>
          <a:prstGeom prst="rect">
            <a:avLst/>
          </a:prstGeom>
        </xdr:spPr>
      </xdr:pic>
      <xdr:sp macro="" textlink="'Number of Exited Employees'!J6">
        <xdr:nvSpPr>
          <xdr:cNvPr id="44" name="TextBox 43">
            <a:extLst>
              <a:ext uri="{FF2B5EF4-FFF2-40B4-BE49-F238E27FC236}">
                <a16:creationId xmlns:a16="http://schemas.microsoft.com/office/drawing/2014/main" id="{81E5FAC1-EA3C-4EF0-9C97-F76021E1AB1A}"/>
              </a:ext>
            </a:extLst>
          </xdr:cNvPr>
          <xdr:cNvSpPr txBox="1"/>
        </xdr:nvSpPr>
        <xdr:spPr>
          <a:xfrm>
            <a:off x="12022662" y="1608667"/>
            <a:ext cx="603250" cy="370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F631F55-0294-4D79-AE1D-656EA1E44EE6}" type="TxLink">
              <a:rPr lang="en-US" sz="2000" b="1" i="0" u="none" strike="noStrike">
                <a:solidFill>
                  <a:srgbClr val="15691D"/>
                </a:solidFill>
                <a:latin typeface="Rockwell Extra Bold" panose="02060903040505020403" pitchFamily="18" charset="0"/>
                <a:ea typeface="+mn-ea"/>
                <a:cs typeface="+mn-cs"/>
              </a:rPr>
              <a:pPr marL="0" indent="0"/>
              <a:t>92</a:t>
            </a:fld>
            <a:endParaRPr lang="en-GB" sz="2000" b="1" i="0" u="none" strike="noStrike">
              <a:solidFill>
                <a:srgbClr val="15691D"/>
              </a:solidFill>
              <a:latin typeface="Rockwell Extra Bold" panose="02060903040505020403" pitchFamily="18" charset="0"/>
              <a:ea typeface="+mn-ea"/>
              <a:cs typeface="+mn-cs"/>
            </a:endParaRPr>
          </a:p>
        </xdr:txBody>
      </xdr:sp>
    </xdr:grpSp>
    <xdr:clientData/>
  </xdr:twoCellAnchor>
  <xdr:twoCellAnchor>
    <xdr:from>
      <xdr:col>12</xdr:col>
      <xdr:colOff>489469</xdr:colOff>
      <xdr:row>6</xdr:row>
      <xdr:rowOff>114299</xdr:rowOff>
    </xdr:from>
    <xdr:to>
      <xdr:col>16</xdr:col>
      <xdr:colOff>375170</xdr:colOff>
      <xdr:row>11</xdr:row>
      <xdr:rowOff>47625</xdr:rowOff>
    </xdr:to>
    <xdr:grpSp>
      <xdr:nvGrpSpPr>
        <xdr:cNvPr id="54" name="Group 53">
          <a:extLst>
            <a:ext uri="{FF2B5EF4-FFF2-40B4-BE49-F238E27FC236}">
              <a16:creationId xmlns:a16="http://schemas.microsoft.com/office/drawing/2014/main" id="{C751DCF9-26F7-AEC3-1132-21623C979A73}"/>
            </a:ext>
          </a:extLst>
        </xdr:cNvPr>
        <xdr:cNvGrpSpPr/>
      </xdr:nvGrpSpPr>
      <xdr:grpSpPr>
        <a:xfrm>
          <a:off x="7855469" y="1257299"/>
          <a:ext cx="2341034" cy="885826"/>
          <a:chOff x="7855469" y="1257299"/>
          <a:chExt cx="2341034" cy="885826"/>
        </a:xfrm>
      </xdr:grpSpPr>
      <xdr:sp macro="" textlink="'Number of Exited Employees'!J5">
        <xdr:nvSpPr>
          <xdr:cNvPr id="9" name="Rectangle: Rounded Corners 8">
            <a:extLst>
              <a:ext uri="{FF2B5EF4-FFF2-40B4-BE49-F238E27FC236}">
                <a16:creationId xmlns:a16="http://schemas.microsoft.com/office/drawing/2014/main" id="{053F4D88-F496-A389-5C30-A3F72AF4AB91}"/>
              </a:ext>
            </a:extLst>
          </xdr:cNvPr>
          <xdr:cNvSpPr/>
        </xdr:nvSpPr>
        <xdr:spPr>
          <a:xfrm>
            <a:off x="7855469" y="1257299"/>
            <a:ext cx="2341034" cy="885826"/>
          </a:xfrm>
          <a:prstGeom prst="roundRect">
            <a:avLst>
              <a:gd name="adj" fmla="val 6555"/>
            </a:avLst>
          </a:prstGeom>
          <a:solidFill>
            <a:srgbClr val="E8E2DC"/>
          </a:soli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b="1" i="0" u="none" strike="noStrike">
              <a:solidFill>
                <a:srgbClr val="000000"/>
              </a:solidFill>
              <a:latin typeface="Aptos Narrow"/>
            </a:endParaRPr>
          </a:p>
          <a:p>
            <a:pPr algn="l"/>
            <a:endParaRPr lang="en-US" sz="1200" b="1" i="0" u="none" strike="noStrike">
              <a:solidFill>
                <a:srgbClr val="000000"/>
              </a:solidFill>
              <a:latin typeface="Aptos Narrow"/>
            </a:endParaRPr>
          </a:p>
          <a:p>
            <a:pPr algn="ctr"/>
            <a:r>
              <a:rPr lang="en-US" sz="2000" b="1" i="0" u="none" strike="noStrike" baseline="0">
                <a:solidFill>
                  <a:srgbClr val="15691D"/>
                </a:solidFill>
                <a:latin typeface="Aptos Narrow"/>
              </a:rPr>
              <a:t>                     </a:t>
            </a:r>
            <a:endParaRPr lang="en-GB" sz="1800">
              <a:solidFill>
                <a:srgbClr val="15691D"/>
              </a:solidFill>
              <a:latin typeface="Rockwell Extra Bold" panose="02060903040505020403" pitchFamily="18" charset="0"/>
            </a:endParaRPr>
          </a:p>
        </xdr:txBody>
      </xdr:sp>
      <xdr:sp macro="" textlink="">
        <xdr:nvSpPr>
          <xdr:cNvPr id="19" name="TextBox 18">
            <a:extLst>
              <a:ext uri="{FF2B5EF4-FFF2-40B4-BE49-F238E27FC236}">
                <a16:creationId xmlns:a16="http://schemas.microsoft.com/office/drawing/2014/main" id="{457B4B20-90F5-BD02-7FAF-EA3EEE1577E5}"/>
              </a:ext>
            </a:extLst>
          </xdr:cNvPr>
          <xdr:cNvSpPr txBox="1"/>
        </xdr:nvSpPr>
        <xdr:spPr>
          <a:xfrm>
            <a:off x="7958669" y="1278466"/>
            <a:ext cx="2124069" cy="2243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GB" sz="1000" b="1">
                <a:solidFill>
                  <a:srgbClr val="15691D"/>
                </a:solidFill>
                <a:latin typeface="Rockwell Extra Bold" panose="02060903040505020403" pitchFamily="18" charset="0"/>
                <a:ea typeface="+mn-ea"/>
                <a:cs typeface="+mn-cs"/>
              </a:rPr>
              <a:t>EMPLOYEES IN SERVICE</a:t>
            </a:r>
          </a:p>
        </xdr:txBody>
      </xdr:sp>
      <xdr:pic>
        <xdr:nvPicPr>
          <xdr:cNvPr id="41" name="Graphic 40" descr="Office worker male with solid fill">
            <a:extLst>
              <a:ext uri="{FF2B5EF4-FFF2-40B4-BE49-F238E27FC236}">
                <a16:creationId xmlns:a16="http://schemas.microsoft.com/office/drawing/2014/main" id="{3EDDEB21-88BD-4D56-A94D-4F3D6C8C7DB1}"/>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8191497" y="1457324"/>
            <a:ext cx="484717" cy="657226"/>
          </a:xfrm>
          <a:prstGeom prst="rect">
            <a:avLst/>
          </a:prstGeom>
        </xdr:spPr>
      </xdr:pic>
      <xdr:sp macro="" textlink="'Number of Exited Employees'!J5">
        <xdr:nvSpPr>
          <xdr:cNvPr id="51" name="TextBox 50">
            <a:extLst>
              <a:ext uri="{FF2B5EF4-FFF2-40B4-BE49-F238E27FC236}">
                <a16:creationId xmlns:a16="http://schemas.microsoft.com/office/drawing/2014/main" id="{4A942362-DCCC-5187-1989-5F95438DC1A2}"/>
              </a:ext>
            </a:extLst>
          </xdr:cNvPr>
          <xdr:cNvSpPr txBox="1"/>
        </xdr:nvSpPr>
        <xdr:spPr>
          <a:xfrm>
            <a:off x="9080500" y="1608667"/>
            <a:ext cx="709083" cy="338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9CE18D1-CF77-478F-B1F5-E027127E83D8}" type="TxLink">
              <a:rPr lang="en-US" sz="2000" b="1" i="0" u="none" strike="noStrike">
                <a:solidFill>
                  <a:srgbClr val="15691D"/>
                </a:solidFill>
                <a:latin typeface="Rockwell Extra Bold" panose="02060903040505020403" pitchFamily="18" charset="0"/>
                <a:ea typeface="+mn-ea"/>
                <a:cs typeface="+mn-cs"/>
              </a:rPr>
              <a:pPr marL="0" indent="0"/>
              <a:t>739</a:t>
            </a:fld>
            <a:endParaRPr lang="en-GB" sz="2000" b="1" i="0" u="none" strike="noStrike">
              <a:solidFill>
                <a:srgbClr val="15691D"/>
              </a:solidFill>
              <a:latin typeface="Rockwell Extra Bold" panose="02060903040505020403" pitchFamily="18" charset="0"/>
              <a:ea typeface="+mn-ea"/>
              <a:cs typeface="+mn-cs"/>
            </a:endParaRPr>
          </a:p>
        </xdr:txBody>
      </xdr:sp>
    </xdr:grpSp>
    <xdr:clientData/>
  </xdr:twoCellAnchor>
  <xdr:twoCellAnchor>
    <xdr:from>
      <xdr:col>8</xdr:col>
      <xdr:colOff>377815</xdr:colOff>
      <xdr:row>6</xdr:row>
      <xdr:rowOff>119062</xdr:rowOff>
    </xdr:from>
    <xdr:to>
      <xdr:col>12</xdr:col>
      <xdr:colOff>398982</xdr:colOff>
      <xdr:row>11</xdr:row>
      <xdr:rowOff>42862</xdr:rowOff>
    </xdr:to>
    <xdr:grpSp>
      <xdr:nvGrpSpPr>
        <xdr:cNvPr id="55" name="Group 54">
          <a:extLst>
            <a:ext uri="{FF2B5EF4-FFF2-40B4-BE49-F238E27FC236}">
              <a16:creationId xmlns:a16="http://schemas.microsoft.com/office/drawing/2014/main" id="{2136041C-4C2B-50EA-6D5B-EAC8F94BA788}"/>
            </a:ext>
          </a:extLst>
        </xdr:cNvPr>
        <xdr:cNvGrpSpPr/>
      </xdr:nvGrpSpPr>
      <xdr:grpSpPr>
        <a:xfrm>
          <a:off x="5288482" y="1262062"/>
          <a:ext cx="2476500" cy="876300"/>
          <a:chOff x="5288482" y="1262062"/>
          <a:chExt cx="2476500" cy="876300"/>
        </a:xfrm>
      </xdr:grpSpPr>
      <xdr:sp macro="" textlink="'Gender Count by Department'!I10">
        <xdr:nvSpPr>
          <xdr:cNvPr id="11" name="Rectangle: Rounded Corners 10">
            <a:extLst>
              <a:ext uri="{FF2B5EF4-FFF2-40B4-BE49-F238E27FC236}">
                <a16:creationId xmlns:a16="http://schemas.microsoft.com/office/drawing/2014/main" id="{737D061B-AC96-B439-E101-781113FB80B6}"/>
              </a:ext>
            </a:extLst>
          </xdr:cNvPr>
          <xdr:cNvSpPr/>
        </xdr:nvSpPr>
        <xdr:spPr>
          <a:xfrm>
            <a:off x="5288482" y="1262062"/>
            <a:ext cx="2476500" cy="876300"/>
          </a:xfrm>
          <a:prstGeom prst="roundRect">
            <a:avLst>
              <a:gd name="adj" fmla="val 5266"/>
            </a:avLst>
          </a:prstGeom>
          <a:solidFill>
            <a:srgbClr val="E8E2DC"/>
          </a:soli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b="1" i="0" u="none" strike="noStrike">
              <a:solidFill>
                <a:srgbClr val="000000"/>
              </a:solidFill>
              <a:latin typeface="Aptos Narrow"/>
            </a:endParaRPr>
          </a:p>
          <a:p>
            <a:pPr algn="l"/>
            <a:endParaRPr lang="en-US" sz="1200" b="1" i="0" u="none" strike="noStrike">
              <a:solidFill>
                <a:srgbClr val="000000"/>
              </a:solidFill>
              <a:latin typeface="Aptos Narrow"/>
            </a:endParaRPr>
          </a:p>
          <a:p>
            <a:pPr algn="ctr"/>
            <a:r>
              <a:rPr lang="en-US" sz="1200" b="1" i="0" u="none" strike="noStrike">
                <a:solidFill>
                  <a:srgbClr val="000000"/>
                </a:solidFill>
                <a:latin typeface="Aptos Narrow"/>
              </a:rPr>
              <a:t>                             </a:t>
            </a:r>
            <a:r>
              <a:rPr lang="en-US" sz="1200" b="1" i="0" u="none" strike="noStrike">
                <a:solidFill>
                  <a:srgbClr val="000000"/>
                </a:solidFill>
                <a:latin typeface="Rockwell Extra Bold" panose="02060903040505020403" pitchFamily="18" charset="0"/>
              </a:rPr>
              <a:t> </a:t>
            </a:r>
            <a:endParaRPr lang="en-GB" sz="1100">
              <a:solidFill>
                <a:srgbClr val="15691D"/>
              </a:solidFill>
              <a:latin typeface="Rockwell Extra Bold" panose="02060903040505020403" pitchFamily="18" charset="0"/>
            </a:endParaRPr>
          </a:p>
        </xdr:txBody>
      </xdr:sp>
      <xdr:sp macro="" textlink="">
        <xdr:nvSpPr>
          <xdr:cNvPr id="17" name="TextBox 16">
            <a:extLst>
              <a:ext uri="{FF2B5EF4-FFF2-40B4-BE49-F238E27FC236}">
                <a16:creationId xmlns:a16="http://schemas.microsoft.com/office/drawing/2014/main" id="{D8BF1583-FA91-76FC-F68F-2347DA7350B4}"/>
              </a:ext>
            </a:extLst>
          </xdr:cNvPr>
          <xdr:cNvSpPr txBox="1"/>
        </xdr:nvSpPr>
        <xdr:spPr>
          <a:xfrm>
            <a:off x="5323417" y="1276351"/>
            <a:ext cx="2350554" cy="2370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GB" sz="1000" b="1">
                <a:solidFill>
                  <a:srgbClr val="15691D"/>
                </a:solidFill>
                <a:latin typeface="Rockwell Extra Bold" panose="02060903040505020403" pitchFamily="18" charset="0"/>
                <a:ea typeface="+mn-ea"/>
                <a:cs typeface="+mn-cs"/>
              </a:rPr>
              <a:t>% OF FEMALE EMPLOYEES</a:t>
            </a:r>
          </a:p>
        </xdr:txBody>
      </xdr:sp>
      <xdr:pic>
        <xdr:nvPicPr>
          <xdr:cNvPr id="20" name="Graphic 19" descr="Woman">
            <a:extLst>
              <a:ext uri="{FF2B5EF4-FFF2-40B4-BE49-F238E27FC236}">
                <a16:creationId xmlns:a16="http://schemas.microsoft.com/office/drawing/2014/main" id="{A8864ED3-0B1E-40BE-8568-2C80E347DC22}"/>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5633504" y="1504949"/>
            <a:ext cx="514350" cy="571499"/>
          </a:xfrm>
          <a:prstGeom prst="rect">
            <a:avLst/>
          </a:prstGeom>
        </xdr:spPr>
      </xdr:pic>
      <xdr:sp macro="" textlink="'Gender Count by Department'!I10">
        <xdr:nvSpPr>
          <xdr:cNvPr id="52" name="TextBox 51">
            <a:extLst>
              <a:ext uri="{FF2B5EF4-FFF2-40B4-BE49-F238E27FC236}">
                <a16:creationId xmlns:a16="http://schemas.microsoft.com/office/drawing/2014/main" id="{7A3C4ECE-3741-6C2B-C079-0E32A6628C03}"/>
              </a:ext>
            </a:extLst>
          </xdr:cNvPr>
          <xdr:cNvSpPr txBox="1"/>
        </xdr:nvSpPr>
        <xdr:spPr>
          <a:xfrm>
            <a:off x="6593418" y="1598084"/>
            <a:ext cx="783167"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B4E8D20-98B9-46B6-ACEE-24FA40CC1B44}" type="TxLink">
              <a:rPr lang="en-US" sz="2000" b="1" i="0" u="none" strike="noStrike">
                <a:solidFill>
                  <a:srgbClr val="15691D"/>
                </a:solidFill>
                <a:latin typeface="Rockwell Extra Bold" panose="02060903040505020403" pitchFamily="18" charset="0"/>
                <a:ea typeface="+mn-ea"/>
                <a:cs typeface="+mn-cs"/>
              </a:rPr>
              <a:pPr marL="0" indent="0"/>
              <a:t>51%</a:t>
            </a:fld>
            <a:endParaRPr lang="en-GB" sz="2000" b="1" i="0" u="none" strike="noStrike">
              <a:solidFill>
                <a:srgbClr val="15691D"/>
              </a:solidFill>
              <a:latin typeface="Rockwell Extra Bold" panose="02060903040505020403" pitchFamily="18" charset="0"/>
              <a:ea typeface="+mn-ea"/>
              <a:cs typeface="+mn-cs"/>
            </a:endParaRPr>
          </a:p>
        </xdr:txBody>
      </xdr:sp>
    </xdr:grpSp>
    <xdr:clientData/>
  </xdr:twoCellAnchor>
  <xdr:twoCellAnchor>
    <xdr:from>
      <xdr:col>10</xdr:col>
      <xdr:colOff>116416</xdr:colOff>
      <xdr:row>11</xdr:row>
      <xdr:rowOff>137585</xdr:rowOff>
    </xdr:from>
    <xdr:to>
      <xdr:col>12</xdr:col>
      <xdr:colOff>285750</xdr:colOff>
      <xdr:row>18</xdr:row>
      <xdr:rowOff>190492</xdr:rowOff>
    </xdr:to>
    <xdr:grpSp>
      <xdr:nvGrpSpPr>
        <xdr:cNvPr id="59" name="Group 58">
          <a:extLst>
            <a:ext uri="{FF2B5EF4-FFF2-40B4-BE49-F238E27FC236}">
              <a16:creationId xmlns:a16="http://schemas.microsoft.com/office/drawing/2014/main" id="{932E2B2E-0ED0-678B-2CA3-1F2729043F67}"/>
            </a:ext>
          </a:extLst>
        </xdr:cNvPr>
        <xdr:cNvGrpSpPr/>
      </xdr:nvGrpSpPr>
      <xdr:grpSpPr>
        <a:xfrm>
          <a:off x="6254749" y="2233085"/>
          <a:ext cx="1397001" cy="1386407"/>
          <a:chOff x="6254749" y="2233085"/>
          <a:chExt cx="1397001" cy="1386407"/>
        </a:xfrm>
      </xdr:grpSpPr>
      <mc:AlternateContent xmlns:mc="http://schemas.openxmlformats.org/markup-compatibility/2006" xmlns:a14="http://schemas.microsoft.com/office/drawing/2010/main">
        <mc:Choice Requires="a14">
          <xdr:graphicFrame macro="">
            <xdr:nvGraphicFramePr>
              <xdr:cNvPr id="48" name="Ethnicity 1">
                <a:extLst>
                  <a:ext uri="{FF2B5EF4-FFF2-40B4-BE49-F238E27FC236}">
                    <a16:creationId xmlns:a16="http://schemas.microsoft.com/office/drawing/2014/main" id="{B278FCC3-AF58-4E9A-BF04-C5D997355B1D}"/>
                  </a:ext>
                </a:extLst>
              </xdr:cNvPr>
              <xdr:cNvGraphicFramePr/>
            </xdr:nvGraphicFramePr>
            <xdr:xfrm>
              <a:off x="6254749" y="2666992"/>
              <a:ext cx="1397001" cy="952500"/>
            </xdr:xfrm>
            <a:graphic>
              <a:graphicData uri="http://schemas.microsoft.com/office/drawing/2010/slicer">
                <sle:slicer xmlns:sle="http://schemas.microsoft.com/office/drawing/2010/slicer" name="Ethnicity 1"/>
              </a:graphicData>
            </a:graphic>
          </xdr:graphicFrame>
        </mc:Choice>
        <mc:Fallback xmlns="">
          <xdr:sp macro="" textlink="">
            <xdr:nvSpPr>
              <xdr:cNvPr id="0" name=""/>
              <xdr:cNvSpPr>
                <a:spLocks noTextEdit="1"/>
              </xdr:cNvSpPr>
            </xdr:nvSpPr>
            <xdr:spPr>
              <a:xfrm>
                <a:off x="6254749" y="2666992"/>
                <a:ext cx="1397001" cy="952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nvGrpSpPr>
          <xdr:cNvPr id="58" name="Group 57">
            <a:extLst>
              <a:ext uri="{FF2B5EF4-FFF2-40B4-BE49-F238E27FC236}">
                <a16:creationId xmlns:a16="http://schemas.microsoft.com/office/drawing/2014/main" id="{1AE801F8-FC56-2CB3-C506-DB2DEA3356B2}"/>
              </a:ext>
            </a:extLst>
          </xdr:cNvPr>
          <xdr:cNvGrpSpPr/>
        </xdr:nvGrpSpPr>
        <xdr:grpSpPr>
          <a:xfrm>
            <a:off x="6265333" y="2233085"/>
            <a:ext cx="1365250" cy="328082"/>
            <a:chOff x="6265333" y="2233085"/>
            <a:chExt cx="1365250" cy="328082"/>
          </a:xfrm>
        </xdr:grpSpPr>
        <xdr:sp macro="" textlink="">
          <xdr:nvSpPr>
            <xdr:cNvPr id="6" name="Rectangle: Rounded Corners 5">
              <a:extLst>
                <a:ext uri="{FF2B5EF4-FFF2-40B4-BE49-F238E27FC236}">
                  <a16:creationId xmlns:a16="http://schemas.microsoft.com/office/drawing/2014/main" id="{BE91876D-E07A-9C84-7673-AAC3B9910E43}"/>
                </a:ext>
              </a:extLst>
            </xdr:cNvPr>
            <xdr:cNvSpPr/>
          </xdr:nvSpPr>
          <xdr:spPr>
            <a:xfrm>
              <a:off x="6265333" y="2233085"/>
              <a:ext cx="1365250" cy="328082"/>
            </a:xfrm>
            <a:prstGeom prst="roundRect">
              <a:avLst/>
            </a:prstGeom>
            <a:solidFill>
              <a:srgbClr val="EBE6E1"/>
            </a:soli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b="0" i="0" u="none" strike="noStrike">
                <a:solidFill>
                  <a:srgbClr val="000000"/>
                </a:solidFill>
                <a:latin typeface="Aptos Narrow"/>
                <a:ea typeface="+mn-ea"/>
                <a:cs typeface="+mn-cs"/>
              </a:endParaRPr>
            </a:p>
          </xdr:txBody>
        </xdr:sp>
        <xdr:sp macro="" textlink="">
          <xdr:nvSpPr>
            <xdr:cNvPr id="45" name="TextBox 44">
              <a:extLst>
                <a:ext uri="{FF2B5EF4-FFF2-40B4-BE49-F238E27FC236}">
                  <a16:creationId xmlns:a16="http://schemas.microsoft.com/office/drawing/2014/main" id="{4BF14DF2-1C0D-B046-A924-1499A443D0C6}"/>
                </a:ext>
              </a:extLst>
            </xdr:cNvPr>
            <xdr:cNvSpPr txBox="1"/>
          </xdr:nvSpPr>
          <xdr:spPr>
            <a:xfrm>
              <a:off x="6413498" y="2264831"/>
              <a:ext cx="1058333" cy="264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050" b="1">
                  <a:solidFill>
                    <a:srgbClr val="15691D"/>
                  </a:solidFill>
                  <a:latin typeface="Rockwell Extra Bold" panose="02060903040505020403" pitchFamily="18" charset="0"/>
                  <a:ea typeface="+mn-ea"/>
                  <a:cs typeface="+mn-cs"/>
                </a:rPr>
                <a:t>SLICERS</a:t>
              </a:r>
            </a:p>
          </xdr:txBody>
        </xdr:sp>
      </xdr:grpSp>
    </xdr:grpSp>
    <xdr:clientData/>
  </xdr:twoCellAnchor>
  <xdr:twoCellAnchor>
    <xdr:from>
      <xdr:col>12</xdr:col>
      <xdr:colOff>380656</xdr:colOff>
      <xdr:row>11</xdr:row>
      <xdr:rowOff>111181</xdr:rowOff>
    </xdr:from>
    <xdr:to>
      <xdr:col>17</xdr:col>
      <xdr:colOff>49787</xdr:colOff>
      <xdr:row>24</xdr:row>
      <xdr:rowOff>69069</xdr:rowOff>
    </xdr:to>
    <xdr:sp macro="" textlink="">
      <xdr:nvSpPr>
        <xdr:cNvPr id="62" name="Rectangle: Rounded Corners 61">
          <a:extLst>
            <a:ext uri="{FF2B5EF4-FFF2-40B4-BE49-F238E27FC236}">
              <a16:creationId xmlns:a16="http://schemas.microsoft.com/office/drawing/2014/main" id="{BC2A31F2-4937-4A59-A42F-E549A3408D26}"/>
            </a:ext>
          </a:extLst>
        </xdr:cNvPr>
        <xdr:cNvSpPr/>
      </xdr:nvSpPr>
      <xdr:spPr>
        <a:xfrm>
          <a:off x="7746656" y="2206681"/>
          <a:ext cx="2738298" cy="2434388"/>
        </a:xfrm>
        <a:prstGeom prst="roundRect">
          <a:avLst>
            <a:gd name="adj" fmla="val 1895"/>
          </a:avLst>
        </a:prstGeom>
        <a:solidFill>
          <a:srgbClr val="EBE6E1"/>
        </a:soli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12</xdr:col>
      <xdr:colOff>372519</xdr:colOff>
      <xdr:row>12</xdr:row>
      <xdr:rowOff>116418</xdr:rowOff>
    </xdr:from>
    <xdr:to>
      <xdr:col>17</xdr:col>
      <xdr:colOff>48666</xdr:colOff>
      <xdr:row>24</xdr:row>
      <xdr:rowOff>25704</xdr:rowOff>
    </xdr:to>
    <xdr:graphicFrame macro="">
      <xdr:nvGraphicFramePr>
        <xdr:cNvPr id="36" name="Chart 35">
          <a:extLst>
            <a:ext uri="{FF2B5EF4-FFF2-40B4-BE49-F238E27FC236}">
              <a16:creationId xmlns:a16="http://schemas.microsoft.com/office/drawing/2014/main" id="{85C7BC1A-9024-439B-AA04-61FFB81ADA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13</xdr:col>
      <xdr:colOff>190156</xdr:colOff>
      <xdr:row>11</xdr:row>
      <xdr:rowOff>153514</xdr:rowOff>
    </xdr:from>
    <xdr:to>
      <xdr:col>16</xdr:col>
      <xdr:colOff>364458</xdr:colOff>
      <xdr:row>12</xdr:row>
      <xdr:rowOff>190499</xdr:rowOff>
    </xdr:to>
    <xdr:sp macro="" textlink="">
      <xdr:nvSpPr>
        <xdr:cNvPr id="63" name="TextBox 1">
          <a:extLst>
            <a:ext uri="{FF2B5EF4-FFF2-40B4-BE49-F238E27FC236}">
              <a16:creationId xmlns:a16="http://schemas.microsoft.com/office/drawing/2014/main" id="{A16D4390-6B08-2399-A751-A801DEDF3758}"/>
            </a:ext>
          </a:extLst>
        </xdr:cNvPr>
        <xdr:cNvSpPr txBox="1"/>
      </xdr:nvSpPr>
      <xdr:spPr>
        <a:xfrm>
          <a:off x="8169989" y="2249014"/>
          <a:ext cx="2015802" cy="227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ctr"/>
          <a:r>
            <a:rPr lang="en-GB" sz="1000" b="1">
              <a:solidFill>
                <a:srgbClr val="15691D"/>
              </a:solidFill>
              <a:latin typeface="Rockwell Extra Bold" panose="02060903040505020403" pitchFamily="18" charset="0"/>
              <a:ea typeface="+mn-ea"/>
              <a:cs typeface="+mn-cs"/>
            </a:rPr>
            <a:t>Hire by Day</a:t>
          </a:r>
        </a:p>
      </xdr:txBody>
    </xdr:sp>
    <xdr:clientData/>
  </xdr:twoCellAnchor>
  <xdr:twoCellAnchor editAs="oneCell">
    <xdr:from>
      <xdr:col>10</xdr:col>
      <xdr:colOff>116416</xdr:colOff>
      <xdr:row>19</xdr:row>
      <xdr:rowOff>42332</xdr:rowOff>
    </xdr:from>
    <xdr:to>
      <xdr:col>12</xdr:col>
      <xdr:colOff>296333</xdr:colOff>
      <xdr:row>24</xdr:row>
      <xdr:rowOff>67733</xdr:rowOff>
    </xdr:to>
    <mc:AlternateContent xmlns:mc="http://schemas.openxmlformats.org/markup-compatibility/2006" xmlns:a14="http://schemas.microsoft.com/office/drawing/2010/main">
      <mc:Choice Requires="a14">
        <xdr:graphicFrame macro="">
          <xdr:nvGraphicFramePr>
            <xdr:cNvPr id="64" name="Country 2">
              <a:extLst>
                <a:ext uri="{FF2B5EF4-FFF2-40B4-BE49-F238E27FC236}">
                  <a16:creationId xmlns:a16="http://schemas.microsoft.com/office/drawing/2014/main" id="{95259B89-6916-41C4-B2E9-83A4AF4465B5}"/>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mlns="">
        <xdr:sp macro="" textlink="">
          <xdr:nvSpPr>
            <xdr:cNvPr id="0" name=""/>
            <xdr:cNvSpPr>
              <a:spLocks noTextEdit="1"/>
            </xdr:cNvSpPr>
          </xdr:nvSpPr>
          <xdr:spPr>
            <a:xfrm>
              <a:off x="6254749" y="3661832"/>
              <a:ext cx="1407584" cy="97790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rki B" refreshedDate="45937.463277199073" createdVersion="8" refreshedVersion="8" minRefreshableVersion="3" recordCount="831" xr:uid="{0E733540-264A-4C76-B7F0-3B0E4FEAF67F}">
  <cacheSource type="worksheet">
    <worksheetSource name="Employee_Sample_Data_1"/>
  </cacheSource>
  <cacheFields count="23">
    <cacheField name="Employee ID" numFmtId="0">
      <sharedItems count="831">
        <s v="E02002"/>
        <s v="E02003"/>
        <s v="E02004"/>
        <s v="E02005"/>
        <s v="E02006"/>
        <s v="E02007"/>
        <s v="E02008"/>
        <s v="E02009"/>
        <s v="E02010"/>
        <s v="E02011"/>
        <s v="E02012"/>
        <s v="E02013"/>
        <s v="E02014"/>
        <s v="E02015"/>
        <s v="E02016"/>
        <s v="E02017"/>
        <s v="E02018"/>
        <s v="E02019"/>
        <s v="E02020"/>
        <s v="E02021"/>
        <s v="E02022"/>
        <s v="E02023"/>
        <s v="E02024"/>
        <s v="E02025"/>
        <s v="E02026"/>
        <s v="E02027"/>
        <s v="E02028"/>
        <s v="E02029"/>
        <s v="E02030"/>
        <s v="E02031"/>
        <s v="E02032"/>
        <s v="E02033"/>
        <s v="E02034"/>
        <s v="E02035"/>
        <s v="E02036"/>
        <s v="E02037"/>
        <s v="E02038"/>
        <s v="E02039"/>
        <s v="E02040"/>
        <s v="E02041"/>
        <s v="E02042"/>
        <s v="E02043"/>
        <s v="E02044"/>
        <s v="E02045"/>
        <s v="E02046"/>
        <s v="E02047"/>
        <s v="E02048"/>
        <s v="E02049"/>
        <s v="E02050"/>
        <s v="E02051"/>
        <s v="E02052"/>
        <s v="E02053"/>
        <s v="E02054"/>
        <s v="E02055"/>
        <s v="E02056"/>
        <s v="E02057"/>
        <s v="E02058"/>
        <s v="E02059"/>
        <s v="E02060"/>
        <s v="E02061"/>
        <s v="E02062"/>
        <s v="E02063"/>
        <s v="E02064"/>
        <s v="E02065"/>
        <s v="E02066"/>
        <s v="E02067"/>
        <s v="E02068"/>
        <s v="E02069"/>
        <s v="E02070"/>
        <s v="E02071"/>
        <s v="E02072"/>
        <s v="E02073"/>
        <s v="E02074"/>
        <s v="E02075"/>
        <s v="E02076"/>
        <s v="E02077"/>
        <s v="E02078"/>
        <s v="E02079"/>
        <s v="E02080"/>
        <s v="E02081"/>
        <s v="E02082"/>
        <s v="E02083"/>
        <s v="E02084"/>
        <s v="E02085"/>
        <s v="E02086"/>
        <s v="E02087"/>
        <s v="E02088"/>
        <s v="E02089"/>
        <s v="E02090"/>
        <s v="E02091"/>
        <s v="E02092"/>
        <s v="E02093"/>
        <s v="E02094"/>
        <s v="E02095"/>
        <s v="E02096"/>
        <s v="E02097"/>
        <s v="E02098"/>
        <s v="E02099"/>
        <s v="E02100"/>
        <s v="E02101"/>
        <s v="E02102"/>
        <s v="E02103"/>
        <s v="E02104"/>
        <s v="E02105"/>
        <s v="E02106"/>
        <s v="E02107"/>
        <s v="E02108"/>
        <s v="E02109"/>
        <s v="E02110"/>
        <s v="E02111"/>
        <s v="E02112"/>
        <s v="E02113"/>
        <s v="E02114"/>
        <s v="E02115"/>
        <s v="E02116"/>
        <s v="E02117"/>
        <s v="E02118"/>
        <s v="E02119"/>
        <s v="E02120"/>
        <s v="E02121"/>
        <s v="E02122"/>
        <s v="E02123"/>
        <s v="E02124"/>
        <s v="E02125"/>
        <s v="E02126"/>
        <s v="E02127"/>
        <s v="E02128"/>
        <s v="E02129"/>
        <s v="E02130"/>
        <s v="E02131"/>
        <s v="E02132"/>
        <s v="E02133"/>
        <s v="E02134"/>
        <s v="E02135"/>
        <s v="E02136"/>
        <s v="E02137"/>
        <s v="E02138"/>
        <s v="E02139"/>
        <s v="E02140"/>
        <s v="E02141"/>
        <s v="E02142"/>
        <s v="E02143"/>
        <s v="E02144"/>
        <s v="E02145"/>
        <s v="E02146"/>
        <s v="E02147"/>
        <s v="E02148"/>
        <s v="E02149"/>
        <s v="E02150"/>
        <s v="E02151"/>
        <s v="E02152"/>
        <s v="E02153"/>
        <s v="E02154"/>
        <s v="E02155"/>
        <s v="E02156"/>
        <s v="E02157"/>
        <s v="E02158"/>
        <s v="E02159"/>
        <s v="E02160"/>
        <s v="E02161"/>
        <s v="E02162"/>
        <s v="E02163"/>
        <s v="E02164"/>
        <s v="E02165"/>
        <s v="E02166"/>
        <s v="E02167"/>
        <s v="E02168"/>
        <s v="E02169"/>
        <s v="E02170"/>
        <s v="E02171"/>
        <s v="E02172"/>
        <s v="E02173"/>
        <s v="E02174"/>
        <s v="E02175"/>
        <s v="E02176"/>
        <s v="E02177"/>
        <s v="E02178"/>
        <s v="E02179"/>
        <s v="E02180"/>
        <s v="E02181"/>
        <s v="E02182"/>
        <s v="E02183"/>
        <s v="E02184"/>
        <s v="E02185"/>
        <s v="E02186"/>
        <s v="E02187"/>
        <s v="E02188"/>
        <s v="E02189"/>
        <s v="E02190"/>
        <s v="E02191"/>
        <s v="E02192"/>
        <s v="E02193"/>
        <s v="E02194"/>
        <s v="E02195"/>
        <s v="E02196"/>
        <s v="E02197"/>
        <s v="E02198"/>
        <s v="E02199"/>
        <s v="E02200"/>
        <s v="E02201"/>
        <s v="E02202"/>
        <s v="E02203"/>
        <s v="E02204"/>
        <s v="E02205"/>
        <s v="E02206"/>
        <s v="E02207"/>
        <s v="E02208"/>
        <s v="E02209"/>
        <s v="E02210"/>
        <s v="E02211"/>
        <s v="E02212"/>
        <s v="E02213"/>
        <s v="E02214"/>
        <s v="E02215"/>
        <s v="E02216"/>
        <s v="E02217"/>
        <s v="E02218"/>
        <s v="E02219"/>
        <s v="E02220"/>
        <s v="E02221"/>
        <s v="E02222"/>
        <s v="E02223"/>
        <s v="E02224"/>
        <s v="E02225"/>
        <s v="E02226"/>
        <s v="E02227"/>
        <s v="E02228"/>
        <s v="E02229"/>
        <s v="E02230"/>
        <s v="E02231"/>
        <s v="E02232"/>
        <s v="E02233"/>
        <s v="E02234"/>
        <s v="E02235"/>
        <s v="E02236"/>
        <s v="E02237"/>
        <s v="E02238"/>
        <s v="E02239"/>
        <s v="E02240"/>
        <s v="E02241"/>
        <s v="E02242"/>
        <s v="E02243"/>
        <s v="E02244"/>
        <s v="E02245"/>
        <s v="E02246"/>
        <s v="E02247"/>
        <s v="E02248"/>
        <s v="E02249"/>
        <s v="E02250"/>
        <s v="E02251"/>
        <s v="E02252"/>
        <s v="E02253"/>
        <s v="E02254"/>
        <s v="E02255"/>
        <s v="E02256"/>
        <s v="E02257"/>
        <s v="E02258"/>
        <s v="E02259"/>
        <s v="E02260"/>
        <s v="E02261"/>
        <s v="E02262"/>
        <s v="E02263"/>
        <s v="E02264"/>
        <s v="E02265"/>
        <s v="E02266"/>
        <s v="E02267"/>
        <s v="E02268"/>
        <s v="E02269"/>
        <s v="E02270"/>
        <s v="E02271"/>
        <s v="E02272"/>
        <s v="E02273"/>
        <s v="E02274"/>
        <s v="E02275"/>
        <s v="E02276"/>
        <s v="E02277"/>
        <s v="E02278"/>
        <s v="E02279"/>
        <s v="E02280"/>
        <s v="E02281"/>
        <s v="E02282"/>
        <s v="E02283"/>
        <s v="E02284"/>
        <s v="E02285"/>
        <s v="E02286"/>
        <s v="E02287"/>
        <s v="E02288"/>
        <s v="E02289"/>
        <s v="E02290"/>
        <s v="E02291"/>
        <s v="E02292"/>
        <s v="E02293"/>
        <s v="E02294"/>
        <s v="E02295"/>
        <s v="E02296"/>
        <s v="E02297"/>
        <s v="E02298"/>
        <s v="E02299"/>
        <s v="E02300"/>
        <s v="E02301"/>
        <s v="E02302"/>
        <s v="E02303"/>
        <s v="E02304"/>
        <s v="E02305"/>
        <s v="E02306"/>
        <s v="E02307"/>
        <s v="E02308"/>
        <s v="E02309"/>
        <s v="E02310"/>
        <s v="E02311"/>
        <s v="E02312"/>
        <s v="E02313"/>
        <s v="E02314"/>
        <s v="E02315"/>
        <s v="E02316"/>
        <s v="E02317"/>
        <s v="E02318"/>
        <s v="E02319"/>
        <s v="E02320"/>
        <s v="E02321"/>
        <s v="E02322"/>
        <s v="E02323"/>
        <s v="E02324"/>
        <s v="E02325"/>
        <s v="E02326"/>
        <s v="E02327"/>
        <s v="E02328"/>
        <s v="E02329"/>
        <s v="E02330"/>
        <s v="E02331"/>
        <s v="E02332"/>
        <s v="E02333"/>
        <s v="E02334"/>
        <s v="E02335"/>
        <s v="E02336"/>
        <s v="E02337"/>
        <s v="E02338"/>
        <s v="E02339"/>
        <s v="E02340"/>
        <s v="E02341"/>
        <s v="E02342"/>
        <s v="E02343"/>
        <s v="E02344"/>
        <s v="E02345"/>
        <s v="E02346"/>
        <s v="E02347"/>
        <s v="E02348"/>
        <s v="E02349"/>
        <s v="E02350"/>
        <s v="E02351"/>
        <s v="E02352"/>
        <s v="E02353"/>
        <s v="E02354"/>
        <s v="E02355"/>
        <s v="E02356"/>
        <s v="E02357"/>
        <s v="E02358"/>
        <s v="E02359"/>
        <s v="E02360"/>
        <s v="E02361"/>
        <s v="E02362"/>
        <s v="E02363"/>
        <s v="E02364"/>
        <s v="E02365"/>
        <s v="E02366"/>
        <s v="E02367"/>
        <s v="E02368"/>
        <s v="E02369"/>
        <s v="E02370"/>
        <s v="E02371"/>
        <s v="E02372"/>
        <s v="E02373"/>
        <s v="E02374"/>
        <s v="E02375"/>
        <s v="E02376"/>
        <s v="E02377"/>
        <s v="E02378"/>
        <s v="E02379"/>
        <s v="E02380"/>
        <s v="E02381"/>
        <s v="E02382"/>
        <s v="E02383"/>
        <s v="E02384"/>
        <s v="E02385"/>
        <s v="E02386"/>
        <s v="E02387"/>
        <s v="E02388"/>
        <s v="E02389"/>
        <s v="E02390"/>
        <s v="E02391"/>
        <s v="E02392"/>
        <s v="E02393"/>
        <s v="E02394"/>
        <s v="E02395"/>
        <s v="E02396"/>
        <s v="E02397"/>
        <s v="E02398"/>
        <s v="E02399"/>
        <s v="E02400"/>
        <s v="E02401"/>
        <s v="E02402"/>
        <s v="E02403"/>
        <s v="E02404"/>
        <s v="E02405"/>
        <s v="E02406"/>
        <s v="E02407"/>
        <s v="E02408"/>
        <s v="E02409"/>
        <s v="E02410"/>
        <s v="E02411"/>
        <s v="E02412"/>
        <s v="E02413"/>
        <s v="E02414"/>
        <s v="E02415"/>
        <s v="E02416"/>
        <s v="E02417"/>
        <s v="E02418"/>
        <s v="E02419"/>
        <s v="E02420"/>
        <s v="E02421"/>
        <s v="E02422"/>
        <s v="E02423"/>
        <s v="E02424"/>
        <s v="E02425"/>
        <s v="E02426"/>
        <s v="E02427"/>
        <s v="E02428"/>
        <s v="E02429"/>
        <s v="E02430"/>
        <s v="E02431"/>
        <s v="E02432"/>
        <s v="E02433"/>
        <s v="E02434"/>
        <s v="E02435"/>
        <s v="E02436"/>
        <s v="E02437"/>
        <s v="E02438"/>
        <s v="E02439"/>
        <s v="E02440"/>
        <s v="E02441"/>
        <s v="E02442"/>
        <s v="E02443"/>
        <s v="E02444"/>
        <s v="E02445"/>
        <s v="E02446"/>
        <s v="E02447"/>
        <s v="E02448"/>
        <s v="E02449"/>
        <s v="E02450"/>
        <s v="E02451"/>
        <s v="E02452"/>
        <s v="E02453"/>
        <s v="E02454"/>
        <s v="E02455"/>
        <s v="E02456"/>
        <s v="E02457"/>
        <s v="E02458"/>
        <s v="E02459"/>
        <s v="E02460"/>
        <s v="E02461"/>
        <s v="E02462"/>
        <s v="E02463"/>
        <s v="E02464"/>
        <s v="E02465"/>
        <s v="E02466"/>
        <s v="E02467"/>
        <s v="E02468"/>
        <s v="E02469"/>
        <s v="E02470"/>
        <s v="E02471"/>
        <s v="E02472"/>
        <s v="E02473"/>
        <s v="E02474"/>
        <s v="E02475"/>
        <s v="E02476"/>
        <s v="E02477"/>
        <s v="E02478"/>
        <s v="E02479"/>
        <s v="E02480"/>
        <s v="E02481"/>
        <s v="E02482"/>
        <s v="E02483"/>
        <s v="E02484"/>
        <s v="E02485"/>
        <s v="E02486"/>
        <s v="E02487"/>
        <s v="E02488"/>
        <s v="E02489"/>
        <s v="E02490"/>
        <s v="E02491"/>
        <s v="E02492"/>
        <s v="E02493"/>
        <s v="E02494"/>
        <s v="E02495"/>
        <s v="E02496"/>
        <s v="E02497"/>
        <s v="E02498"/>
        <s v="E02499"/>
        <s v="E02500"/>
        <s v="E02501"/>
        <s v="E02502"/>
        <s v="E02503"/>
        <s v="E02504"/>
        <s v="E02505"/>
        <s v="E02506"/>
        <s v="E02507"/>
        <s v="E02508"/>
        <s v="E02509"/>
        <s v="E02510"/>
        <s v="E02511"/>
        <s v="E02512"/>
        <s v="E02513"/>
        <s v="E02514"/>
        <s v="E02515"/>
        <s v="E02516"/>
        <s v="E02517"/>
        <s v="E02518"/>
        <s v="E02519"/>
        <s v="E02520"/>
        <s v="E02521"/>
        <s v="E02522"/>
        <s v="E02523"/>
        <s v="E02524"/>
        <s v="E02525"/>
        <s v="E02526"/>
        <s v="E02527"/>
        <s v="E02528"/>
        <s v="E02529"/>
        <s v="E02530"/>
        <s v="E02531"/>
        <s v="E02532"/>
        <s v="E02533"/>
        <s v="E02534"/>
        <s v="E02535"/>
        <s v="E02536"/>
        <s v="E02537"/>
        <s v="E02538"/>
        <s v="E02539"/>
        <s v="E02540"/>
        <s v="E02541"/>
        <s v="E02542"/>
        <s v="E02543"/>
        <s v="E02544"/>
        <s v="E02545"/>
        <s v="E02546"/>
        <s v="E02547"/>
        <s v="E02548"/>
        <s v="E02549"/>
        <s v="E02550"/>
        <s v="E02551"/>
        <s v="E02552"/>
        <s v="E02553"/>
        <s v="E02554"/>
        <s v="E02555"/>
        <s v="E02556"/>
        <s v="E02557"/>
        <s v="E02558"/>
        <s v="E02559"/>
        <s v="E02560"/>
        <s v="E02561"/>
        <s v="E02562"/>
        <s v="E02563"/>
        <s v="E02564"/>
        <s v="E02565"/>
        <s v="E02566"/>
        <s v="E02567"/>
        <s v="E02568"/>
        <s v="E02569"/>
        <s v="E02570"/>
        <s v="E02571"/>
        <s v="E02572"/>
        <s v="E02573"/>
        <s v="E02574"/>
        <s v="E02575"/>
        <s v="E02576"/>
        <s v="E02577"/>
        <s v="E02578"/>
        <s v="E02579"/>
        <s v="E02580"/>
        <s v="E02581"/>
        <s v="E02582"/>
        <s v="E02583"/>
        <s v="E02584"/>
        <s v="E02585"/>
        <s v="E02586"/>
        <s v="E02587"/>
        <s v="E02588"/>
        <s v="E02589"/>
        <s v="E02590"/>
        <s v="E02591"/>
        <s v="E02592"/>
        <s v="E02593"/>
        <s v="E02594"/>
        <s v="E02595"/>
        <s v="E02596"/>
        <s v="E02597"/>
        <s v="E02598"/>
        <s v="E02599"/>
        <s v="E02600"/>
        <s v="E02601"/>
        <s v="E02602"/>
        <s v="E02603"/>
        <s v="E02604"/>
        <s v="E02605"/>
        <s v="E02606"/>
        <s v="E02607"/>
        <s v="E02608"/>
        <s v="E02609"/>
        <s v="E02610"/>
        <s v="E02611"/>
        <s v="E02612"/>
        <s v="E02613"/>
        <s v="E02614"/>
        <s v="E02615"/>
        <s v="E02616"/>
        <s v="E02617"/>
        <s v="E02618"/>
        <s v="E02619"/>
        <s v="E02620"/>
        <s v="E02621"/>
        <s v="E02622"/>
        <s v="E02623"/>
        <s v="E02624"/>
        <s v="E02625"/>
        <s v="E02626"/>
        <s v="E02627"/>
        <s v="E02628"/>
        <s v="E02629"/>
        <s v="E02630"/>
        <s v="E02631"/>
        <s v="E02632"/>
        <s v="E02633"/>
        <s v="E02634"/>
        <s v="E02635"/>
        <s v="E02636"/>
        <s v="E02637"/>
        <s v="E02638"/>
        <s v="E02639"/>
        <s v="E02640"/>
        <s v="E02641"/>
        <s v="E02642"/>
        <s v="E02643"/>
        <s v="E02644"/>
        <s v="E02645"/>
        <s v="E02646"/>
        <s v="E02647"/>
        <s v="E02648"/>
        <s v="E02649"/>
        <s v="E02650"/>
        <s v="E02651"/>
        <s v="E02652"/>
        <s v="E02653"/>
        <s v="E02654"/>
        <s v="E02655"/>
        <s v="E02656"/>
        <s v="E02657"/>
        <s v="E02658"/>
        <s v="E02659"/>
        <s v="E02660"/>
        <s v="E02661"/>
        <s v="E02662"/>
        <s v="E02663"/>
        <s v="E02664"/>
        <s v="E02665"/>
        <s v="E02666"/>
        <s v="E02667"/>
        <s v="E02668"/>
        <s v="E02669"/>
        <s v="E02670"/>
        <s v="E02671"/>
        <s v="E02672"/>
        <s v="E02673"/>
        <s v="E02674"/>
        <s v="E02675"/>
        <s v="E02676"/>
        <s v="E02677"/>
        <s v="E02678"/>
        <s v="E02679"/>
        <s v="E02680"/>
        <s v="E02681"/>
        <s v="E02682"/>
        <s v="E02683"/>
        <s v="E02684"/>
        <s v="E02685"/>
        <s v="E02686"/>
        <s v="E02687"/>
        <s v="E02688"/>
        <s v="E02689"/>
        <s v="E02690"/>
        <s v="E02691"/>
        <s v="E02692"/>
        <s v="E02693"/>
        <s v="E02694"/>
        <s v="E02695"/>
        <s v="E02696"/>
        <s v="E02697"/>
        <s v="E02698"/>
        <s v="E02699"/>
        <s v="E02700"/>
        <s v="E02701"/>
        <s v="E02702"/>
        <s v="E02703"/>
        <s v="E02704"/>
        <s v="E02705"/>
        <s v="E02706"/>
        <s v="E02707"/>
        <s v="E02708"/>
        <s v="E02709"/>
        <s v="E02710"/>
        <s v="E02711"/>
        <s v="E02712"/>
        <s v="E02713"/>
        <s v="E02714"/>
        <s v="E02715"/>
        <s v="E02716"/>
        <s v="E02717"/>
        <s v="E02718"/>
        <s v="E02719"/>
        <s v="E02720"/>
        <s v="E02721"/>
        <s v="E02722"/>
        <s v="E02723"/>
        <s v="E02724"/>
        <s v="E02725"/>
        <s v="E02726"/>
        <s v="E02727"/>
        <s v="E02728"/>
        <s v="E02729"/>
        <s v="E02730"/>
        <s v="E02731"/>
        <s v="E02732"/>
        <s v="E02733"/>
        <s v="E02734"/>
        <s v="E02735"/>
        <s v="E02736"/>
        <s v="E02737"/>
        <s v="E02738"/>
        <s v="E02739"/>
        <s v="E02740"/>
        <s v="E02741"/>
        <s v="E02742"/>
        <s v="E02743"/>
        <s v="E02744"/>
        <s v="E02745"/>
        <s v="E02746"/>
        <s v="E02747"/>
        <s v="E02748"/>
        <s v="E02749"/>
        <s v="E02750"/>
        <s v="E02751"/>
        <s v="E02752"/>
        <s v="E02753"/>
        <s v="E02754"/>
        <s v="E02755"/>
        <s v="E02756"/>
        <s v="E02757"/>
        <s v="E02758"/>
        <s v="E02759"/>
        <s v="E02760"/>
        <s v="E02761"/>
        <s v="E02762"/>
        <s v="E02763"/>
        <s v="E02764"/>
        <s v="E02765"/>
        <s v="E02766"/>
        <s v="E02767"/>
        <s v="E02768"/>
        <s v="E02769"/>
        <s v="E02770"/>
        <s v="E02771"/>
        <s v="E02772"/>
        <s v="E02773"/>
        <s v="E02774"/>
        <s v="E02775"/>
        <s v="E02776"/>
        <s v="E02777"/>
        <s v="E02778"/>
        <s v="E02779"/>
        <s v="E02780"/>
        <s v="E02781"/>
        <s v="E02782"/>
        <s v="E02783"/>
        <s v="E02784"/>
        <s v="E02785"/>
        <s v="E02786"/>
        <s v="E02818"/>
        <s v="E02819"/>
        <s v="E02820"/>
        <s v="E02821"/>
        <s v="E02829"/>
        <s v="E02847"/>
        <s v="E02848"/>
        <s v="E02849"/>
        <s v="E02850"/>
        <s v="E02851"/>
        <s v="E02852"/>
        <s v="E02853"/>
        <s v="E02854"/>
        <s v="E02855"/>
        <s v="E02856"/>
        <s v="E02857"/>
        <s v="E02858"/>
        <s v="E02859"/>
        <s v="E02889"/>
        <s v="E02890"/>
        <s v="E02891"/>
        <s v="E02892"/>
        <s v="E02893"/>
        <s v="E02894"/>
        <s v="E02895"/>
        <s v="E02896"/>
        <s v="E02897"/>
        <s v="E02898"/>
        <s v="E02899"/>
        <s v="E02900"/>
        <s v="E02901"/>
        <s v="E02942"/>
        <s v="E02960"/>
        <s v="E02961"/>
        <s v="E02920"/>
        <s v="E02921"/>
        <s v="E02922"/>
        <s v="E02931"/>
        <s v="E02933"/>
        <s v="E02878"/>
        <s v="E02879"/>
        <s v="E02880"/>
        <s v="E02881"/>
        <s v="E02882"/>
        <s v="E02866"/>
        <s v="E02867"/>
      </sharedItems>
    </cacheField>
    <cacheField name="Full Name" numFmtId="0">
      <sharedItems/>
    </cacheField>
    <cacheField name="Job Title" numFmtId="0">
      <sharedItems count="33">
        <s v="Controls Engineer"/>
        <s v="Analyst"/>
        <s v="Network Administrator"/>
        <s v="IT Systems Architect"/>
        <s v="Director"/>
        <s v="Sr. Analyst"/>
        <s v="Analyst II"/>
        <s v="System Administrator "/>
        <s v="Manager"/>
        <s v="Systems Analyst"/>
        <s v="Sr. Manager"/>
        <s v="Vice President"/>
        <s v="Service Desk Analyst"/>
        <s v="Technical Architect"/>
        <s v="Account Representative"/>
        <s v="Business Partner"/>
        <s v="Test Engineer"/>
        <s v="IT Coordinator"/>
        <s v="Cloud Infrastructure Architect"/>
        <s v="Enterprise Architect"/>
        <s v="Computer Systems Manager"/>
        <s v="Automation Engineer"/>
        <s v="Solutions Architect"/>
        <s v="Sr. Business Partner"/>
        <s v="HRIS Analyst"/>
        <s v="Engineering Manager"/>
        <s v="Field Engineer"/>
        <s v="Network Engineer"/>
        <s v="Network Architect"/>
        <s v="Sr. Account Representative"/>
        <s v="Development Engineer"/>
        <s v="Quality Engineer"/>
        <s v="Operations Engineer"/>
      </sharedItems>
    </cacheField>
    <cacheField name="Department" numFmtId="0">
      <sharedItems count="7">
        <s v="Engineering"/>
        <s v="Sales"/>
        <s v="IT"/>
        <s v="Accounting"/>
        <s v="Finance"/>
        <s v="Marketing"/>
        <s v="Human Resources"/>
      </sharedItems>
    </cacheField>
    <cacheField name="Business Unit" numFmtId="0">
      <sharedItems count="4">
        <s v="Manufacturing"/>
        <s v="Corporate"/>
        <s v="Research &amp; Development"/>
        <s v="Specialty Products"/>
      </sharedItems>
    </cacheField>
    <cacheField name="Gender" numFmtId="0">
      <sharedItems count="2">
        <s v="Male"/>
        <s v="Female"/>
      </sharedItems>
    </cacheField>
    <cacheField name="Ethnicity" numFmtId="0">
      <sharedItems count="4">
        <s v="Asian"/>
        <s v="Latino"/>
        <s v="Caucasian"/>
        <s v="Black"/>
      </sharedItems>
    </cacheField>
    <cacheField name="Age" numFmtId="0">
      <sharedItems containsSemiMixedTypes="0" containsString="0" containsNumber="1" containsInteger="1" minValue="25" maxValue="65"/>
    </cacheField>
    <cacheField name="Hire Date" numFmtId="14">
      <sharedItems containsSemiMixedTypes="0" containsNonDate="0" containsDate="1" containsString="0" minDate="1993-04-30T00:00:00" maxDate="2022-12-26T00:00:00"/>
    </cacheField>
    <cacheField name="Hire Day" numFmtId="14">
      <sharedItems count="7">
        <s v="Saturday"/>
        <s v="Wednesday"/>
        <s v="Sunday"/>
        <s v="Thursday"/>
        <s v="Friday"/>
        <s v="Monday"/>
        <s v="Tuesday"/>
      </sharedItems>
    </cacheField>
    <cacheField name="Hire Month" numFmtId="14">
      <sharedItems count="12">
        <s v="February"/>
        <s v="October"/>
        <s v="March"/>
        <s v="April"/>
        <s v="June"/>
        <s v="September"/>
        <s v="August"/>
        <s v="November"/>
        <s v="July"/>
        <s v="May"/>
        <s v="December"/>
        <s v="January"/>
      </sharedItems>
    </cacheField>
    <cacheField name="Hire Year" numFmtId="14">
      <sharedItems count="30">
        <s v="2022"/>
        <s v="2013"/>
        <s v="2019"/>
        <s v="2018"/>
        <s v="2005"/>
        <s v="2004"/>
        <s v="2009"/>
        <s v="1999"/>
        <s v="2011"/>
        <s v="2015"/>
        <s v="2003"/>
        <s v="2014"/>
        <s v="2017"/>
        <s v="2021"/>
        <s v="1997"/>
        <s v="2010"/>
        <s v="2006"/>
        <s v="2020"/>
        <s v="2002"/>
        <s v="2001"/>
        <s v="2016"/>
        <s v="2012"/>
        <s v="1998"/>
        <s v="1993"/>
        <s v="2008"/>
        <s v="2007"/>
        <s v="1996"/>
        <s v="2000"/>
        <s v="1995"/>
        <s v="1994"/>
      </sharedItems>
    </cacheField>
    <cacheField name="Annual Salary" numFmtId="44">
      <sharedItems containsSemiMixedTypes="0" containsString="0" containsNumber="1" containsInteger="1" minValue="40499" maxValue="258734"/>
    </cacheField>
    <cacheField name="Bonus %" numFmtId="9">
      <sharedItems containsSemiMixedTypes="0" containsString="0" containsNumber="1" minValue="0" maxValue="0.4"/>
    </cacheField>
    <cacheField name="Bonus Amount" numFmtId="44">
      <sharedItems containsSemiMixedTypes="0" containsString="0" containsNumber="1" minValue="0" maxValue="98798.7"/>
    </cacheField>
    <cacheField name="Gross Salary" numFmtId="44">
      <sharedItems containsSemiMixedTypes="0" containsString="0" containsNumber="1" containsInteger="1" minValue="40499" maxValue="353131"/>
    </cacheField>
    <cacheField name="Country" numFmtId="0">
      <sharedItems count="3">
        <s v="United States"/>
        <s v="China"/>
        <s v="Brazil"/>
      </sharedItems>
    </cacheField>
    <cacheField name="City" numFmtId="0">
      <sharedItems/>
    </cacheField>
    <cacheField name="Exit Date" numFmtId="14">
      <sharedItems containsNonDate="0" containsDate="1" containsString="0" containsBlank="1" minDate="1996-05-16T00:00:00" maxDate="2023-02-13T00:00:00" count="91">
        <m/>
        <d v="2014-02-14T00:00:00"/>
        <d v="2019-03-31T00:00:00"/>
        <d v="2018-07-27T00:00:00"/>
        <d v="2016-11-02T00:00:00"/>
        <d v="2003-11-27T00:00:00"/>
        <d v="2019-11-21T00:00:00"/>
        <d v="2022-05-16T00:00:00"/>
        <d v="2022-07-17T00:00:00"/>
        <d v="2022-07-08T00:00:00"/>
        <d v="2019-09-01T00:00:00"/>
        <d v="2022-06-23T00:00:00"/>
        <d v="2017-02-04T00:00:00"/>
        <d v="2022-10-17T00:00:00"/>
        <d v="2015-07-12T00:00:00"/>
        <d v="2022-06-29T00:00:00"/>
        <d v="2020-03-19T00:00:00"/>
        <d v="2016-01-30T00:00:00"/>
        <d v="2018-06-30T00:00:00"/>
        <d v="2021-09-17T00:00:00"/>
        <d v="2022-09-29T00:00:00"/>
        <d v="2019-08-27T00:00:00"/>
        <d v="2017-09-10T00:00:00"/>
        <d v="2022-06-27T00:00:00"/>
        <d v="2019-10-30T00:00:00"/>
        <d v="1996-05-16T00:00:00"/>
        <d v="2021-03-03T00:00:00"/>
        <d v="2014-10-28T00:00:00"/>
        <d v="2018-04-16T00:00:00"/>
        <d v="2016-10-11T00:00:00"/>
        <d v="2022-01-26T00:00:00"/>
        <d v="2019-08-02T00:00:00"/>
        <d v="2017-05-20T00:00:00"/>
        <d v="2016-05-31T00:00:00"/>
        <d v="2022-09-04T00:00:00"/>
        <d v="2018-01-30T00:00:00"/>
        <d v="2012-05-17T00:00:00"/>
        <d v="2008-05-09T00:00:00"/>
        <d v="2022-08-20T00:00:00"/>
        <d v="2021-08-04T00:00:00"/>
        <d v="2018-07-06T00:00:00"/>
        <d v="2023-02-12T00:00:00"/>
        <d v="2022-10-29T00:00:00"/>
        <d v="2010-09-05T00:00:00"/>
        <d v="2020-08-21T00:00:00"/>
        <d v="2023-01-08T00:00:00"/>
        <d v="2021-02-05T00:00:00"/>
        <d v="2022-11-02T00:00:00"/>
        <d v="2017-11-16T00:00:00"/>
        <d v="2009-01-29T00:00:00"/>
        <d v="2008-11-26T00:00:00"/>
        <d v="2023-02-01T00:00:00"/>
        <d v="2021-03-29T00:00:00"/>
        <d v="2023-02-02T00:00:00"/>
        <d v="2017-08-28T00:00:00"/>
        <d v="2021-11-07T00:00:00"/>
        <d v="2023-01-10T00:00:00"/>
        <d v="2021-06-09T00:00:00"/>
        <d v="2017-09-14T00:00:00"/>
        <d v="2019-12-26T00:00:00"/>
        <d v="2015-10-08T00:00:00"/>
        <d v="2015-06-04T00:00:00"/>
        <d v="2022-03-09T00:00:00"/>
        <d v="2007-06-14T00:00:00"/>
        <d v="2022-10-20T00:00:00"/>
        <d v="2010-05-19T00:00:00"/>
        <d v="2021-03-31T00:00:00"/>
        <d v="2019-03-11T00:00:00"/>
        <d v="2022-12-07T00:00:00"/>
        <d v="2021-10-21T00:00:00"/>
        <d v="2021-09-10T00:00:00"/>
        <d v="2010-12-31T00:00:00"/>
        <d v="2017-03-14T00:00:00"/>
        <d v="2020-01-17T00:00:00"/>
        <d v="2020-11-23T00:00:00"/>
        <d v="2021-06-10T00:00:00"/>
        <d v="2021-07-27T00:00:00"/>
        <d v="2011-06-17T00:00:00"/>
        <d v="2007-07-16T00:00:00"/>
        <d v="2022-07-12T00:00:00"/>
        <d v="2019-12-23T00:00:00"/>
        <d v="2021-06-17T00:00:00"/>
        <d v="2021-10-23T00:00:00"/>
        <d v="2020-09-24T00:00:00"/>
        <d v="2022-11-18T00:00:00"/>
        <d v="2023-01-25T00:00:00"/>
        <d v="2018-06-26T00:00:00"/>
        <d v="2020-06-02T00:00:00"/>
        <d v="2021-10-07T00:00:00"/>
        <d v="2022-06-11T00:00:00"/>
        <d v="2021-11-11T00:00:00"/>
      </sharedItems>
      <fieldGroup par="22"/>
    </cacheField>
    <cacheField name="Years of Service" numFmtId="0">
      <sharedItems containsSemiMixedTypes="0" containsString="0" containsNumber="1" containsInteger="1" minValue="0" maxValue="32"/>
    </cacheField>
    <cacheField name="Months (Exit Date)" numFmtId="0" databaseField="0">
      <fieldGroup base="18">
        <rangePr groupBy="months" startDate="1996-05-16T00:00:00" endDate="2023-02-13T00:00:00"/>
        <groupItems count="14">
          <s v="&lt;5/16/1996"/>
          <s v="Jan"/>
          <s v="Feb"/>
          <s v="Mar"/>
          <s v="Apr"/>
          <s v="May"/>
          <s v="Jun"/>
          <s v="Jul"/>
          <s v="Aug"/>
          <s v="Sep"/>
          <s v="Oct"/>
          <s v="Nov"/>
          <s v="Dec"/>
          <s v="&gt;2/13/2023"/>
        </groupItems>
      </fieldGroup>
    </cacheField>
    <cacheField name="Quarters (Exit Date)" numFmtId="0" databaseField="0">
      <fieldGroup base="18">
        <rangePr groupBy="quarters" startDate="1996-05-16T00:00:00" endDate="2023-02-13T00:00:00"/>
        <groupItems count="6">
          <s v="&lt;5/16/1996"/>
          <s v="Qtr1"/>
          <s v="Qtr2"/>
          <s v="Qtr3"/>
          <s v="Qtr4"/>
          <s v="&gt;2/13/2023"/>
        </groupItems>
      </fieldGroup>
    </cacheField>
    <cacheField name="Years (Exit Date)" numFmtId="0" databaseField="0">
      <fieldGroup base="18">
        <rangePr groupBy="years" startDate="1996-05-16T00:00:00" endDate="2023-02-13T00:00:00"/>
        <groupItems count="30">
          <s v="&lt;5/16/1996"/>
          <s v="1996"/>
          <s v="1997"/>
          <s v="1998"/>
          <s v="1999"/>
          <s v="2000"/>
          <s v="2001"/>
          <s v="2002"/>
          <s v="2003"/>
          <s v="2004"/>
          <s v="2005"/>
          <s v="2006"/>
          <s v="2007"/>
          <s v="2008"/>
          <s v="2009"/>
          <s v="2010"/>
          <s v="2011"/>
          <s v="2012"/>
          <s v="2013"/>
          <s v="2014"/>
          <s v="2015"/>
          <s v="2016"/>
          <s v="2017"/>
          <s v="2018"/>
          <s v="2019"/>
          <s v="2020"/>
          <s v="2021"/>
          <s v="2022"/>
          <s v="2023"/>
          <s v="&gt;2/13/2023"/>
        </groupItems>
      </fieldGroup>
    </cacheField>
  </cacheFields>
  <extLst>
    <ext xmlns:x14="http://schemas.microsoft.com/office/spreadsheetml/2009/9/main" uri="{725AE2AE-9491-48be-B2B4-4EB974FC3084}">
      <x14:pivotCacheDefinition pivotCacheId="4812341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
  <r>
    <x v="0"/>
    <s v="Kai Le"/>
    <x v="0"/>
    <x v="0"/>
    <x v="0"/>
    <x v="0"/>
    <x v="0"/>
    <n v="47"/>
    <d v="2022-02-05T00:00:00"/>
    <x v="0"/>
    <x v="0"/>
    <x v="0"/>
    <n v="92368"/>
    <n v="0"/>
    <n v="0"/>
    <n v="92368"/>
    <x v="0"/>
    <s v="Columbus"/>
    <x v="0"/>
    <n v="3"/>
  </r>
  <r>
    <x v="1"/>
    <s v="Robert Patel"/>
    <x v="1"/>
    <x v="1"/>
    <x v="1"/>
    <x v="0"/>
    <x v="0"/>
    <n v="58"/>
    <d v="2013-10-23T00:00:00"/>
    <x v="1"/>
    <x v="1"/>
    <x v="1"/>
    <n v="45703"/>
    <n v="0"/>
    <n v="0"/>
    <n v="45703"/>
    <x v="0"/>
    <s v="Chicago"/>
    <x v="0"/>
    <n v="11"/>
  </r>
  <r>
    <x v="2"/>
    <s v="Cameron Lo"/>
    <x v="2"/>
    <x v="2"/>
    <x v="2"/>
    <x v="0"/>
    <x v="0"/>
    <n v="34"/>
    <d v="2019-03-24T00:00:00"/>
    <x v="2"/>
    <x v="2"/>
    <x v="2"/>
    <n v="83576"/>
    <n v="0"/>
    <n v="0"/>
    <n v="83576"/>
    <x v="1"/>
    <s v="Shanghai"/>
    <x v="0"/>
    <n v="6"/>
  </r>
  <r>
    <x v="3"/>
    <s v="Harper Castillo"/>
    <x v="3"/>
    <x v="2"/>
    <x v="1"/>
    <x v="1"/>
    <x v="1"/>
    <n v="39"/>
    <d v="2018-04-07T00:00:00"/>
    <x v="0"/>
    <x v="3"/>
    <x v="3"/>
    <n v="98062"/>
    <n v="0"/>
    <n v="0"/>
    <n v="98062"/>
    <x v="0"/>
    <s v="Seattle"/>
    <x v="0"/>
    <n v="7"/>
  </r>
  <r>
    <x v="4"/>
    <s v="Harper Dominguez"/>
    <x v="4"/>
    <x v="0"/>
    <x v="1"/>
    <x v="1"/>
    <x v="1"/>
    <n v="42"/>
    <d v="2005-06-18T00:00:00"/>
    <x v="0"/>
    <x v="4"/>
    <x v="4"/>
    <n v="175391"/>
    <n v="0.24"/>
    <n v="42093.84"/>
    <n v="217485"/>
    <x v="0"/>
    <s v="Austin"/>
    <x v="0"/>
    <n v="20"/>
  </r>
  <r>
    <x v="5"/>
    <s v="Ezra Vu"/>
    <x v="2"/>
    <x v="2"/>
    <x v="0"/>
    <x v="0"/>
    <x v="0"/>
    <n v="62"/>
    <d v="2004-04-22T00:00:00"/>
    <x v="3"/>
    <x v="3"/>
    <x v="5"/>
    <n v="66227"/>
    <n v="0"/>
    <n v="0"/>
    <n v="66227"/>
    <x v="0"/>
    <s v="Phoenix"/>
    <x v="1"/>
    <n v="9"/>
  </r>
  <r>
    <x v="6"/>
    <s v="Jade Hu"/>
    <x v="5"/>
    <x v="3"/>
    <x v="3"/>
    <x v="1"/>
    <x v="0"/>
    <n v="58"/>
    <d v="2009-06-27T00:00:00"/>
    <x v="0"/>
    <x v="4"/>
    <x v="6"/>
    <n v="89744"/>
    <n v="0"/>
    <n v="0"/>
    <n v="89744"/>
    <x v="1"/>
    <s v="Chongqing"/>
    <x v="0"/>
    <n v="16"/>
  </r>
  <r>
    <x v="7"/>
    <s v="Miles Chang"/>
    <x v="6"/>
    <x v="4"/>
    <x v="1"/>
    <x v="0"/>
    <x v="0"/>
    <n v="62"/>
    <d v="1999-02-19T00:00:00"/>
    <x v="4"/>
    <x v="0"/>
    <x v="7"/>
    <n v="69674"/>
    <n v="0"/>
    <n v="0"/>
    <n v="69674"/>
    <x v="1"/>
    <s v="Chengdu"/>
    <x v="0"/>
    <n v="26"/>
  </r>
  <r>
    <x v="8"/>
    <s v="Gianna Holmes"/>
    <x v="7"/>
    <x v="2"/>
    <x v="0"/>
    <x v="1"/>
    <x v="2"/>
    <n v="38"/>
    <d v="2011-09-09T00:00:00"/>
    <x v="4"/>
    <x v="5"/>
    <x v="8"/>
    <n v="97630"/>
    <n v="0"/>
    <n v="0"/>
    <n v="97630"/>
    <x v="0"/>
    <s v="Seattle"/>
    <x v="0"/>
    <n v="14"/>
  </r>
  <r>
    <x v="9"/>
    <s v="Jameson Thomas"/>
    <x v="8"/>
    <x v="4"/>
    <x v="3"/>
    <x v="0"/>
    <x v="2"/>
    <n v="52"/>
    <d v="2015-02-05T00:00:00"/>
    <x v="3"/>
    <x v="0"/>
    <x v="9"/>
    <n v="105879"/>
    <n v="0.1"/>
    <n v="10587.900000000001"/>
    <n v="116467"/>
    <x v="0"/>
    <s v="Miami"/>
    <x v="0"/>
    <n v="10"/>
  </r>
  <r>
    <x v="10"/>
    <s v="Jameson Pena"/>
    <x v="9"/>
    <x v="2"/>
    <x v="0"/>
    <x v="0"/>
    <x v="1"/>
    <n v="49"/>
    <d v="2003-10-12T00:00:00"/>
    <x v="2"/>
    <x v="1"/>
    <x v="10"/>
    <n v="40499"/>
    <n v="0"/>
    <n v="0"/>
    <n v="40499"/>
    <x v="0"/>
    <s v="Miami"/>
    <x v="0"/>
    <n v="21"/>
  </r>
  <r>
    <x v="11"/>
    <s v="Bella Wu"/>
    <x v="5"/>
    <x v="4"/>
    <x v="3"/>
    <x v="1"/>
    <x v="0"/>
    <n v="63"/>
    <d v="2014-08-03T00:00:00"/>
    <x v="2"/>
    <x v="6"/>
    <x v="11"/>
    <n v="71418"/>
    <n v="0"/>
    <n v="0"/>
    <n v="71418"/>
    <x v="0"/>
    <s v="Phoenix"/>
    <x v="0"/>
    <n v="11"/>
  </r>
  <r>
    <x v="12"/>
    <s v="Jose Wong"/>
    <x v="4"/>
    <x v="2"/>
    <x v="0"/>
    <x v="0"/>
    <x v="0"/>
    <n v="45"/>
    <d v="2017-11-15T00:00:00"/>
    <x v="1"/>
    <x v="7"/>
    <x v="12"/>
    <n v="150558"/>
    <n v="0.23"/>
    <n v="34628.340000000004"/>
    <n v="185186"/>
    <x v="1"/>
    <s v="Chongqing"/>
    <x v="0"/>
    <n v="7"/>
  </r>
  <r>
    <x v="13"/>
    <s v="Lucas Richardson"/>
    <x v="8"/>
    <x v="5"/>
    <x v="1"/>
    <x v="0"/>
    <x v="2"/>
    <n v="36"/>
    <d v="2018-07-22T00:00:00"/>
    <x v="2"/>
    <x v="8"/>
    <x v="3"/>
    <n v="118912"/>
    <n v="0.08"/>
    <n v="9512.9600000000009"/>
    <n v="128425"/>
    <x v="0"/>
    <s v="Miami"/>
    <x v="0"/>
    <n v="7"/>
  </r>
  <r>
    <x v="14"/>
    <s v="Jacob Moore"/>
    <x v="10"/>
    <x v="5"/>
    <x v="1"/>
    <x v="0"/>
    <x v="3"/>
    <n v="42"/>
    <d v="2021-03-24T00:00:00"/>
    <x v="1"/>
    <x v="2"/>
    <x v="13"/>
    <n v="131422"/>
    <n v="0.15"/>
    <n v="19713.3"/>
    <n v="151135"/>
    <x v="0"/>
    <s v="Phoenix"/>
    <x v="0"/>
    <n v="4"/>
  </r>
  <r>
    <x v="15"/>
    <s v="Luna Lu"/>
    <x v="3"/>
    <x v="2"/>
    <x v="1"/>
    <x v="1"/>
    <x v="0"/>
    <n v="62"/>
    <d v="1997-07-26T00:00:00"/>
    <x v="0"/>
    <x v="8"/>
    <x v="14"/>
    <n v="64208"/>
    <n v="0"/>
    <n v="0"/>
    <n v="64208"/>
    <x v="0"/>
    <s v="Miami"/>
    <x v="0"/>
    <n v="28"/>
  </r>
  <r>
    <x v="16"/>
    <s v="Bella Tran"/>
    <x v="11"/>
    <x v="0"/>
    <x v="3"/>
    <x v="1"/>
    <x v="0"/>
    <n v="45"/>
    <d v="2010-08-05T00:00:00"/>
    <x v="3"/>
    <x v="6"/>
    <x v="15"/>
    <n v="254486"/>
    <n v="0.33"/>
    <n v="83980.38"/>
    <n v="338466"/>
    <x v="1"/>
    <s v="Chengdu"/>
    <x v="0"/>
    <n v="15"/>
  </r>
  <r>
    <x v="17"/>
    <s v="Ivy Chau"/>
    <x v="1"/>
    <x v="1"/>
    <x v="3"/>
    <x v="1"/>
    <x v="0"/>
    <n v="61"/>
    <d v="2019-03-03T00:00:00"/>
    <x v="2"/>
    <x v="2"/>
    <x v="2"/>
    <n v="54811"/>
    <n v="0"/>
    <n v="0"/>
    <n v="54811"/>
    <x v="1"/>
    <s v="Chongqing"/>
    <x v="0"/>
    <n v="6"/>
  </r>
  <r>
    <x v="18"/>
    <s v="Jordan Kumar"/>
    <x v="12"/>
    <x v="2"/>
    <x v="3"/>
    <x v="0"/>
    <x v="0"/>
    <n v="29"/>
    <d v="2017-11-11T00:00:00"/>
    <x v="0"/>
    <x v="7"/>
    <x v="12"/>
    <n v="95729"/>
    <n v="0"/>
    <n v="0"/>
    <n v="95729"/>
    <x v="0"/>
    <s v="Seattle"/>
    <x v="0"/>
    <n v="7"/>
  </r>
  <r>
    <x v="19"/>
    <s v="Sophia Gutierrez"/>
    <x v="8"/>
    <x v="3"/>
    <x v="3"/>
    <x v="1"/>
    <x v="1"/>
    <n v="63"/>
    <d v="2009-02-08T00:00:00"/>
    <x v="2"/>
    <x v="0"/>
    <x v="6"/>
    <n v="102649"/>
    <n v="0.06"/>
    <n v="6158.94"/>
    <n v="108808"/>
    <x v="0"/>
    <s v="Austin"/>
    <x v="0"/>
    <n v="16"/>
  </r>
  <r>
    <x v="20"/>
    <s v="Eli Dang"/>
    <x v="10"/>
    <x v="3"/>
    <x v="3"/>
    <x v="0"/>
    <x v="0"/>
    <n v="45"/>
    <d v="2015-11-16T00:00:00"/>
    <x v="5"/>
    <x v="7"/>
    <x v="9"/>
    <n v="122875"/>
    <n v="0.12"/>
    <n v="14745"/>
    <n v="137620"/>
    <x v="0"/>
    <s v="Chicago"/>
    <x v="0"/>
    <n v="9"/>
  </r>
  <r>
    <x v="21"/>
    <s v="Lillian Lewis"/>
    <x v="13"/>
    <x v="2"/>
    <x v="2"/>
    <x v="1"/>
    <x v="3"/>
    <n v="43"/>
    <d v="2013-08-14T00:00:00"/>
    <x v="1"/>
    <x v="6"/>
    <x v="1"/>
    <n v="83323"/>
    <n v="0"/>
    <n v="0"/>
    <n v="83323"/>
    <x v="0"/>
    <s v="Phoenix"/>
    <x v="2"/>
    <n v="5"/>
  </r>
  <r>
    <x v="22"/>
    <s v="Serenity Cao"/>
    <x v="14"/>
    <x v="1"/>
    <x v="0"/>
    <x v="1"/>
    <x v="0"/>
    <n v="31"/>
    <d v="2018-10-21T00:00:00"/>
    <x v="2"/>
    <x v="1"/>
    <x v="3"/>
    <n v="66721"/>
    <n v="0"/>
    <n v="0"/>
    <n v="66721"/>
    <x v="1"/>
    <s v="Shanghai"/>
    <x v="0"/>
    <n v="6"/>
  </r>
  <r>
    <x v="23"/>
    <s v="Parker Lai"/>
    <x v="11"/>
    <x v="3"/>
    <x v="3"/>
    <x v="0"/>
    <x v="0"/>
    <n v="48"/>
    <d v="2006-11-29T00:00:00"/>
    <x v="1"/>
    <x v="7"/>
    <x v="16"/>
    <n v="246400"/>
    <n v="0.36"/>
    <n v="88704"/>
    <n v="335104"/>
    <x v="1"/>
    <s v="Chongqing"/>
    <x v="0"/>
    <n v="18"/>
  </r>
  <r>
    <x v="24"/>
    <s v="Charles Simmons"/>
    <x v="8"/>
    <x v="1"/>
    <x v="3"/>
    <x v="0"/>
    <x v="2"/>
    <n v="55"/>
    <d v="1997-10-27T00:00:00"/>
    <x v="5"/>
    <x v="1"/>
    <x v="14"/>
    <n v="113525"/>
    <n v="0.06"/>
    <n v="6811.5"/>
    <n v="120337"/>
    <x v="0"/>
    <s v="Miami"/>
    <x v="0"/>
    <n v="27"/>
  </r>
  <r>
    <x v="25"/>
    <s v="Jayden Luu"/>
    <x v="4"/>
    <x v="3"/>
    <x v="0"/>
    <x v="0"/>
    <x v="0"/>
    <n v="64"/>
    <d v="2004-05-13T00:00:00"/>
    <x v="3"/>
    <x v="9"/>
    <x v="5"/>
    <n v="184342"/>
    <n v="0.22"/>
    <n v="40555.24"/>
    <n v="224897"/>
    <x v="1"/>
    <s v="Beijing"/>
    <x v="0"/>
    <n v="21"/>
  </r>
  <r>
    <x v="26"/>
    <s v="Brooks Richardson"/>
    <x v="4"/>
    <x v="5"/>
    <x v="3"/>
    <x v="0"/>
    <x v="2"/>
    <n v="58"/>
    <d v="2020-11-24T00:00:00"/>
    <x v="6"/>
    <x v="7"/>
    <x v="17"/>
    <n v="151341"/>
    <n v="0.22"/>
    <n v="33295.019999999997"/>
    <n v="184636"/>
    <x v="0"/>
    <s v="Seattle"/>
    <x v="0"/>
    <n v="4"/>
  </r>
  <r>
    <x v="27"/>
    <s v="Ivy Thompson"/>
    <x v="8"/>
    <x v="5"/>
    <x v="0"/>
    <x v="1"/>
    <x v="2"/>
    <n v="50"/>
    <d v="2004-08-11T00:00:00"/>
    <x v="1"/>
    <x v="6"/>
    <x v="5"/>
    <n v="118900"/>
    <n v="0.05"/>
    <n v="5945"/>
    <n v="124845"/>
    <x v="0"/>
    <s v="Seattle"/>
    <x v="0"/>
    <n v="21"/>
  </r>
  <r>
    <x v="28"/>
    <s v="Peyton Wright"/>
    <x v="10"/>
    <x v="5"/>
    <x v="1"/>
    <x v="1"/>
    <x v="3"/>
    <n v="41"/>
    <d v="2017-05-13T00:00:00"/>
    <x v="0"/>
    <x v="9"/>
    <x v="12"/>
    <n v="153370"/>
    <n v="0.1"/>
    <n v="15337"/>
    <n v="168707"/>
    <x v="0"/>
    <s v="Chicago"/>
    <x v="0"/>
    <n v="8"/>
  </r>
  <r>
    <x v="29"/>
    <s v="Wyatt Dinh"/>
    <x v="7"/>
    <x v="2"/>
    <x v="3"/>
    <x v="0"/>
    <x v="0"/>
    <n v="50"/>
    <d v="2002-03-15T00:00:00"/>
    <x v="4"/>
    <x v="2"/>
    <x v="18"/>
    <n v="72860"/>
    <n v="0"/>
    <n v="0"/>
    <n v="72860"/>
    <x v="1"/>
    <s v="Shanghai"/>
    <x v="0"/>
    <n v="23"/>
  </r>
  <r>
    <x v="30"/>
    <s v="Ruby Alexander"/>
    <x v="11"/>
    <x v="4"/>
    <x v="2"/>
    <x v="1"/>
    <x v="2"/>
    <n v="59"/>
    <d v="2001-08-13T00:00:00"/>
    <x v="5"/>
    <x v="6"/>
    <x v="19"/>
    <n v="255610"/>
    <n v="0.36"/>
    <n v="92019.599999999991"/>
    <n v="347630"/>
    <x v="0"/>
    <s v="Phoenix"/>
    <x v="0"/>
    <n v="24"/>
  </r>
  <r>
    <x v="31"/>
    <s v="Axel Oh"/>
    <x v="5"/>
    <x v="1"/>
    <x v="1"/>
    <x v="0"/>
    <x v="0"/>
    <n v="26"/>
    <d v="2020-10-24T00:00:00"/>
    <x v="0"/>
    <x v="1"/>
    <x v="17"/>
    <n v="84962"/>
    <n v="0"/>
    <n v="0"/>
    <n v="84962"/>
    <x v="1"/>
    <s v="Chengdu"/>
    <x v="0"/>
    <n v="4"/>
  </r>
  <r>
    <x v="32"/>
    <s v="Axel Ramirez"/>
    <x v="8"/>
    <x v="6"/>
    <x v="3"/>
    <x v="0"/>
    <x v="1"/>
    <n v="55"/>
    <d v="2017-12-04T00:00:00"/>
    <x v="5"/>
    <x v="10"/>
    <x v="12"/>
    <n v="103795"/>
    <n v="7.0000000000000007E-2"/>
    <n v="7265.6500000000005"/>
    <n v="111061"/>
    <x v="0"/>
    <s v="Seattle"/>
    <x v="0"/>
    <n v="7"/>
  </r>
  <r>
    <x v="33"/>
    <s v="Liliana Chang"/>
    <x v="12"/>
    <x v="2"/>
    <x v="1"/>
    <x v="1"/>
    <x v="0"/>
    <n v="32"/>
    <d v="2018-01-11T00:00:00"/>
    <x v="3"/>
    <x v="11"/>
    <x v="3"/>
    <n v="97509"/>
    <n v="0"/>
    <n v="0"/>
    <n v="97509"/>
    <x v="1"/>
    <s v="Shanghai"/>
    <x v="0"/>
    <n v="7"/>
  </r>
  <r>
    <x v="34"/>
    <s v="Leonardo Carter"/>
    <x v="15"/>
    <x v="6"/>
    <x v="3"/>
    <x v="0"/>
    <x v="2"/>
    <n v="50"/>
    <d v="2022-09-07T00:00:00"/>
    <x v="1"/>
    <x v="5"/>
    <x v="0"/>
    <n v="54931"/>
    <n v="0"/>
    <n v="0"/>
    <n v="54931"/>
    <x v="0"/>
    <s v="Austin"/>
    <x v="0"/>
    <n v="3"/>
  </r>
  <r>
    <x v="35"/>
    <s v="Landon Gonzales"/>
    <x v="16"/>
    <x v="0"/>
    <x v="3"/>
    <x v="0"/>
    <x v="1"/>
    <n v="54"/>
    <d v="2009-08-30T00:00:00"/>
    <x v="2"/>
    <x v="6"/>
    <x v="6"/>
    <n v="88689"/>
    <n v="0"/>
    <n v="0"/>
    <n v="88689"/>
    <x v="0"/>
    <s v="Phoenix"/>
    <x v="0"/>
    <n v="16"/>
  </r>
  <r>
    <x v="36"/>
    <s v="Amelia Dominguez"/>
    <x v="10"/>
    <x v="3"/>
    <x v="1"/>
    <x v="1"/>
    <x v="1"/>
    <n v="31"/>
    <d v="2015-09-23T00:00:00"/>
    <x v="1"/>
    <x v="5"/>
    <x v="9"/>
    <n v="158184"/>
    <n v="0.15"/>
    <n v="23727.599999999999"/>
    <n v="181912"/>
    <x v="2"/>
    <s v="Rio de Janeiro"/>
    <x v="3"/>
    <n v="2"/>
  </r>
  <r>
    <x v="37"/>
    <s v="Silas Ross"/>
    <x v="1"/>
    <x v="5"/>
    <x v="2"/>
    <x v="0"/>
    <x v="2"/>
    <n v="47"/>
    <d v="2016-02-10T00:00:00"/>
    <x v="1"/>
    <x v="0"/>
    <x v="20"/>
    <n v="48523"/>
    <n v="0"/>
    <n v="0"/>
    <n v="48523"/>
    <x v="0"/>
    <s v="Austin"/>
    <x v="0"/>
    <n v="9"/>
  </r>
  <r>
    <x v="38"/>
    <s v="Jeremiah Cheng"/>
    <x v="5"/>
    <x v="5"/>
    <x v="3"/>
    <x v="0"/>
    <x v="0"/>
    <n v="26"/>
    <d v="2022-02-05T00:00:00"/>
    <x v="0"/>
    <x v="0"/>
    <x v="0"/>
    <n v="70946"/>
    <n v="0"/>
    <n v="0"/>
    <n v="70946"/>
    <x v="1"/>
    <s v="Shanghai"/>
    <x v="0"/>
    <n v="3"/>
  </r>
  <r>
    <x v="39"/>
    <s v="Chloe Chin"/>
    <x v="10"/>
    <x v="4"/>
    <x v="3"/>
    <x v="1"/>
    <x v="0"/>
    <n v="62"/>
    <d v="2021-11-13T00:00:00"/>
    <x v="0"/>
    <x v="7"/>
    <x v="13"/>
    <n v="134487"/>
    <n v="0.1"/>
    <n v="13448.7"/>
    <n v="147936"/>
    <x v="0"/>
    <s v="Seattle"/>
    <x v="0"/>
    <n v="3"/>
  </r>
  <r>
    <x v="40"/>
    <s v="Ella Martinez"/>
    <x v="5"/>
    <x v="4"/>
    <x v="2"/>
    <x v="1"/>
    <x v="1"/>
    <n v="35"/>
    <d v="2012-04-06T00:00:00"/>
    <x v="4"/>
    <x v="3"/>
    <x v="21"/>
    <n v="76111"/>
    <n v="0"/>
    <n v="0"/>
    <n v="76111"/>
    <x v="0"/>
    <s v="Chicago"/>
    <x v="0"/>
    <n v="13"/>
  </r>
  <r>
    <x v="41"/>
    <s v="Gianna Jones"/>
    <x v="8"/>
    <x v="3"/>
    <x v="2"/>
    <x v="1"/>
    <x v="2"/>
    <n v="48"/>
    <d v="1998-09-26T00:00:00"/>
    <x v="0"/>
    <x v="5"/>
    <x v="22"/>
    <n v="119220"/>
    <n v="0.09"/>
    <n v="10729.8"/>
    <n v="129950"/>
    <x v="0"/>
    <s v="Columbus"/>
    <x v="4"/>
    <n v="18"/>
  </r>
  <r>
    <x v="42"/>
    <s v="Austin Chow"/>
    <x v="11"/>
    <x v="3"/>
    <x v="0"/>
    <x v="0"/>
    <x v="0"/>
    <n v="35"/>
    <d v="2021-04-11T00:00:00"/>
    <x v="2"/>
    <x v="3"/>
    <x v="13"/>
    <n v="180858"/>
    <n v="0.32"/>
    <n v="57874.559999999998"/>
    <n v="238733"/>
    <x v="1"/>
    <s v="Chongqing"/>
    <x v="0"/>
    <n v="4"/>
  </r>
  <r>
    <x v="43"/>
    <s v="Ella Chen"/>
    <x v="8"/>
    <x v="3"/>
    <x v="3"/>
    <x v="1"/>
    <x v="0"/>
    <n v="45"/>
    <d v="2005-11-10T00:00:00"/>
    <x v="3"/>
    <x v="7"/>
    <x v="4"/>
    <n v="114072"/>
    <n v="0.08"/>
    <n v="9125.76"/>
    <n v="123198"/>
    <x v="0"/>
    <s v="Phoenix"/>
    <x v="0"/>
    <n v="19"/>
  </r>
  <r>
    <x v="44"/>
    <s v="Ruby Kaur"/>
    <x v="16"/>
    <x v="0"/>
    <x v="2"/>
    <x v="1"/>
    <x v="0"/>
    <n v="26"/>
    <d v="2021-06-26T00:00:00"/>
    <x v="0"/>
    <x v="4"/>
    <x v="13"/>
    <n v="91672"/>
    <n v="0"/>
    <n v="0"/>
    <n v="91672"/>
    <x v="1"/>
    <s v="Beijing"/>
    <x v="0"/>
    <n v="4"/>
  </r>
  <r>
    <x v="45"/>
    <s v="Savannah Morales"/>
    <x v="6"/>
    <x v="5"/>
    <x v="1"/>
    <x v="1"/>
    <x v="1"/>
    <n v="48"/>
    <d v="2005-01-26T00:00:00"/>
    <x v="1"/>
    <x v="11"/>
    <x v="4"/>
    <n v="71542"/>
    <n v="0"/>
    <n v="0"/>
    <n v="71542"/>
    <x v="0"/>
    <s v="Chicago"/>
    <x v="0"/>
    <n v="20"/>
  </r>
  <r>
    <x v="46"/>
    <s v="Luca Powell"/>
    <x v="17"/>
    <x v="2"/>
    <x v="3"/>
    <x v="0"/>
    <x v="2"/>
    <n v="33"/>
    <d v="2016-12-18T00:00:00"/>
    <x v="2"/>
    <x v="10"/>
    <x v="20"/>
    <n v="54700"/>
    <n v="0"/>
    <n v="0"/>
    <n v="54700"/>
    <x v="0"/>
    <s v="Miami"/>
    <x v="0"/>
    <n v="8"/>
  </r>
  <r>
    <x v="47"/>
    <s v="Parker Thao"/>
    <x v="6"/>
    <x v="1"/>
    <x v="1"/>
    <x v="0"/>
    <x v="0"/>
    <n v="55"/>
    <d v="2011-05-08T00:00:00"/>
    <x v="2"/>
    <x v="9"/>
    <x v="8"/>
    <n v="65022"/>
    <n v="0"/>
    <n v="0"/>
    <n v="65022"/>
    <x v="1"/>
    <s v="Chongqing"/>
    <x v="0"/>
    <n v="14"/>
  </r>
  <r>
    <x v="48"/>
    <s v="Ryan Vo"/>
    <x v="18"/>
    <x v="2"/>
    <x v="2"/>
    <x v="0"/>
    <x v="0"/>
    <n v="38"/>
    <d v="2011-04-12T00:00:00"/>
    <x v="6"/>
    <x v="3"/>
    <x v="8"/>
    <n v="65109"/>
    <n v="0"/>
    <n v="0"/>
    <n v="65109"/>
    <x v="0"/>
    <s v="Phoenix"/>
    <x v="0"/>
    <n v="14"/>
  </r>
  <r>
    <x v="49"/>
    <s v="Isabella Ngo"/>
    <x v="8"/>
    <x v="3"/>
    <x v="3"/>
    <x v="1"/>
    <x v="0"/>
    <n v="49"/>
    <d v="2022-01-01T00:00:00"/>
    <x v="0"/>
    <x v="11"/>
    <x v="0"/>
    <n v="126598"/>
    <n v="0.09"/>
    <n v="11393.82"/>
    <n v="137992"/>
    <x v="0"/>
    <s v="Miami"/>
    <x v="0"/>
    <n v="3"/>
  </r>
  <r>
    <x v="50"/>
    <s v="Leah Vega"/>
    <x v="18"/>
    <x v="2"/>
    <x v="1"/>
    <x v="1"/>
    <x v="1"/>
    <n v="52"/>
    <d v="2018-06-07T00:00:00"/>
    <x v="3"/>
    <x v="4"/>
    <x v="3"/>
    <n v="72388"/>
    <n v="0"/>
    <n v="0"/>
    <n v="72388"/>
    <x v="0"/>
    <s v="Miami"/>
    <x v="0"/>
    <n v="7"/>
  </r>
  <r>
    <x v="51"/>
    <s v="Jaxson Liu"/>
    <x v="11"/>
    <x v="4"/>
    <x v="1"/>
    <x v="0"/>
    <x v="0"/>
    <n v="27"/>
    <d v="2021-05-18T00:00:00"/>
    <x v="6"/>
    <x v="9"/>
    <x v="13"/>
    <n v="205216"/>
    <n v="0.36"/>
    <n v="73877.759999999995"/>
    <n v="279094"/>
    <x v="0"/>
    <s v="Chicago"/>
    <x v="0"/>
    <n v="4"/>
  </r>
  <r>
    <x v="52"/>
    <s v="Santiago f Ross"/>
    <x v="19"/>
    <x v="2"/>
    <x v="3"/>
    <x v="0"/>
    <x v="2"/>
    <n v="34"/>
    <d v="2012-12-13T00:00:00"/>
    <x v="3"/>
    <x v="10"/>
    <x v="21"/>
    <n v="74004"/>
    <n v="0"/>
    <n v="0"/>
    <n v="74004"/>
    <x v="0"/>
    <s v="Columbus"/>
    <x v="0"/>
    <n v="12"/>
  </r>
  <r>
    <x v="53"/>
    <s v="Layla Bell"/>
    <x v="11"/>
    <x v="0"/>
    <x v="1"/>
    <x v="1"/>
    <x v="2"/>
    <n v="65"/>
    <d v="2001-07-26T00:00:00"/>
    <x v="3"/>
    <x v="8"/>
    <x v="19"/>
    <n v="203030"/>
    <n v="0.31"/>
    <n v="62939.3"/>
    <n v="265969"/>
    <x v="0"/>
    <s v="Chicago"/>
    <x v="0"/>
    <n v="24"/>
  </r>
  <r>
    <x v="54"/>
    <s v="Bella Morales"/>
    <x v="4"/>
    <x v="1"/>
    <x v="3"/>
    <x v="1"/>
    <x v="1"/>
    <n v="38"/>
    <d v="2016-05-10T00:00:00"/>
    <x v="6"/>
    <x v="9"/>
    <x v="20"/>
    <n v="194864"/>
    <n v="0.24"/>
    <n v="46767.360000000001"/>
    <n v="241631"/>
    <x v="0"/>
    <s v="Austin"/>
    <x v="0"/>
    <n v="9"/>
  </r>
  <r>
    <x v="55"/>
    <s v="Eliza Kang"/>
    <x v="20"/>
    <x v="2"/>
    <x v="0"/>
    <x v="1"/>
    <x v="0"/>
    <n v="63"/>
    <d v="2002-01-27T00:00:00"/>
    <x v="2"/>
    <x v="11"/>
    <x v="18"/>
    <n v="76659"/>
    <n v="0.05"/>
    <n v="3832.9500000000003"/>
    <n v="80492"/>
    <x v="0"/>
    <s v="Phoenix"/>
    <x v="0"/>
    <n v="23"/>
  </r>
  <r>
    <x v="56"/>
    <s v="Gabriel Reyes"/>
    <x v="8"/>
    <x v="1"/>
    <x v="1"/>
    <x v="0"/>
    <x v="1"/>
    <n v="42"/>
    <d v="2005-06-10T00:00:00"/>
    <x v="4"/>
    <x v="4"/>
    <x v="4"/>
    <n v="101630"/>
    <n v="0.08"/>
    <n v="8130.4000000000005"/>
    <n v="109760"/>
    <x v="2"/>
    <s v="Sao Paulo"/>
    <x v="0"/>
    <n v="20"/>
  </r>
  <r>
    <x v="57"/>
    <s v="Piper Garcia"/>
    <x v="10"/>
    <x v="1"/>
    <x v="2"/>
    <x v="1"/>
    <x v="1"/>
    <n v="60"/>
    <d v="1993-11-24T00:00:00"/>
    <x v="1"/>
    <x v="7"/>
    <x v="23"/>
    <n v="126929"/>
    <n v="0.12"/>
    <n v="15231.48"/>
    <n v="142160"/>
    <x v="2"/>
    <s v="Sao Paulo"/>
    <x v="0"/>
    <n v="31"/>
  </r>
  <r>
    <x v="58"/>
    <s v="Jacob Cheng"/>
    <x v="4"/>
    <x v="1"/>
    <x v="0"/>
    <x v="0"/>
    <x v="0"/>
    <n v="47"/>
    <d v="1999-11-26T00:00:00"/>
    <x v="4"/>
    <x v="7"/>
    <x v="7"/>
    <n v="155890"/>
    <n v="0.17"/>
    <n v="26501.300000000003"/>
    <n v="182391"/>
    <x v="0"/>
    <s v="Columbus"/>
    <x v="5"/>
    <n v="4"/>
  </r>
  <r>
    <x v="59"/>
    <s v="Nathan Hong"/>
    <x v="4"/>
    <x v="4"/>
    <x v="1"/>
    <x v="0"/>
    <x v="0"/>
    <n v="50"/>
    <d v="2019-10-02T00:00:00"/>
    <x v="1"/>
    <x v="1"/>
    <x v="2"/>
    <n v="150631"/>
    <n v="0.17"/>
    <n v="25607.27"/>
    <n v="176238"/>
    <x v="0"/>
    <s v="Phoenix"/>
    <x v="0"/>
    <n v="6"/>
  </r>
  <r>
    <x v="60"/>
    <s v="Chloe Kim"/>
    <x v="5"/>
    <x v="1"/>
    <x v="3"/>
    <x v="1"/>
    <x v="0"/>
    <n v="39"/>
    <d v="2012-07-06T00:00:00"/>
    <x v="4"/>
    <x v="8"/>
    <x v="21"/>
    <n v="72850"/>
    <n v="0"/>
    <n v="0"/>
    <n v="72850"/>
    <x v="0"/>
    <s v="Miami"/>
    <x v="0"/>
    <n v="13"/>
  </r>
  <r>
    <x v="61"/>
    <s v="Isaac Guzman"/>
    <x v="14"/>
    <x v="1"/>
    <x v="1"/>
    <x v="0"/>
    <x v="1"/>
    <n v="46"/>
    <d v="2010-08-18T00:00:00"/>
    <x v="1"/>
    <x v="6"/>
    <x v="15"/>
    <n v="57951"/>
    <n v="0"/>
    <n v="0"/>
    <n v="57951"/>
    <x v="0"/>
    <s v="Phoenix"/>
    <x v="0"/>
    <n v="15"/>
  </r>
  <r>
    <x v="62"/>
    <s v="Julian Ford"/>
    <x v="6"/>
    <x v="1"/>
    <x v="0"/>
    <x v="0"/>
    <x v="2"/>
    <n v="50"/>
    <d v="2010-07-29T00:00:00"/>
    <x v="3"/>
    <x v="8"/>
    <x v="15"/>
    <n v="70340"/>
    <n v="0"/>
    <n v="0"/>
    <n v="70340"/>
    <x v="0"/>
    <s v="Miami"/>
    <x v="0"/>
    <n v="15"/>
  </r>
  <r>
    <x v="63"/>
    <s v="Kinsley Liang"/>
    <x v="21"/>
    <x v="0"/>
    <x v="0"/>
    <x v="1"/>
    <x v="0"/>
    <n v="55"/>
    <d v="2008-08-25T00:00:00"/>
    <x v="5"/>
    <x v="6"/>
    <x v="24"/>
    <n v="98221"/>
    <n v="0"/>
    <n v="0"/>
    <n v="98221"/>
    <x v="1"/>
    <s v="Shanghai"/>
    <x v="0"/>
    <n v="17"/>
  </r>
  <r>
    <x v="64"/>
    <s v="Wesley Yu"/>
    <x v="10"/>
    <x v="1"/>
    <x v="3"/>
    <x v="0"/>
    <x v="0"/>
    <n v="43"/>
    <d v="2003-09-24T00:00:00"/>
    <x v="1"/>
    <x v="5"/>
    <x v="10"/>
    <n v="127175"/>
    <n v="0.12"/>
    <n v="15261"/>
    <n v="142436"/>
    <x v="0"/>
    <s v="Seattle"/>
    <x v="0"/>
    <n v="22"/>
  </r>
  <r>
    <x v="65"/>
    <s v="Serenity Martin"/>
    <x v="5"/>
    <x v="4"/>
    <x v="0"/>
    <x v="1"/>
    <x v="3"/>
    <n v="26"/>
    <d v="2021-05-16T00:00:00"/>
    <x v="2"/>
    <x v="9"/>
    <x v="13"/>
    <n v="97542"/>
    <n v="0"/>
    <n v="0"/>
    <n v="97542"/>
    <x v="0"/>
    <s v="Phoenix"/>
    <x v="0"/>
    <n v="4"/>
  </r>
  <r>
    <x v="66"/>
    <s v="Ethan Sanchez"/>
    <x v="5"/>
    <x v="5"/>
    <x v="2"/>
    <x v="0"/>
    <x v="1"/>
    <n v="34"/>
    <d v="2019-05-15T00:00:00"/>
    <x v="1"/>
    <x v="9"/>
    <x v="2"/>
    <n v="81646"/>
    <n v="0"/>
    <n v="0"/>
    <n v="81646"/>
    <x v="0"/>
    <s v="Phoenix"/>
    <x v="0"/>
    <n v="6"/>
  </r>
  <r>
    <x v="67"/>
    <s v="David Sanchez"/>
    <x v="4"/>
    <x v="1"/>
    <x v="3"/>
    <x v="0"/>
    <x v="1"/>
    <n v="38"/>
    <d v="2009-07-05T00:00:00"/>
    <x v="2"/>
    <x v="8"/>
    <x v="6"/>
    <n v="182055"/>
    <n v="0.27"/>
    <n v="49154.850000000006"/>
    <n v="231210"/>
    <x v="2"/>
    <s v="Rio de Janeiro"/>
    <x v="0"/>
    <n v="16"/>
  </r>
  <r>
    <x v="68"/>
    <s v="Elias Hsu"/>
    <x v="5"/>
    <x v="5"/>
    <x v="3"/>
    <x v="0"/>
    <x v="0"/>
    <n v="35"/>
    <d v="2022-01-23T00:00:00"/>
    <x v="2"/>
    <x v="11"/>
    <x v="0"/>
    <n v="86777"/>
    <n v="0"/>
    <n v="0"/>
    <n v="86777"/>
    <x v="1"/>
    <s v="Chengdu"/>
    <x v="0"/>
    <n v="3"/>
  </r>
  <r>
    <x v="69"/>
    <s v="Luca Phan"/>
    <x v="8"/>
    <x v="5"/>
    <x v="1"/>
    <x v="0"/>
    <x v="0"/>
    <n v="39"/>
    <d v="2015-06-17T00:00:00"/>
    <x v="1"/>
    <x v="4"/>
    <x v="9"/>
    <n v="129949"/>
    <n v="0.09"/>
    <n v="11695.41"/>
    <n v="141644"/>
    <x v="1"/>
    <s v="Beijing"/>
    <x v="0"/>
    <n v="10"/>
  </r>
  <r>
    <x v="70"/>
    <s v="Olivia Xi"/>
    <x v="8"/>
    <x v="1"/>
    <x v="3"/>
    <x v="1"/>
    <x v="0"/>
    <n v="26"/>
    <d v="2020-08-19T00:00:00"/>
    <x v="1"/>
    <x v="6"/>
    <x v="17"/>
    <n v="124535"/>
    <n v="0.06"/>
    <n v="7472.0999999999995"/>
    <n v="132007"/>
    <x v="0"/>
    <s v="Chicago"/>
    <x v="0"/>
    <n v="5"/>
  </r>
  <r>
    <x v="71"/>
    <s v="Alice Luu"/>
    <x v="7"/>
    <x v="2"/>
    <x v="2"/>
    <x v="1"/>
    <x v="0"/>
    <n v="60"/>
    <d v="1993-07-17T00:00:00"/>
    <x v="0"/>
    <x v="8"/>
    <x v="23"/>
    <n v="81083"/>
    <n v="0"/>
    <n v="0"/>
    <n v="81083"/>
    <x v="0"/>
    <s v="Columbus"/>
    <x v="0"/>
    <n v="32"/>
  </r>
  <r>
    <x v="72"/>
    <s v="Leonardo Ng"/>
    <x v="1"/>
    <x v="5"/>
    <x v="1"/>
    <x v="0"/>
    <x v="0"/>
    <n v="32"/>
    <d v="2019-06-10T00:00:00"/>
    <x v="5"/>
    <x v="4"/>
    <x v="2"/>
    <n v="57727"/>
    <n v="0"/>
    <n v="0"/>
    <n v="57727"/>
    <x v="1"/>
    <s v="Chengdu"/>
    <x v="0"/>
    <n v="6"/>
  </r>
  <r>
    <x v="73"/>
    <s v="Peyton Edwards"/>
    <x v="6"/>
    <x v="4"/>
    <x v="0"/>
    <x v="1"/>
    <x v="2"/>
    <n v="65"/>
    <d v="2020-07-11T00:00:00"/>
    <x v="0"/>
    <x v="8"/>
    <x v="17"/>
    <n v="59344"/>
    <n v="0"/>
    <n v="0"/>
    <n v="59344"/>
    <x v="0"/>
    <s v="Columbus"/>
    <x v="0"/>
    <n v="5"/>
  </r>
  <r>
    <x v="74"/>
    <s v="Axel Patel"/>
    <x v="5"/>
    <x v="1"/>
    <x v="2"/>
    <x v="0"/>
    <x v="0"/>
    <n v="27"/>
    <d v="2022-09-13T00:00:00"/>
    <x v="6"/>
    <x v="5"/>
    <x v="0"/>
    <n v="73203"/>
    <n v="0"/>
    <n v="0"/>
    <n v="73203"/>
    <x v="0"/>
    <s v="Miami"/>
    <x v="0"/>
    <n v="3"/>
  </r>
  <r>
    <x v="75"/>
    <s v="Eva Chavez"/>
    <x v="3"/>
    <x v="2"/>
    <x v="3"/>
    <x v="1"/>
    <x v="1"/>
    <n v="63"/>
    <d v="2004-01-17T00:00:00"/>
    <x v="0"/>
    <x v="11"/>
    <x v="5"/>
    <n v="83070"/>
    <n v="0"/>
    <n v="0"/>
    <n v="83070"/>
    <x v="2"/>
    <s v="Sao Paulo"/>
    <x v="0"/>
    <n v="21"/>
  </r>
  <r>
    <x v="76"/>
    <s v="Savannah Lee"/>
    <x v="8"/>
    <x v="6"/>
    <x v="2"/>
    <x v="1"/>
    <x v="0"/>
    <n v="51"/>
    <d v="2020-07-22T00:00:00"/>
    <x v="1"/>
    <x v="8"/>
    <x v="17"/>
    <n v="104008"/>
    <n v="0.1"/>
    <n v="10400.800000000001"/>
    <n v="114409"/>
    <x v="1"/>
    <s v="Beijing"/>
    <x v="0"/>
    <n v="5"/>
  </r>
  <r>
    <x v="77"/>
    <s v="Mia Grant"/>
    <x v="22"/>
    <x v="2"/>
    <x v="1"/>
    <x v="1"/>
    <x v="2"/>
    <n v="43"/>
    <d v="2007-02-16T00:00:00"/>
    <x v="4"/>
    <x v="0"/>
    <x v="25"/>
    <n v="70923"/>
    <n v="0"/>
    <n v="0"/>
    <n v="70923"/>
    <x v="0"/>
    <s v="Columbus"/>
    <x v="0"/>
    <n v="18"/>
  </r>
  <r>
    <x v="78"/>
    <s v="Eli Richardson"/>
    <x v="10"/>
    <x v="5"/>
    <x v="3"/>
    <x v="0"/>
    <x v="3"/>
    <n v="31"/>
    <d v="2018-04-08T00:00:00"/>
    <x v="2"/>
    <x v="3"/>
    <x v="3"/>
    <n v="159121"/>
    <n v="0.14000000000000001"/>
    <n v="22276.940000000002"/>
    <n v="181398"/>
    <x v="0"/>
    <s v="Phoenix"/>
    <x v="0"/>
    <n v="7"/>
  </r>
  <r>
    <x v="79"/>
    <s v="Eloise Perry"/>
    <x v="23"/>
    <x v="6"/>
    <x v="2"/>
    <x v="1"/>
    <x v="2"/>
    <n v="26"/>
    <d v="2020-12-02T00:00:00"/>
    <x v="1"/>
    <x v="10"/>
    <x v="17"/>
    <n v="88921"/>
    <n v="0"/>
    <n v="0"/>
    <n v="88921"/>
    <x v="0"/>
    <s v="Chicago"/>
    <x v="0"/>
    <n v="4"/>
  </r>
  <r>
    <x v="80"/>
    <s v="Ian Cheng"/>
    <x v="10"/>
    <x v="1"/>
    <x v="3"/>
    <x v="0"/>
    <x v="0"/>
    <n v="46"/>
    <d v="2015-08-30T00:00:00"/>
    <x v="2"/>
    <x v="6"/>
    <x v="9"/>
    <n v="126704"/>
    <n v="0.14000000000000001"/>
    <n v="17738.560000000001"/>
    <n v="144443"/>
    <x v="0"/>
    <s v="Phoenix"/>
    <x v="0"/>
    <n v="10"/>
  </r>
  <r>
    <x v="81"/>
    <s v="Penelope Chan"/>
    <x v="6"/>
    <x v="3"/>
    <x v="0"/>
    <x v="1"/>
    <x v="0"/>
    <n v="59"/>
    <d v="2012-05-20T00:00:00"/>
    <x v="2"/>
    <x v="9"/>
    <x v="21"/>
    <n v="57704"/>
    <n v="0"/>
    <n v="0"/>
    <n v="57704"/>
    <x v="1"/>
    <s v="Shanghai"/>
    <x v="6"/>
    <n v="7"/>
  </r>
  <r>
    <x v="82"/>
    <s v="Sofia Vasquez"/>
    <x v="4"/>
    <x v="1"/>
    <x v="2"/>
    <x v="1"/>
    <x v="1"/>
    <n v="52"/>
    <d v="1996-07-29T00:00:00"/>
    <x v="5"/>
    <x v="8"/>
    <x v="26"/>
    <n v="191455"/>
    <n v="0.24"/>
    <n v="45949.2"/>
    <n v="237404"/>
    <x v="2"/>
    <s v="Sao Paulo"/>
    <x v="0"/>
    <n v="29"/>
  </r>
  <r>
    <x v="83"/>
    <s v="Anthony Baker"/>
    <x v="22"/>
    <x v="2"/>
    <x v="0"/>
    <x v="0"/>
    <x v="2"/>
    <n v="31"/>
    <d v="2021-06-03T00:00:00"/>
    <x v="3"/>
    <x v="4"/>
    <x v="13"/>
    <n v="99937"/>
    <n v="0"/>
    <n v="0"/>
    <n v="99937"/>
    <x v="0"/>
    <s v="Phoenix"/>
    <x v="0"/>
    <n v="4"/>
  </r>
  <r>
    <x v="84"/>
    <s v="Lucas Luong"/>
    <x v="1"/>
    <x v="5"/>
    <x v="3"/>
    <x v="0"/>
    <x v="0"/>
    <n v="42"/>
    <d v="2008-03-12T00:00:00"/>
    <x v="1"/>
    <x v="2"/>
    <x v="24"/>
    <n v="40778"/>
    <n v="0"/>
    <n v="0"/>
    <n v="40778"/>
    <x v="1"/>
    <s v="Chengdu"/>
    <x v="0"/>
    <n v="17"/>
  </r>
  <r>
    <x v="85"/>
    <s v="Xavier Patel"/>
    <x v="4"/>
    <x v="5"/>
    <x v="3"/>
    <x v="0"/>
    <x v="0"/>
    <n v="53"/>
    <d v="2021-11-16T00:00:00"/>
    <x v="6"/>
    <x v="7"/>
    <x v="13"/>
    <n v="187740"/>
    <n v="0.16"/>
    <n v="30038.400000000001"/>
    <n v="217778"/>
    <x v="0"/>
    <s v="Columbus"/>
    <x v="0"/>
    <n v="3"/>
  </r>
  <r>
    <x v="86"/>
    <s v="Robert Soto"/>
    <x v="24"/>
    <x v="6"/>
    <x v="2"/>
    <x v="0"/>
    <x v="1"/>
    <n v="47"/>
    <d v="2008-09-10T00:00:00"/>
    <x v="1"/>
    <x v="5"/>
    <x v="24"/>
    <n v="72384"/>
    <n v="0"/>
    <n v="0"/>
    <n v="72384"/>
    <x v="2"/>
    <s v="Rio de Janeiro"/>
    <x v="0"/>
    <n v="17"/>
  </r>
  <r>
    <x v="87"/>
    <s v="Nevaeh Jiang"/>
    <x v="10"/>
    <x v="5"/>
    <x v="1"/>
    <x v="1"/>
    <x v="0"/>
    <n v="45"/>
    <d v="2016-08-05T00:00:00"/>
    <x v="4"/>
    <x v="6"/>
    <x v="20"/>
    <n v="143318"/>
    <n v="0.12"/>
    <n v="17198.16"/>
    <n v="160516"/>
    <x v="1"/>
    <s v="Chengdu"/>
    <x v="0"/>
    <n v="9"/>
  </r>
  <r>
    <x v="88"/>
    <s v="Chloe Reyes"/>
    <x v="4"/>
    <x v="6"/>
    <x v="3"/>
    <x v="1"/>
    <x v="1"/>
    <n v="45"/>
    <d v="2008-06-18T00:00:00"/>
    <x v="1"/>
    <x v="4"/>
    <x v="24"/>
    <n v="191304"/>
    <n v="0.17"/>
    <n v="32521.680000000004"/>
    <n v="223826"/>
    <x v="0"/>
    <s v="Phoenix"/>
    <x v="0"/>
    <n v="17"/>
  </r>
  <r>
    <x v="89"/>
    <s v="Lucy Edwards"/>
    <x v="4"/>
    <x v="6"/>
    <x v="3"/>
    <x v="1"/>
    <x v="3"/>
    <n v="33"/>
    <d v="2015-03-16T00:00:00"/>
    <x v="5"/>
    <x v="2"/>
    <x v="9"/>
    <n v="175875"/>
    <n v="0.21"/>
    <n v="36933.75"/>
    <n v="212809"/>
    <x v="0"/>
    <s v="Columbus"/>
    <x v="7"/>
    <n v="7"/>
  </r>
  <r>
    <x v="90"/>
    <s v="Luna Edwards"/>
    <x v="8"/>
    <x v="1"/>
    <x v="2"/>
    <x v="1"/>
    <x v="3"/>
    <n v="42"/>
    <d v="2014-04-13T00:00:00"/>
    <x v="2"/>
    <x v="3"/>
    <x v="11"/>
    <n v="106726"/>
    <n v="0.09"/>
    <n v="9605.34"/>
    <n v="116331"/>
    <x v="0"/>
    <s v="Seattle"/>
    <x v="0"/>
    <n v="11"/>
  </r>
  <r>
    <x v="91"/>
    <s v="Stella Daniels"/>
    <x v="18"/>
    <x v="2"/>
    <x v="0"/>
    <x v="1"/>
    <x v="3"/>
    <n v="37"/>
    <d v="2011-10-30T00:00:00"/>
    <x v="2"/>
    <x v="1"/>
    <x v="8"/>
    <n v="72637"/>
    <n v="0"/>
    <n v="0"/>
    <n v="72637"/>
    <x v="0"/>
    <s v="Columbus"/>
    <x v="0"/>
    <n v="13"/>
  </r>
  <r>
    <x v="92"/>
    <s v="Ayla Ma"/>
    <x v="8"/>
    <x v="5"/>
    <x v="1"/>
    <x v="1"/>
    <x v="0"/>
    <n v="27"/>
    <d v="2022-12-05T00:00:00"/>
    <x v="5"/>
    <x v="10"/>
    <x v="0"/>
    <n v="118304"/>
    <n v="7.0000000000000007E-2"/>
    <n v="8281.2800000000007"/>
    <n v="126585"/>
    <x v="1"/>
    <s v="Shanghai"/>
    <x v="0"/>
    <n v="2"/>
  </r>
  <r>
    <x v="93"/>
    <s v="Matthew Avila"/>
    <x v="20"/>
    <x v="2"/>
    <x v="0"/>
    <x v="0"/>
    <x v="1"/>
    <n v="55"/>
    <d v="2003-06-17T00:00:00"/>
    <x v="6"/>
    <x v="4"/>
    <x v="10"/>
    <n v="68592"/>
    <n v="0.08"/>
    <n v="5487.36"/>
    <n v="74079"/>
    <x v="2"/>
    <s v="Sao Paulo"/>
    <x v="0"/>
    <n v="22"/>
  </r>
  <r>
    <x v="94"/>
    <s v="Gianna Lim"/>
    <x v="1"/>
    <x v="3"/>
    <x v="2"/>
    <x v="1"/>
    <x v="0"/>
    <n v="46"/>
    <d v="2006-04-01T00:00:00"/>
    <x v="0"/>
    <x v="3"/>
    <x v="16"/>
    <n v="42532"/>
    <n v="0"/>
    <n v="0"/>
    <n v="42532"/>
    <x v="1"/>
    <s v="Chongqing"/>
    <x v="0"/>
    <n v="19"/>
  </r>
  <r>
    <x v="95"/>
    <s v="Joseph Tan"/>
    <x v="13"/>
    <x v="2"/>
    <x v="2"/>
    <x v="0"/>
    <x v="0"/>
    <n v="37"/>
    <d v="2015-08-20T00:00:00"/>
    <x v="3"/>
    <x v="6"/>
    <x v="9"/>
    <n v="65073"/>
    <n v="0"/>
    <n v="0"/>
    <n v="65073"/>
    <x v="1"/>
    <s v="Shanghai"/>
    <x v="0"/>
    <n v="10"/>
  </r>
  <r>
    <x v="96"/>
    <s v="Connor Lai"/>
    <x v="25"/>
    <x v="0"/>
    <x v="1"/>
    <x v="0"/>
    <x v="0"/>
    <n v="32"/>
    <d v="2019-09-22T00:00:00"/>
    <x v="2"/>
    <x v="5"/>
    <x v="2"/>
    <n v="111035"/>
    <n v="0.12"/>
    <n v="13324.199999999999"/>
    <n v="124359"/>
    <x v="0"/>
    <s v="Chicago"/>
    <x v="0"/>
    <n v="6"/>
  </r>
  <r>
    <x v="97"/>
    <s v="Ava Owens"/>
    <x v="6"/>
    <x v="4"/>
    <x v="3"/>
    <x v="1"/>
    <x v="2"/>
    <n v="28"/>
    <d v="2020-02-07T00:00:00"/>
    <x v="4"/>
    <x v="0"/>
    <x v="17"/>
    <n v="63066"/>
    <n v="0"/>
    <n v="0"/>
    <n v="63066"/>
    <x v="0"/>
    <s v="Seattle"/>
    <x v="0"/>
    <n v="5"/>
  </r>
  <r>
    <x v="98"/>
    <s v="Dylan Aguilar"/>
    <x v="4"/>
    <x v="0"/>
    <x v="1"/>
    <x v="0"/>
    <x v="1"/>
    <n v="49"/>
    <d v="2007-03-27T00:00:00"/>
    <x v="6"/>
    <x v="2"/>
    <x v="25"/>
    <n v="186192"/>
    <n v="0.27"/>
    <n v="50271.840000000004"/>
    <n v="236464"/>
    <x v="2"/>
    <s v="Sao Paulo"/>
    <x v="0"/>
    <n v="18"/>
  </r>
  <r>
    <x v="99"/>
    <s v="Leah Zheng"/>
    <x v="4"/>
    <x v="0"/>
    <x v="1"/>
    <x v="1"/>
    <x v="0"/>
    <n v="52"/>
    <d v="2016-06-18T00:00:00"/>
    <x v="0"/>
    <x v="4"/>
    <x v="20"/>
    <n v="182938"/>
    <n v="0.23"/>
    <n v="42075.740000000005"/>
    <n v="225014"/>
    <x v="1"/>
    <s v="Chengdu"/>
    <x v="0"/>
    <n v="9"/>
  </r>
  <r>
    <x v="100"/>
    <s v="Jade Pham"/>
    <x v="1"/>
    <x v="3"/>
    <x v="0"/>
    <x v="1"/>
    <x v="0"/>
    <n v="61"/>
    <d v="2017-12-12T00:00:00"/>
    <x v="6"/>
    <x v="10"/>
    <x v="12"/>
    <n v="53931"/>
    <n v="0"/>
    <n v="0"/>
    <n v="53931"/>
    <x v="1"/>
    <s v="Shanghai"/>
    <x v="0"/>
    <n v="7"/>
  </r>
  <r>
    <x v="101"/>
    <s v="Theodore Bui"/>
    <x v="11"/>
    <x v="1"/>
    <x v="3"/>
    <x v="0"/>
    <x v="0"/>
    <n v="53"/>
    <d v="2012-05-13T00:00:00"/>
    <x v="2"/>
    <x v="9"/>
    <x v="21"/>
    <n v="252140"/>
    <n v="0.38"/>
    <n v="95813.2"/>
    <n v="347953"/>
    <x v="1"/>
    <s v="Beijing"/>
    <x v="0"/>
    <n v="13"/>
  </r>
  <r>
    <x v="102"/>
    <s v="Asher Chan"/>
    <x v="23"/>
    <x v="6"/>
    <x v="1"/>
    <x v="0"/>
    <x v="0"/>
    <n v="40"/>
    <d v="2018-08-18T00:00:00"/>
    <x v="0"/>
    <x v="6"/>
    <x v="3"/>
    <n v="73041"/>
    <n v="0"/>
    <n v="0"/>
    <n v="73041"/>
    <x v="1"/>
    <s v="Shanghai"/>
    <x v="0"/>
    <n v="7"/>
  </r>
  <r>
    <x v="103"/>
    <s v="Ezekiel Brown"/>
    <x v="8"/>
    <x v="4"/>
    <x v="1"/>
    <x v="0"/>
    <x v="2"/>
    <n v="27"/>
    <d v="2022-03-14T00:00:00"/>
    <x v="5"/>
    <x v="2"/>
    <x v="0"/>
    <n v="120315"/>
    <n v="0.08"/>
    <n v="9625.2000000000007"/>
    <n v="129940"/>
    <x v="0"/>
    <s v="Miami"/>
    <x v="8"/>
    <n v="0"/>
  </r>
  <r>
    <x v="104"/>
    <s v="Peyton Allen"/>
    <x v="8"/>
    <x v="5"/>
    <x v="3"/>
    <x v="1"/>
    <x v="2"/>
    <n v="26"/>
    <d v="2020-11-23T00:00:00"/>
    <x v="5"/>
    <x v="7"/>
    <x v="17"/>
    <n v="112264"/>
    <n v="0.05"/>
    <n v="5613.2000000000007"/>
    <n v="117877"/>
    <x v="0"/>
    <s v="Chicago"/>
    <x v="0"/>
    <n v="4"/>
  </r>
  <r>
    <x v="105"/>
    <s v="Parker Joseph"/>
    <x v="9"/>
    <x v="2"/>
    <x v="3"/>
    <x v="0"/>
    <x v="2"/>
    <n v="53"/>
    <d v="2000-01-21T00:00:00"/>
    <x v="4"/>
    <x v="11"/>
    <x v="27"/>
    <n v="55039"/>
    <n v="0"/>
    <n v="0"/>
    <n v="55039"/>
    <x v="0"/>
    <s v="Seattle"/>
    <x v="0"/>
    <n v="25"/>
  </r>
  <r>
    <x v="106"/>
    <s v="Kayden Ortiz"/>
    <x v="10"/>
    <x v="3"/>
    <x v="3"/>
    <x v="0"/>
    <x v="1"/>
    <n v="33"/>
    <d v="2013-07-29T00:00:00"/>
    <x v="5"/>
    <x v="8"/>
    <x v="1"/>
    <n v="134782"/>
    <n v="0.15"/>
    <n v="20217.3"/>
    <n v="154999"/>
    <x v="2"/>
    <s v="Manaus"/>
    <x v="0"/>
    <n v="12"/>
  </r>
  <r>
    <x v="107"/>
    <s v="Lillian Desai"/>
    <x v="26"/>
    <x v="0"/>
    <x v="0"/>
    <x v="1"/>
    <x v="0"/>
    <n v="27"/>
    <d v="2022-12-12T00:00:00"/>
    <x v="5"/>
    <x v="10"/>
    <x v="0"/>
    <n v="92806"/>
    <n v="0"/>
    <n v="0"/>
    <n v="92806"/>
    <x v="1"/>
    <s v="Chengdu"/>
    <x v="0"/>
    <n v="2"/>
  </r>
  <r>
    <x v="108"/>
    <s v="Avery Gutierrez"/>
    <x v="11"/>
    <x v="5"/>
    <x v="1"/>
    <x v="1"/>
    <x v="1"/>
    <n v="56"/>
    <d v="2016-07-02T00:00:00"/>
    <x v="0"/>
    <x v="8"/>
    <x v="20"/>
    <n v="181028"/>
    <n v="0.38"/>
    <n v="68790.64"/>
    <n v="249819"/>
    <x v="0"/>
    <s v="Phoenix"/>
    <x v="0"/>
    <n v="9"/>
  </r>
  <r>
    <x v="109"/>
    <s v="Caroline Sandoval"/>
    <x v="1"/>
    <x v="1"/>
    <x v="1"/>
    <x v="1"/>
    <x v="1"/>
    <n v="36"/>
    <d v="2013-10-03T00:00:00"/>
    <x v="3"/>
    <x v="1"/>
    <x v="1"/>
    <n v="48117"/>
    <n v="0"/>
    <n v="0"/>
    <n v="48117"/>
    <x v="2"/>
    <s v="Sao Paulo"/>
    <x v="0"/>
    <n v="12"/>
  </r>
  <r>
    <x v="110"/>
    <s v="Hailey Lim"/>
    <x v="4"/>
    <x v="5"/>
    <x v="1"/>
    <x v="1"/>
    <x v="0"/>
    <n v="47"/>
    <d v="2005-01-06T00:00:00"/>
    <x v="3"/>
    <x v="11"/>
    <x v="4"/>
    <n v="192753"/>
    <n v="0.17"/>
    <n v="32768.01"/>
    <n v="225521"/>
    <x v="1"/>
    <s v="Chongqing"/>
    <x v="0"/>
    <n v="20"/>
  </r>
  <r>
    <x v="111"/>
    <s v="Roman Liang"/>
    <x v="5"/>
    <x v="1"/>
    <x v="0"/>
    <x v="0"/>
    <x v="0"/>
    <n v="28"/>
    <d v="2021-03-04T00:00:00"/>
    <x v="3"/>
    <x v="2"/>
    <x v="13"/>
    <n v="85206"/>
    <n v="0"/>
    <n v="0"/>
    <n v="85206"/>
    <x v="1"/>
    <s v="Chongqing"/>
    <x v="9"/>
    <n v="1"/>
  </r>
  <r>
    <x v="112"/>
    <s v="Elias Rojas"/>
    <x v="14"/>
    <x v="1"/>
    <x v="0"/>
    <x v="0"/>
    <x v="1"/>
    <n v="30"/>
    <d v="2018-01-07T00:00:00"/>
    <x v="2"/>
    <x v="11"/>
    <x v="3"/>
    <n v="58290"/>
    <n v="0"/>
    <n v="0"/>
    <n v="58290"/>
    <x v="0"/>
    <s v="Chicago"/>
    <x v="0"/>
    <n v="7"/>
  </r>
  <r>
    <x v="113"/>
    <s v="Quinn Lai"/>
    <x v="9"/>
    <x v="2"/>
    <x v="2"/>
    <x v="1"/>
    <x v="0"/>
    <n v="58"/>
    <d v="2003-08-28T00:00:00"/>
    <x v="3"/>
    <x v="6"/>
    <x v="10"/>
    <n v="41946"/>
    <n v="0"/>
    <n v="0"/>
    <n v="41946"/>
    <x v="0"/>
    <s v="Phoenix"/>
    <x v="0"/>
    <n v="22"/>
  </r>
  <r>
    <x v="114"/>
    <s v="Clara Le"/>
    <x v="12"/>
    <x v="2"/>
    <x v="1"/>
    <x v="1"/>
    <x v="0"/>
    <n v="56"/>
    <d v="2021-03-15T00:00:00"/>
    <x v="5"/>
    <x v="2"/>
    <x v="13"/>
    <n v="79388"/>
    <n v="0"/>
    <n v="0"/>
    <n v="79388"/>
    <x v="1"/>
    <s v="Beijing"/>
    <x v="0"/>
    <n v="4"/>
  </r>
  <r>
    <x v="115"/>
    <s v="Chloe Yoon"/>
    <x v="2"/>
    <x v="2"/>
    <x v="1"/>
    <x v="1"/>
    <x v="0"/>
    <n v="65"/>
    <d v="2002-02-25T00:00:00"/>
    <x v="5"/>
    <x v="0"/>
    <x v="18"/>
    <n v="83854"/>
    <n v="0"/>
    <n v="0"/>
    <n v="83854"/>
    <x v="0"/>
    <s v="Seattle"/>
    <x v="0"/>
    <n v="23"/>
  </r>
  <r>
    <x v="116"/>
    <s v="Abigail Simmons"/>
    <x v="10"/>
    <x v="2"/>
    <x v="3"/>
    <x v="1"/>
    <x v="2"/>
    <n v="29"/>
    <d v="2018-04-24T00:00:00"/>
    <x v="6"/>
    <x v="3"/>
    <x v="3"/>
    <n v="126550"/>
    <n v="0.15"/>
    <n v="18982.5"/>
    <n v="145533"/>
    <x v="0"/>
    <s v="Miami"/>
    <x v="0"/>
    <n v="7"/>
  </r>
  <r>
    <x v="117"/>
    <s v="Ayla Espinoza"/>
    <x v="4"/>
    <x v="6"/>
    <x v="2"/>
    <x v="1"/>
    <x v="1"/>
    <n v="60"/>
    <d v="1993-10-01T00:00:00"/>
    <x v="4"/>
    <x v="1"/>
    <x v="23"/>
    <n v="199705"/>
    <n v="0.26"/>
    <n v="51923.3"/>
    <n v="251628"/>
    <x v="2"/>
    <s v="Rio de Janeiro"/>
    <x v="0"/>
    <n v="32"/>
  </r>
  <r>
    <x v="118"/>
    <s v="Nova Lin"/>
    <x v="11"/>
    <x v="1"/>
    <x v="3"/>
    <x v="1"/>
    <x v="0"/>
    <n v="31"/>
    <d v="2019-04-09T00:00:00"/>
    <x v="6"/>
    <x v="3"/>
    <x v="2"/>
    <n v="201235"/>
    <n v="0.32"/>
    <n v="64395.200000000004"/>
    <n v="265630"/>
    <x v="0"/>
    <s v="Austin"/>
    <x v="0"/>
    <n v="6"/>
  </r>
  <r>
    <x v="119"/>
    <s v="Sadie Singh"/>
    <x v="4"/>
    <x v="0"/>
    <x v="3"/>
    <x v="1"/>
    <x v="0"/>
    <n v="45"/>
    <d v="2022-03-16T00:00:00"/>
    <x v="1"/>
    <x v="2"/>
    <x v="0"/>
    <n v="182717"/>
    <n v="0.26"/>
    <n v="47506.42"/>
    <n v="230223"/>
    <x v="0"/>
    <s v="Columbus"/>
    <x v="0"/>
    <n v="3"/>
  </r>
  <r>
    <x v="120"/>
    <s v="Aaron Powell"/>
    <x v="19"/>
    <x v="2"/>
    <x v="2"/>
    <x v="0"/>
    <x v="3"/>
    <n v="30"/>
    <d v="2017-09-11T00:00:00"/>
    <x v="5"/>
    <x v="5"/>
    <x v="12"/>
    <n v="79975"/>
    <n v="0"/>
    <n v="0"/>
    <n v="79975"/>
    <x v="0"/>
    <s v="Chicago"/>
    <x v="0"/>
    <n v="8"/>
  </r>
  <r>
    <x v="121"/>
    <s v="Jameson Vargas"/>
    <x v="4"/>
    <x v="6"/>
    <x v="3"/>
    <x v="0"/>
    <x v="1"/>
    <n v="36"/>
    <d v="2011-07-24T00:00:00"/>
    <x v="2"/>
    <x v="8"/>
    <x v="8"/>
    <n v="196554"/>
    <n v="0.2"/>
    <n v="39310.800000000003"/>
    <n v="235865"/>
    <x v="2"/>
    <s v="Rio de Janeiro"/>
    <x v="0"/>
    <n v="14"/>
  </r>
  <r>
    <x v="122"/>
    <s v="Logan Young"/>
    <x v="11"/>
    <x v="2"/>
    <x v="1"/>
    <x v="0"/>
    <x v="3"/>
    <n v="39"/>
    <d v="2010-08-16T00:00:00"/>
    <x v="5"/>
    <x v="6"/>
    <x v="15"/>
    <n v="239395"/>
    <n v="0.33"/>
    <n v="79000.350000000006"/>
    <n v="318395"/>
    <x v="0"/>
    <s v="Seattle"/>
    <x v="0"/>
    <n v="15"/>
  </r>
  <r>
    <x v="123"/>
    <s v="Wyatt Cheung"/>
    <x v="6"/>
    <x v="1"/>
    <x v="3"/>
    <x v="0"/>
    <x v="0"/>
    <n v="44"/>
    <d v="2013-07-25T00:00:00"/>
    <x v="3"/>
    <x v="8"/>
    <x v="1"/>
    <n v="53703"/>
    <n v="0"/>
    <n v="0"/>
    <n v="53703"/>
    <x v="1"/>
    <s v="Beijing"/>
    <x v="0"/>
    <n v="12"/>
  </r>
  <r>
    <x v="124"/>
    <s v="Lucas Zhu"/>
    <x v="8"/>
    <x v="2"/>
    <x v="0"/>
    <x v="0"/>
    <x v="0"/>
    <n v="53"/>
    <d v="2011-03-14T00:00:00"/>
    <x v="5"/>
    <x v="2"/>
    <x v="8"/>
    <n v="123480"/>
    <n v="0.08"/>
    <n v="9878.4"/>
    <n v="133358"/>
    <x v="1"/>
    <s v="Beijing"/>
    <x v="0"/>
    <n v="14"/>
  </r>
  <r>
    <x v="125"/>
    <s v="Emily Hong"/>
    <x v="17"/>
    <x v="2"/>
    <x v="3"/>
    <x v="1"/>
    <x v="0"/>
    <n v="46"/>
    <d v="2021-01-09T00:00:00"/>
    <x v="0"/>
    <x v="11"/>
    <x v="13"/>
    <n v="41197"/>
    <n v="0"/>
    <n v="0"/>
    <n v="41197"/>
    <x v="1"/>
    <s v="Beijing"/>
    <x v="0"/>
    <n v="4"/>
  </r>
  <r>
    <x v="126"/>
    <s v="Luke Ramos"/>
    <x v="14"/>
    <x v="1"/>
    <x v="1"/>
    <x v="0"/>
    <x v="1"/>
    <n v="30"/>
    <d v="2018-07-28T00:00:00"/>
    <x v="0"/>
    <x v="8"/>
    <x v="3"/>
    <n v="72463"/>
    <n v="0"/>
    <n v="0"/>
    <n v="72463"/>
    <x v="2"/>
    <s v="Manaus"/>
    <x v="0"/>
    <n v="7"/>
  </r>
  <r>
    <x v="127"/>
    <s v="Maya Gupta"/>
    <x v="26"/>
    <x v="0"/>
    <x v="1"/>
    <x v="1"/>
    <x v="0"/>
    <n v="28"/>
    <d v="2019-08-04T00:00:00"/>
    <x v="2"/>
    <x v="6"/>
    <x v="2"/>
    <n v="87675"/>
    <n v="0"/>
    <n v="0"/>
    <n v="87675"/>
    <x v="1"/>
    <s v="Beijing"/>
    <x v="0"/>
    <n v="6"/>
  </r>
  <r>
    <x v="128"/>
    <s v="Eliana Ha"/>
    <x v="1"/>
    <x v="3"/>
    <x v="3"/>
    <x v="1"/>
    <x v="0"/>
    <n v="35"/>
    <d v="2020-12-15T00:00:00"/>
    <x v="6"/>
    <x v="10"/>
    <x v="17"/>
    <n v="55833"/>
    <n v="0"/>
    <n v="0"/>
    <n v="55833"/>
    <x v="1"/>
    <s v="Chengdu"/>
    <x v="0"/>
    <n v="4"/>
  </r>
  <r>
    <x v="129"/>
    <s v="Lillian Cheng"/>
    <x v="6"/>
    <x v="4"/>
    <x v="2"/>
    <x v="1"/>
    <x v="0"/>
    <n v="58"/>
    <d v="1996-08-20T00:00:00"/>
    <x v="6"/>
    <x v="6"/>
    <x v="26"/>
    <n v="58208"/>
    <n v="0"/>
    <n v="0"/>
    <n v="58208"/>
    <x v="1"/>
    <s v="Chengdu"/>
    <x v="0"/>
    <n v="29"/>
  </r>
  <r>
    <x v="130"/>
    <s v="Alexander Pena"/>
    <x v="5"/>
    <x v="1"/>
    <x v="3"/>
    <x v="0"/>
    <x v="1"/>
    <n v="47"/>
    <d v="2002-05-24T00:00:00"/>
    <x v="4"/>
    <x v="9"/>
    <x v="18"/>
    <n v="75633"/>
    <n v="0"/>
    <n v="0"/>
    <n v="75633"/>
    <x v="0"/>
    <s v="Chicago"/>
    <x v="0"/>
    <n v="23"/>
  </r>
  <r>
    <x v="131"/>
    <s v="Leonardo Mai"/>
    <x v="5"/>
    <x v="5"/>
    <x v="3"/>
    <x v="0"/>
    <x v="0"/>
    <n v="43"/>
    <d v="2007-01-28T00:00:00"/>
    <x v="2"/>
    <x v="11"/>
    <x v="25"/>
    <n v="79090"/>
    <n v="0"/>
    <n v="0"/>
    <n v="79090"/>
    <x v="1"/>
    <s v="Chengdu"/>
    <x v="0"/>
    <n v="18"/>
  </r>
  <r>
    <x v="132"/>
    <s v="Jack Phillips"/>
    <x v="6"/>
    <x v="4"/>
    <x v="0"/>
    <x v="0"/>
    <x v="3"/>
    <n v="47"/>
    <d v="2015-07-27T00:00:00"/>
    <x v="5"/>
    <x v="8"/>
    <x v="9"/>
    <n v="66138"/>
    <n v="0"/>
    <n v="0"/>
    <n v="66138"/>
    <x v="0"/>
    <s v="Phoenix"/>
    <x v="0"/>
    <n v="10"/>
  </r>
  <r>
    <x v="133"/>
    <s v="Scarlett Delgado"/>
    <x v="18"/>
    <x v="2"/>
    <x v="2"/>
    <x v="1"/>
    <x v="1"/>
    <n v="57"/>
    <d v="2013-08-28T00:00:00"/>
    <x v="1"/>
    <x v="6"/>
    <x v="1"/>
    <n v="80728"/>
    <n v="0"/>
    <n v="0"/>
    <n v="80728"/>
    <x v="2"/>
    <s v="Rio de Janeiro"/>
    <x v="0"/>
    <n v="12"/>
  </r>
  <r>
    <x v="134"/>
    <s v="Jack Rogers"/>
    <x v="9"/>
    <x v="2"/>
    <x v="1"/>
    <x v="0"/>
    <x v="3"/>
    <n v="47"/>
    <d v="2005-02-01T00:00:00"/>
    <x v="6"/>
    <x v="0"/>
    <x v="4"/>
    <n v="46202"/>
    <n v="0"/>
    <n v="0"/>
    <n v="46202"/>
    <x v="0"/>
    <s v="Phoenix"/>
    <x v="0"/>
    <n v="20"/>
  </r>
  <r>
    <x v="135"/>
    <s v="Violet Huynh"/>
    <x v="8"/>
    <x v="1"/>
    <x v="2"/>
    <x v="1"/>
    <x v="0"/>
    <n v="50"/>
    <d v="2008-02-29T00:00:00"/>
    <x v="4"/>
    <x v="0"/>
    <x v="24"/>
    <n v="123096"/>
    <n v="0.1"/>
    <n v="12309.6"/>
    <n v="135406"/>
    <x v="1"/>
    <s v="Shanghai"/>
    <x v="0"/>
    <n v="17"/>
  </r>
  <r>
    <x v="136"/>
    <s v="Victoria Park"/>
    <x v="1"/>
    <x v="5"/>
    <x v="2"/>
    <x v="1"/>
    <x v="0"/>
    <n v="27"/>
    <d v="2020-03-18T00:00:00"/>
    <x v="1"/>
    <x v="2"/>
    <x v="17"/>
    <n v="45989"/>
    <n v="0"/>
    <n v="0"/>
    <n v="45989"/>
    <x v="0"/>
    <s v="Chicago"/>
    <x v="0"/>
    <n v="5"/>
  </r>
  <r>
    <x v="137"/>
    <s v="Elizabeth Rodriguez"/>
    <x v="10"/>
    <x v="3"/>
    <x v="1"/>
    <x v="1"/>
    <x v="1"/>
    <n v="26"/>
    <d v="2021-08-13T00:00:00"/>
    <x v="4"/>
    <x v="6"/>
    <x v="13"/>
    <n v="140756"/>
    <n v="0.13"/>
    <n v="18298.28"/>
    <n v="159054"/>
    <x v="2"/>
    <s v="Sao Paulo"/>
    <x v="0"/>
    <n v="4"/>
  </r>
  <r>
    <x v="138"/>
    <s v="Samuel Kumar"/>
    <x v="27"/>
    <x v="2"/>
    <x v="1"/>
    <x v="0"/>
    <x v="0"/>
    <n v="43"/>
    <d v="2009-03-09T00:00:00"/>
    <x v="5"/>
    <x v="2"/>
    <x v="6"/>
    <n v="85261"/>
    <n v="0"/>
    <n v="0"/>
    <n v="85261"/>
    <x v="1"/>
    <s v="Chengdu"/>
    <x v="0"/>
    <n v="16"/>
  </r>
  <r>
    <x v="139"/>
    <s v="Zoe Maldonado"/>
    <x v="11"/>
    <x v="3"/>
    <x v="1"/>
    <x v="1"/>
    <x v="1"/>
    <n v="49"/>
    <d v="1998-09-25T00:00:00"/>
    <x v="4"/>
    <x v="5"/>
    <x v="22"/>
    <n v="198222"/>
    <n v="0.34"/>
    <n v="67395.48000000001"/>
    <n v="265617"/>
    <x v="2"/>
    <s v="Sao Paulo"/>
    <x v="0"/>
    <n v="27"/>
  </r>
  <r>
    <x v="140"/>
    <s v="Natalia Richardson"/>
    <x v="10"/>
    <x v="1"/>
    <x v="2"/>
    <x v="1"/>
    <x v="2"/>
    <n v="36"/>
    <d v="2017-06-02T00:00:00"/>
    <x v="4"/>
    <x v="4"/>
    <x v="12"/>
    <n v="150825"/>
    <n v="0.1"/>
    <n v="15082.5"/>
    <n v="165908"/>
    <x v="0"/>
    <s v="Columbus"/>
    <x v="0"/>
    <n v="8"/>
  </r>
  <r>
    <x v="141"/>
    <s v="Madeline Contreras"/>
    <x v="1"/>
    <x v="3"/>
    <x v="1"/>
    <x v="1"/>
    <x v="1"/>
    <n v="51"/>
    <d v="1995-10-31T00:00:00"/>
    <x v="6"/>
    <x v="1"/>
    <x v="28"/>
    <n v="59311"/>
    <n v="0"/>
    <n v="0"/>
    <n v="59311"/>
    <x v="2"/>
    <s v="Sao Paulo"/>
    <x v="0"/>
    <n v="29"/>
  </r>
  <r>
    <x v="142"/>
    <s v="Raelynn Espinoza"/>
    <x v="1"/>
    <x v="3"/>
    <x v="1"/>
    <x v="1"/>
    <x v="1"/>
    <n v="46"/>
    <d v="2002-09-12T00:00:00"/>
    <x v="3"/>
    <x v="5"/>
    <x v="18"/>
    <n v="44411"/>
    <n v="0"/>
    <n v="0"/>
    <n v="44411"/>
    <x v="2"/>
    <s v="Manaus"/>
    <x v="0"/>
    <n v="23"/>
  </r>
  <r>
    <x v="143"/>
    <s v="Noah Rojas"/>
    <x v="6"/>
    <x v="4"/>
    <x v="0"/>
    <x v="0"/>
    <x v="1"/>
    <n v="37"/>
    <d v="2019-11-14T00:00:00"/>
    <x v="3"/>
    <x v="7"/>
    <x v="2"/>
    <n v="69408"/>
    <n v="0"/>
    <n v="0"/>
    <n v="69408"/>
    <x v="0"/>
    <s v="Chicago"/>
    <x v="0"/>
    <n v="5"/>
  </r>
  <r>
    <x v="144"/>
    <s v="Jack Ramos"/>
    <x v="5"/>
    <x v="4"/>
    <x v="0"/>
    <x v="0"/>
    <x v="1"/>
    <n v="43"/>
    <d v="2018-06-17T00:00:00"/>
    <x v="2"/>
    <x v="4"/>
    <x v="3"/>
    <n v="96759"/>
    <n v="0"/>
    <n v="0"/>
    <n v="96759"/>
    <x v="2"/>
    <s v="Manaus"/>
    <x v="0"/>
    <n v="7"/>
  </r>
  <r>
    <x v="145"/>
    <s v="Riley King"/>
    <x v="4"/>
    <x v="5"/>
    <x v="3"/>
    <x v="1"/>
    <x v="3"/>
    <n v="53"/>
    <d v="2013-08-10T00:00:00"/>
    <x v="0"/>
    <x v="6"/>
    <x v="1"/>
    <n v="163480"/>
    <n v="0.15"/>
    <n v="24522"/>
    <n v="188002"/>
    <x v="0"/>
    <s v="Columbus"/>
    <x v="0"/>
    <n v="12"/>
  </r>
  <r>
    <x v="146"/>
    <s v="Naomi Lee"/>
    <x v="7"/>
    <x v="2"/>
    <x v="2"/>
    <x v="1"/>
    <x v="0"/>
    <n v="58"/>
    <d v="2014-04-15T00:00:00"/>
    <x v="6"/>
    <x v="3"/>
    <x v="11"/>
    <n v="91132"/>
    <n v="0"/>
    <n v="0"/>
    <n v="91132"/>
    <x v="1"/>
    <s v="Beijing"/>
    <x v="0"/>
    <n v="11"/>
  </r>
  <r>
    <x v="147"/>
    <s v="Caleb Jones"/>
    <x v="8"/>
    <x v="5"/>
    <x v="1"/>
    <x v="0"/>
    <x v="2"/>
    <n v="57"/>
    <d v="1996-07-10T00:00:00"/>
    <x v="1"/>
    <x v="8"/>
    <x v="26"/>
    <n v="122825"/>
    <n v="0.08"/>
    <n v="9826"/>
    <n v="132651"/>
    <x v="0"/>
    <s v="Miami"/>
    <x v="0"/>
    <n v="29"/>
  </r>
  <r>
    <x v="148"/>
    <s v="Peyton Alvarado"/>
    <x v="12"/>
    <x v="2"/>
    <x v="0"/>
    <x v="1"/>
    <x v="1"/>
    <n v="31"/>
    <d v="2015-10-24T00:00:00"/>
    <x v="0"/>
    <x v="1"/>
    <x v="9"/>
    <n v="73612"/>
    <n v="0"/>
    <n v="0"/>
    <n v="73612"/>
    <x v="2"/>
    <s v="Rio de Janeiro"/>
    <x v="0"/>
    <n v="9"/>
  </r>
  <r>
    <x v="149"/>
    <s v="Luca Liu"/>
    <x v="14"/>
    <x v="1"/>
    <x v="0"/>
    <x v="0"/>
    <x v="0"/>
    <n v="40"/>
    <d v="2007-06-22T00:00:00"/>
    <x v="4"/>
    <x v="4"/>
    <x v="25"/>
    <n v="70561"/>
    <n v="0"/>
    <n v="0"/>
    <n v="70561"/>
    <x v="1"/>
    <s v="Chongqing"/>
    <x v="0"/>
    <n v="18"/>
  </r>
  <r>
    <x v="150"/>
    <s v="Christian Johnson"/>
    <x v="28"/>
    <x v="2"/>
    <x v="2"/>
    <x v="0"/>
    <x v="3"/>
    <n v="47"/>
    <d v="2008-05-25T00:00:00"/>
    <x v="2"/>
    <x v="9"/>
    <x v="24"/>
    <n v="60331"/>
    <n v="0"/>
    <n v="0"/>
    <n v="60331"/>
    <x v="0"/>
    <s v="Miami"/>
    <x v="0"/>
    <n v="17"/>
  </r>
  <r>
    <x v="151"/>
    <s v="Kinsley Gonzales"/>
    <x v="9"/>
    <x v="2"/>
    <x v="0"/>
    <x v="1"/>
    <x v="1"/>
    <n v="51"/>
    <d v="2007-05-05T00:00:00"/>
    <x v="0"/>
    <x v="9"/>
    <x v="25"/>
    <n v="48772"/>
    <n v="0"/>
    <n v="0"/>
    <n v="48772"/>
    <x v="2"/>
    <s v="Rio de Janeiro"/>
    <x v="0"/>
    <n v="18"/>
  </r>
  <r>
    <x v="152"/>
    <s v="Hunter Yoon"/>
    <x v="2"/>
    <x v="2"/>
    <x v="2"/>
    <x v="0"/>
    <x v="0"/>
    <n v="57"/>
    <d v="2020-10-02T00:00:00"/>
    <x v="4"/>
    <x v="1"/>
    <x v="17"/>
    <n v="90599"/>
    <n v="0"/>
    <n v="0"/>
    <n v="90599"/>
    <x v="1"/>
    <s v="Chongqing"/>
    <x v="0"/>
    <n v="5"/>
  </r>
  <r>
    <x v="153"/>
    <s v="Elias Dixon"/>
    <x v="17"/>
    <x v="2"/>
    <x v="1"/>
    <x v="0"/>
    <x v="2"/>
    <n v="46"/>
    <d v="2021-11-22T00:00:00"/>
    <x v="5"/>
    <x v="7"/>
    <x v="13"/>
    <n v="55643"/>
    <n v="0"/>
    <n v="0"/>
    <n v="55643"/>
    <x v="0"/>
    <s v="Columbus"/>
    <x v="0"/>
    <n v="3"/>
  </r>
  <r>
    <x v="154"/>
    <s v="Owen Guerrero"/>
    <x v="26"/>
    <x v="0"/>
    <x v="1"/>
    <x v="0"/>
    <x v="1"/>
    <n v="40"/>
    <d v="2022-09-03T00:00:00"/>
    <x v="0"/>
    <x v="5"/>
    <x v="0"/>
    <n v="97938"/>
    <n v="0"/>
    <n v="0"/>
    <n v="97938"/>
    <x v="0"/>
    <s v="Chicago"/>
    <x v="0"/>
    <n v="3"/>
  </r>
  <r>
    <x v="155"/>
    <s v="Lucas Lo"/>
    <x v="1"/>
    <x v="3"/>
    <x v="2"/>
    <x v="0"/>
    <x v="0"/>
    <n v="43"/>
    <d v="2004-01-18T00:00:00"/>
    <x v="2"/>
    <x v="11"/>
    <x v="5"/>
    <n v="49627"/>
    <n v="0"/>
    <n v="0"/>
    <n v="49627"/>
    <x v="1"/>
    <s v="Beijing"/>
    <x v="0"/>
    <n v="21"/>
  </r>
  <r>
    <x v="156"/>
    <s v="Hunter Mitchell"/>
    <x v="17"/>
    <x v="2"/>
    <x v="2"/>
    <x v="0"/>
    <x v="2"/>
    <n v="54"/>
    <d v="2021-04-17T00:00:00"/>
    <x v="0"/>
    <x v="3"/>
    <x v="13"/>
    <n v="58137"/>
    <n v="0"/>
    <n v="0"/>
    <n v="58137"/>
    <x v="0"/>
    <s v="Columbus"/>
    <x v="0"/>
    <n v="4"/>
  </r>
  <r>
    <x v="157"/>
    <s v="Eliana Bailey"/>
    <x v="10"/>
    <x v="1"/>
    <x v="2"/>
    <x v="1"/>
    <x v="3"/>
    <n v="27"/>
    <d v="2021-01-02T00:00:00"/>
    <x v="0"/>
    <x v="11"/>
    <x v="13"/>
    <n v="120586"/>
    <n v="0.15"/>
    <n v="18087.899999999998"/>
    <n v="138674"/>
    <x v="0"/>
    <s v="Seattle"/>
    <x v="0"/>
    <n v="4"/>
  </r>
  <r>
    <x v="158"/>
    <s v="Gabriella Choi"/>
    <x v="6"/>
    <x v="3"/>
    <x v="0"/>
    <x v="1"/>
    <x v="0"/>
    <n v="56"/>
    <d v="1999-08-15T00:00:00"/>
    <x v="2"/>
    <x v="6"/>
    <x v="7"/>
    <n v="72925"/>
    <n v="0"/>
    <n v="0"/>
    <n v="72925"/>
    <x v="0"/>
    <s v="Seattle"/>
    <x v="0"/>
    <n v="26"/>
  </r>
  <r>
    <x v="159"/>
    <s v="Evelyn Alvarado"/>
    <x v="2"/>
    <x v="2"/>
    <x v="3"/>
    <x v="1"/>
    <x v="1"/>
    <n v="36"/>
    <d v="2022-08-12T00:00:00"/>
    <x v="4"/>
    <x v="6"/>
    <x v="0"/>
    <n v="83548"/>
    <n v="0"/>
    <n v="0"/>
    <n v="83548"/>
    <x v="0"/>
    <s v="Miami"/>
    <x v="0"/>
    <n v="3"/>
  </r>
  <r>
    <x v="160"/>
    <s v="Wyatt Chan"/>
    <x v="8"/>
    <x v="4"/>
    <x v="0"/>
    <x v="0"/>
    <x v="0"/>
    <n v="53"/>
    <d v="2005-06-28T00:00:00"/>
    <x v="6"/>
    <x v="4"/>
    <x v="4"/>
    <n v="128226"/>
    <n v="0.08"/>
    <n v="10258.08"/>
    <n v="138484"/>
    <x v="1"/>
    <s v="Shanghai"/>
    <x v="0"/>
    <n v="20"/>
  </r>
  <r>
    <x v="161"/>
    <s v="Sarah Johnson"/>
    <x v="4"/>
    <x v="0"/>
    <x v="2"/>
    <x v="1"/>
    <x v="2"/>
    <n v="31"/>
    <d v="2018-03-06T00:00:00"/>
    <x v="6"/>
    <x v="2"/>
    <x v="3"/>
    <n v="150653"/>
    <n v="0.24"/>
    <n v="36156.720000000001"/>
    <n v="186810"/>
    <x v="0"/>
    <s v="Austin"/>
    <x v="10"/>
    <n v="1"/>
  </r>
  <r>
    <x v="162"/>
    <s v="Brooks Evans"/>
    <x v="29"/>
    <x v="1"/>
    <x v="3"/>
    <x v="0"/>
    <x v="2"/>
    <n v="45"/>
    <d v="2016-05-04T00:00:00"/>
    <x v="1"/>
    <x v="9"/>
    <x v="20"/>
    <n v="80989"/>
    <n v="0"/>
    <n v="0"/>
    <n v="80989"/>
    <x v="0"/>
    <s v="Columbus"/>
    <x v="0"/>
    <n v="9"/>
  </r>
  <r>
    <x v="163"/>
    <s v="Isaiah Dixon"/>
    <x v="30"/>
    <x v="0"/>
    <x v="1"/>
    <x v="0"/>
    <x v="2"/>
    <n v="29"/>
    <d v="2022-02-27T00:00:00"/>
    <x v="2"/>
    <x v="0"/>
    <x v="0"/>
    <n v="74901"/>
    <n v="0"/>
    <n v="0"/>
    <n v="74901"/>
    <x v="0"/>
    <s v="Austin"/>
    <x v="0"/>
    <n v="3"/>
  </r>
  <r>
    <x v="164"/>
    <s v="Addison Lo"/>
    <x v="18"/>
    <x v="2"/>
    <x v="2"/>
    <x v="1"/>
    <x v="0"/>
    <n v="27"/>
    <d v="2020-08-28T00:00:00"/>
    <x v="4"/>
    <x v="6"/>
    <x v="17"/>
    <n v="68712"/>
    <n v="0"/>
    <n v="0"/>
    <n v="68712"/>
    <x v="0"/>
    <s v="Columbus"/>
    <x v="0"/>
    <n v="5"/>
  </r>
  <r>
    <x v="165"/>
    <s v="Nolan Howard"/>
    <x v="31"/>
    <x v="0"/>
    <x v="2"/>
    <x v="0"/>
    <x v="2"/>
    <n v="26"/>
    <d v="2022-04-18T00:00:00"/>
    <x v="5"/>
    <x v="3"/>
    <x v="0"/>
    <n v="82963"/>
    <n v="0"/>
    <n v="0"/>
    <n v="82963"/>
    <x v="0"/>
    <s v="Austin"/>
    <x v="11"/>
    <n v="0"/>
  </r>
  <r>
    <x v="166"/>
    <s v="Paisley Dominguez"/>
    <x v="25"/>
    <x v="0"/>
    <x v="2"/>
    <x v="1"/>
    <x v="1"/>
    <n v="53"/>
    <d v="2009-06-14T00:00:00"/>
    <x v="2"/>
    <x v="4"/>
    <x v="6"/>
    <n v="123203"/>
    <n v="0.1"/>
    <n v="12320.300000000001"/>
    <n v="135523"/>
    <x v="0"/>
    <s v="Austin"/>
    <x v="0"/>
    <n v="16"/>
  </r>
  <r>
    <x v="167"/>
    <s v="Eliana Ho"/>
    <x v="4"/>
    <x v="3"/>
    <x v="1"/>
    <x v="1"/>
    <x v="0"/>
    <n v="64"/>
    <d v="2012-09-05T00:00:00"/>
    <x v="1"/>
    <x v="5"/>
    <x v="21"/>
    <n v="195416"/>
    <n v="0.22"/>
    <n v="42991.519999999997"/>
    <n v="238408"/>
    <x v="1"/>
    <s v="Chengdu"/>
    <x v="0"/>
    <n v="13"/>
  </r>
  <r>
    <x v="168"/>
    <s v="Charles Miller"/>
    <x v="4"/>
    <x v="5"/>
    <x v="0"/>
    <x v="0"/>
    <x v="3"/>
    <n v="32"/>
    <d v="2018-06-07T00:00:00"/>
    <x v="3"/>
    <x v="4"/>
    <x v="3"/>
    <n v="156418"/>
    <n v="0.23"/>
    <n v="35976.14"/>
    <n v="192394"/>
    <x v="0"/>
    <s v="Columbus"/>
    <x v="0"/>
    <n v="7"/>
  </r>
  <r>
    <x v="169"/>
    <s v="Mia Jiang"/>
    <x v="11"/>
    <x v="3"/>
    <x v="0"/>
    <x v="1"/>
    <x v="0"/>
    <n v="42"/>
    <d v="2015-06-19T00:00:00"/>
    <x v="4"/>
    <x v="4"/>
    <x v="9"/>
    <n v="255892"/>
    <n v="0.38"/>
    <n v="97238.96"/>
    <n v="353131"/>
    <x v="0"/>
    <s v="Miami"/>
    <x v="0"/>
    <n v="10"/>
  </r>
  <r>
    <x v="170"/>
    <s v="Skylar Parker"/>
    <x v="13"/>
    <x v="2"/>
    <x v="1"/>
    <x v="1"/>
    <x v="2"/>
    <n v="31"/>
    <d v="2018-08-05T00:00:00"/>
    <x v="2"/>
    <x v="6"/>
    <x v="3"/>
    <n v="96195"/>
    <n v="0"/>
    <n v="0"/>
    <n v="96195"/>
    <x v="0"/>
    <s v="Phoenix"/>
    <x v="0"/>
    <n v="7"/>
  </r>
  <r>
    <x v="171"/>
    <s v="Zoey Leung"/>
    <x v="2"/>
    <x v="2"/>
    <x v="2"/>
    <x v="1"/>
    <x v="0"/>
    <n v="40"/>
    <d v="2007-09-27T00:00:00"/>
    <x v="3"/>
    <x v="5"/>
    <x v="25"/>
    <n v="77637"/>
    <n v="0"/>
    <n v="0"/>
    <n v="77637"/>
    <x v="1"/>
    <s v="Chongqing"/>
    <x v="12"/>
    <n v="9"/>
  </r>
  <r>
    <x v="172"/>
    <s v="Austin Moua"/>
    <x v="16"/>
    <x v="0"/>
    <x v="2"/>
    <x v="0"/>
    <x v="0"/>
    <n v="46"/>
    <d v="2003-05-27T00:00:00"/>
    <x v="6"/>
    <x v="9"/>
    <x v="10"/>
    <n v="79294"/>
    <n v="0"/>
    <n v="0"/>
    <n v="79294"/>
    <x v="1"/>
    <s v="Chengdu"/>
    <x v="0"/>
    <n v="22"/>
  </r>
  <r>
    <x v="173"/>
    <s v="Christopher Robinson"/>
    <x v="11"/>
    <x v="4"/>
    <x v="3"/>
    <x v="0"/>
    <x v="2"/>
    <n v="35"/>
    <d v="2016-07-11T00:00:00"/>
    <x v="5"/>
    <x v="8"/>
    <x v="20"/>
    <n v="254287"/>
    <n v="0.31"/>
    <n v="78828.97"/>
    <n v="333116"/>
    <x v="0"/>
    <s v="Austin"/>
    <x v="13"/>
    <n v="6"/>
  </r>
  <r>
    <x v="174"/>
    <s v="Jayden Zhang"/>
    <x v="19"/>
    <x v="2"/>
    <x v="3"/>
    <x v="0"/>
    <x v="0"/>
    <n v="64"/>
    <d v="1994-06-27T00:00:00"/>
    <x v="5"/>
    <x v="4"/>
    <x v="29"/>
    <n v="70516"/>
    <n v="0"/>
    <n v="0"/>
    <n v="70516"/>
    <x v="1"/>
    <s v="Chengdu"/>
    <x v="0"/>
    <n v="31"/>
  </r>
  <r>
    <x v="175"/>
    <s v="Cora Mejia"/>
    <x v="5"/>
    <x v="3"/>
    <x v="2"/>
    <x v="1"/>
    <x v="1"/>
    <n v="58"/>
    <d v="2014-06-07T00:00:00"/>
    <x v="0"/>
    <x v="4"/>
    <x v="11"/>
    <n v="98296"/>
    <n v="0"/>
    <n v="0"/>
    <n v="98296"/>
    <x v="2"/>
    <s v="Manaus"/>
    <x v="0"/>
    <n v="11"/>
  </r>
  <r>
    <x v="176"/>
    <s v="Julian Harris"/>
    <x v="32"/>
    <x v="0"/>
    <x v="0"/>
    <x v="0"/>
    <x v="2"/>
    <n v="61"/>
    <d v="2015-12-30T00:00:00"/>
    <x v="1"/>
    <x v="10"/>
    <x v="9"/>
    <n v="98565"/>
    <n v="0"/>
    <n v="0"/>
    <n v="98565"/>
    <x v="0"/>
    <s v="Phoenix"/>
    <x v="0"/>
    <n v="9"/>
  </r>
  <r>
    <x v="177"/>
    <s v="Anthony Espinoza"/>
    <x v="6"/>
    <x v="4"/>
    <x v="0"/>
    <x v="0"/>
    <x v="1"/>
    <n v="41"/>
    <d v="2020-11-16T00:00:00"/>
    <x v="5"/>
    <x v="7"/>
    <x v="17"/>
    <n v="59149"/>
    <n v="0"/>
    <n v="0"/>
    <n v="59149"/>
    <x v="2"/>
    <s v="Rio de Janeiro"/>
    <x v="0"/>
    <n v="4"/>
  </r>
  <r>
    <x v="178"/>
    <s v="Aubrey Ruiz"/>
    <x v="6"/>
    <x v="5"/>
    <x v="3"/>
    <x v="1"/>
    <x v="1"/>
    <n v="25"/>
    <d v="2021-01-11T00:00:00"/>
    <x v="5"/>
    <x v="11"/>
    <x v="13"/>
    <n v="70126"/>
    <n v="0"/>
    <n v="0"/>
    <n v="70126"/>
    <x v="2"/>
    <s v="Sao Paulo"/>
    <x v="0"/>
    <n v="4"/>
  </r>
  <r>
    <x v="179"/>
    <s v="Piper Tang"/>
    <x v="11"/>
    <x v="6"/>
    <x v="0"/>
    <x v="1"/>
    <x v="0"/>
    <n v="50"/>
    <d v="2011-07-28T00:00:00"/>
    <x v="3"/>
    <x v="8"/>
    <x v="8"/>
    <n v="216787"/>
    <n v="0.33"/>
    <n v="71539.710000000006"/>
    <n v="288327"/>
    <x v="1"/>
    <s v="Beijing"/>
    <x v="0"/>
    <n v="14"/>
  </r>
  <r>
    <x v="180"/>
    <s v="Colton Delgado"/>
    <x v="10"/>
    <x v="3"/>
    <x v="2"/>
    <x v="0"/>
    <x v="1"/>
    <n v="61"/>
    <d v="2006-10-22T00:00:00"/>
    <x v="2"/>
    <x v="1"/>
    <x v="16"/>
    <n v="156512"/>
    <n v="0.13"/>
    <n v="20346.560000000001"/>
    <n v="176859"/>
    <x v="2"/>
    <s v="Rio de Janeiro"/>
    <x v="0"/>
    <n v="18"/>
  </r>
  <r>
    <x v="181"/>
    <s v="Madeline Chung"/>
    <x v="1"/>
    <x v="4"/>
    <x v="2"/>
    <x v="1"/>
    <x v="0"/>
    <n v="63"/>
    <d v="2011-05-26T00:00:00"/>
    <x v="3"/>
    <x v="9"/>
    <x v="8"/>
    <n v="44444"/>
    <n v="0"/>
    <n v="0"/>
    <n v="44444"/>
    <x v="0"/>
    <s v="Miami"/>
    <x v="14"/>
    <n v="4"/>
  </r>
  <r>
    <x v="182"/>
    <s v="Ariana Sharma"/>
    <x v="11"/>
    <x v="1"/>
    <x v="2"/>
    <x v="1"/>
    <x v="0"/>
    <n v="45"/>
    <d v="2014-01-24T00:00:00"/>
    <x v="4"/>
    <x v="11"/>
    <x v="11"/>
    <n v="257725"/>
    <n v="0.34"/>
    <n v="87626.5"/>
    <n v="345352"/>
    <x v="0"/>
    <s v="Seattle"/>
    <x v="15"/>
    <n v="8"/>
  </r>
  <r>
    <x v="183"/>
    <s v="Julian Marquez"/>
    <x v="10"/>
    <x v="3"/>
    <x v="3"/>
    <x v="0"/>
    <x v="1"/>
    <n v="33"/>
    <d v="2013-09-14T00:00:00"/>
    <x v="0"/>
    <x v="5"/>
    <x v="1"/>
    <n v="122408"/>
    <n v="0.11"/>
    <n v="13464.88"/>
    <n v="135873"/>
    <x v="2"/>
    <s v="Rio de Janeiro"/>
    <x v="0"/>
    <n v="12"/>
  </r>
  <r>
    <x v="184"/>
    <s v="Logan Reyes"/>
    <x v="31"/>
    <x v="0"/>
    <x v="1"/>
    <x v="0"/>
    <x v="1"/>
    <n v="62"/>
    <d v="1995-04-10T00:00:00"/>
    <x v="5"/>
    <x v="3"/>
    <x v="28"/>
    <n v="78251"/>
    <n v="0"/>
    <n v="0"/>
    <n v="78251"/>
    <x v="2"/>
    <s v="Sao Paulo"/>
    <x v="16"/>
    <n v="24"/>
  </r>
  <r>
    <x v="185"/>
    <s v="Penelope Mai"/>
    <x v="11"/>
    <x v="1"/>
    <x v="1"/>
    <x v="1"/>
    <x v="0"/>
    <n v="43"/>
    <d v="2004-05-02T00:00:00"/>
    <x v="2"/>
    <x v="9"/>
    <x v="5"/>
    <n v="252938"/>
    <n v="0.35"/>
    <n v="88528.299999999988"/>
    <n v="341466"/>
    <x v="0"/>
    <s v="Austin"/>
    <x v="0"/>
    <n v="21"/>
  </r>
  <r>
    <x v="186"/>
    <s v="Ryan Reed"/>
    <x v="5"/>
    <x v="1"/>
    <x v="0"/>
    <x v="0"/>
    <x v="3"/>
    <n v="48"/>
    <d v="2019-10-28T00:00:00"/>
    <x v="5"/>
    <x v="1"/>
    <x v="2"/>
    <n v="90296"/>
    <n v="0"/>
    <n v="0"/>
    <n v="90296"/>
    <x v="0"/>
    <s v="Austin"/>
    <x v="0"/>
    <n v="5"/>
  </r>
  <r>
    <x v="187"/>
    <s v="Grayson Hwang"/>
    <x v="5"/>
    <x v="4"/>
    <x v="1"/>
    <x v="0"/>
    <x v="0"/>
    <n v="42"/>
    <d v="2013-04-23T00:00:00"/>
    <x v="6"/>
    <x v="3"/>
    <x v="1"/>
    <n v="91689"/>
    <n v="0"/>
    <n v="0"/>
    <n v="91689"/>
    <x v="1"/>
    <s v="Chongqing"/>
    <x v="0"/>
    <n v="12"/>
  </r>
  <r>
    <x v="188"/>
    <s v="Ezra Tan"/>
    <x v="10"/>
    <x v="4"/>
    <x v="1"/>
    <x v="0"/>
    <x v="0"/>
    <n v="49"/>
    <d v="1999-12-22T00:00:00"/>
    <x v="1"/>
    <x v="10"/>
    <x v="7"/>
    <n v="158028"/>
    <n v="0.12"/>
    <n v="18963.36"/>
    <n v="176991"/>
    <x v="1"/>
    <s v="Chengdu"/>
    <x v="0"/>
    <n v="25"/>
  </r>
  <r>
    <x v="189"/>
    <s v="David Ha"/>
    <x v="29"/>
    <x v="1"/>
    <x v="1"/>
    <x v="0"/>
    <x v="0"/>
    <n v="33"/>
    <d v="2022-07-27T00:00:00"/>
    <x v="1"/>
    <x v="8"/>
    <x v="0"/>
    <n v="89759"/>
    <n v="0"/>
    <n v="0"/>
    <n v="89759"/>
    <x v="1"/>
    <s v="Chongqing"/>
    <x v="0"/>
    <n v="3"/>
  </r>
  <r>
    <x v="190"/>
    <s v="Lillian Vang"/>
    <x v="13"/>
    <x v="2"/>
    <x v="2"/>
    <x v="1"/>
    <x v="0"/>
    <n v="39"/>
    <d v="2015-09-13T00:00:00"/>
    <x v="2"/>
    <x v="5"/>
    <x v="9"/>
    <n v="78640"/>
    <n v="0"/>
    <n v="0"/>
    <n v="78640"/>
    <x v="1"/>
    <s v="Chongqing"/>
    <x v="0"/>
    <n v="10"/>
  </r>
  <r>
    <x v="191"/>
    <s v="Sofia Zhang"/>
    <x v="1"/>
    <x v="4"/>
    <x v="3"/>
    <x v="1"/>
    <x v="0"/>
    <n v="51"/>
    <d v="2005-01-11T00:00:00"/>
    <x v="6"/>
    <x v="11"/>
    <x v="4"/>
    <n v="55368"/>
    <n v="0"/>
    <n v="0"/>
    <n v="55368"/>
    <x v="0"/>
    <s v="Chicago"/>
    <x v="0"/>
    <n v="20"/>
  </r>
  <r>
    <x v="192"/>
    <s v="Athena Daniels"/>
    <x v="2"/>
    <x v="2"/>
    <x v="3"/>
    <x v="1"/>
    <x v="2"/>
    <n v="49"/>
    <d v="2021-05-23T00:00:00"/>
    <x v="2"/>
    <x v="9"/>
    <x v="13"/>
    <n v="78164"/>
    <n v="0"/>
    <n v="0"/>
    <n v="78164"/>
    <x v="0"/>
    <s v="Seattle"/>
    <x v="0"/>
    <n v="4"/>
  </r>
  <r>
    <x v="193"/>
    <s v="Jameson Shin"/>
    <x v="5"/>
    <x v="5"/>
    <x v="2"/>
    <x v="0"/>
    <x v="0"/>
    <n v="30"/>
    <d v="2020-05-14T00:00:00"/>
    <x v="3"/>
    <x v="9"/>
    <x v="17"/>
    <n v="76014"/>
    <n v="0"/>
    <n v="0"/>
    <n v="76014"/>
    <x v="1"/>
    <s v="Chengdu"/>
    <x v="0"/>
    <n v="5"/>
  </r>
  <r>
    <x v="194"/>
    <s v="Everly Avila"/>
    <x v="14"/>
    <x v="1"/>
    <x v="0"/>
    <x v="1"/>
    <x v="1"/>
    <n v="41"/>
    <d v="2015-11-13T00:00:00"/>
    <x v="4"/>
    <x v="7"/>
    <x v="9"/>
    <n v="61403"/>
    <n v="0"/>
    <n v="0"/>
    <n v="61403"/>
    <x v="0"/>
    <s v="Miami"/>
    <x v="0"/>
    <n v="9"/>
  </r>
  <r>
    <x v="195"/>
    <s v="Liam Nelson"/>
    <x v="13"/>
    <x v="2"/>
    <x v="2"/>
    <x v="0"/>
    <x v="3"/>
    <n v="58"/>
    <d v="2010-12-17T00:00:00"/>
    <x v="4"/>
    <x v="10"/>
    <x v="15"/>
    <n v="80720"/>
    <n v="0"/>
    <n v="0"/>
    <n v="80720"/>
    <x v="0"/>
    <s v="Columbus"/>
    <x v="0"/>
    <n v="14"/>
  </r>
  <r>
    <x v="196"/>
    <s v="Theodore Lai"/>
    <x v="7"/>
    <x v="2"/>
    <x v="3"/>
    <x v="0"/>
    <x v="0"/>
    <n v="55"/>
    <d v="2008-12-27T00:00:00"/>
    <x v="0"/>
    <x v="10"/>
    <x v="24"/>
    <n v="94026"/>
    <n v="0"/>
    <n v="0"/>
    <n v="94026"/>
    <x v="1"/>
    <s v="Shanghai"/>
    <x v="0"/>
    <n v="16"/>
  </r>
  <r>
    <x v="197"/>
    <s v="Caroline Do"/>
    <x v="1"/>
    <x v="5"/>
    <x v="2"/>
    <x v="1"/>
    <x v="0"/>
    <n v="40"/>
    <d v="2016-03-06T00:00:00"/>
    <x v="2"/>
    <x v="2"/>
    <x v="20"/>
    <n v="56963"/>
    <n v="0"/>
    <n v="0"/>
    <n v="56963"/>
    <x v="0"/>
    <s v="Chicago"/>
    <x v="0"/>
    <n v="9"/>
  </r>
  <r>
    <x v="198"/>
    <s v="Josiah Ramos"/>
    <x v="8"/>
    <x v="4"/>
    <x v="3"/>
    <x v="0"/>
    <x v="1"/>
    <n v="41"/>
    <d v="2014-01-08T00:00:00"/>
    <x v="1"/>
    <x v="11"/>
    <x v="11"/>
    <n v="113246"/>
    <n v="0.06"/>
    <n v="6794.7599999999993"/>
    <n v="120041"/>
    <x v="0"/>
    <s v="Chicago"/>
    <x v="0"/>
    <n v="11"/>
  </r>
  <r>
    <x v="199"/>
    <s v="Colton Alexander"/>
    <x v="26"/>
    <x v="0"/>
    <x v="2"/>
    <x v="0"/>
    <x v="2"/>
    <n v="45"/>
    <d v="2005-08-09T00:00:00"/>
    <x v="6"/>
    <x v="6"/>
    <x v="4"/>
    <n v="76416"/>
    <n v="0"/>
    <n v="0"/>
    <n v="76416"/>
    <x v="0"/>
    <s v="Phoenix"/>
    <x v="0"/>
    <n v="20"/>
  </r>
  <r>
    <x v="200"/>
    <s v="Charles Ramos"/>
    <x v="5"/>
    <x v="3"/>
    <x v="1"/>
    <x v="0"/>
    <x v="1"/>
    <n v="57"/>
    <d v="2010-04-04T00:00:00"/>
    <x v="2"/>
    <x v="3"/>
    <x v="15"/>
    <n v="74597"/>
    <n v="0"/>
    <n v="0"/>
    <n v="74597"/>
    <x v="0"/>
    <s v="Austin"/>
    <x v="17"/>
    <n v="5"/>
  </r>
  <r>
    <x v="201"/>
    <s v="Ellie Wilson"/>
    <x v="4"/>
    <x v="2"/>
    <x v="0"/>
    <x v="1"/>
    <x v="2"/>
    <n v="65"/>
    <d v="1996-08-31T00:00:00"/>
    <x v="0"/>
    <x v="6"/>
    <x v="26"/>
    <n v="164102"/>
    <n v="0.3"/>
    <n v="49230.6"/>
    <n v="213333"/>
    <x v="0"/>
    <s v="Columbus"/>
    <x v="0"/>
    <n v="29"/>
  </r>
  <r>
    <x v="202"/>
    <s v="Peyton Powell"/>
    <x v="7"/>
    <x v="2"/>
    <x v="2"/>
    <x v="1"/>
    <x v="2"/>
    <n v="44"/>
    <d v="2003-02-16T00:00:00"/>
    <x v="2"/>
    <x v="0"/>
    <x v="10"/>
    <n v="74431"/>
    <n v="0"/>
    <n v="0"/>
    <n v="74431"/>
    <x v="0"/>
    <s v="Phoenix"/>
    <x v="0"/>
    <n v="22"/>
  </r>
  <r>
    <x v="203"/>
    <s v="Hailey Rojas"/>
    <x v="1"/>
    <x v="4"/>
    <x v="3"/>
    <x v="1"/>
    <x v="1"/>
    <n v="52"/>
    <d v="2014-07-15T00:00:00"/>
    <x v="6"/>
    <x v="8"/>
    <x v="11"/>
    <n v="43378"/>
    <n v="0"/>
    <n v="0"/>
    <n v="43378"/>
    <x v="0"/>
    <s v="Miami"/>
    <x v="0"/>
    <n v="11"/>
  </r>
  <r>
    <x v="204"/>
    <s v="Kai Singh"/>
    <x v="1"/>
    <x v="4"/>
    <x v="1"/>
    <x v="0"/>
    <x v="0"/>
    <n v="52"/>
    <d v="2001-04-19T00:00:00"/>
    <x v="3"/>
    <x v="3"/>
    <x v="19"/>
    <n v="47587"/>
    <n v="0"/>
    <n v="0"/>
    <n v="47587"/>
    <x v="0"/>
    <s v="Chicago"/>
    <x v="0"/>
    <n v="24"/>
  </r>
  <r>
    <x v="205"/>
    <s v="Ryan Rivera"/>
    <x v="4"/>
    <x v="6"/>
    <x v="3"/>
    <x v="0"/>
    <x v="1"/>
    <n v="53"/>
    <d v="2001-11-29T00:00:00"/>
    <x v="3"/>
    <x v="7"/>
    <x v="19"/>
    <n v="179983"/>
    <n v="0.16"/>
    <n v="28797.279999999999"/>
    <n v="208780"/>
    <x v="0"/>
    <s v="Phoenix"/>
    <x v="0"/>
    <n v="23"/>
  </r>
  <r>
    <x v="206"/>
    <s v="Everett Lu"/>
    <x v="8"/>
    <x v="5"/>
    <x v="2"/>
    <x v="0"/>
    <x v="0"/>
    <n v="31"/>
    <d v="2021-11-28T00:00:00"/>
    <x v="2"/>
    <x v="7"/>
    <x v="13"/>
    <n v="115565"/>
    <n v="0.06"/>
    <n v="6933.9"/>
    <n v="122499"/>
    <x v="0"/>
    <s v="Phoenix"/>
    <x v="0"/>
    <n v="3"/>
  </r>
  <r>
    <x v="207"/>
    <s v="Layla Nunez"/>
    <x v="8"/>
    <x v="4"/>
    <x v="0"/>
    <x v="1"/>
    <x v="1"/>
    <n v="63"/>
    <d v="2017-09-10T00:00:00"/>
    <x v="2"/>
    <x v="5"/>
    <x v="12"/>
    <n v="126064"/>
    <n v="0.05"/>
    <n v="6303.2000000000007"/>
    <n v="132367"/>
    <x v="0"/>
    <s v="Miami"/>
    <x v="0"/>
    <n v="8"/>
  </r>
  <r>
    <x v="208"/>
    <s v="Liliana Collins"/>
    <x v="10"/>
    <x v="6"/>
    <x v="3"/>
    <x v="1"/>
    <x v="3"/>
    <n v="39"/>
    <d v="2013-01-18T00:00:00"/>
    <x v="4"/>
    <x v="11"/>
    <x v="1"/>
    <n v="151666"/>
    <n v="0.13"/>
    <n v="19716.580000000002"/>
    <n v="171383"/>
    <x v="0"/>
    <s v="Chicago"/>
    <x v="18"/>
    <n v="5"/>
  </r>
  <r>
    <x v="209"/>
    <s v="Ezekiel Jenkins"/>
    <x v="12"/>
    <x v="2"/>
    <x v="3"/>
    <x v="0"/>
    <x v="2"/>
    <n v="63"/>
    <d v="2000-04-11T00:00:00"/>
    <x v="6"/>
    <x v="3"/>
    <x v="27"/>
    <n v="99215"/>
    <n v="0"/>
    <n v="0"/>
    <n v="99215"/>
    <x v="0"/>
    <s v="Seattle"/>
    <x v="0"/>
    <n v="25"/>
  </r>
  <r>
    <x v="210"/>
    <s v="Christopher Wang"/>
    <x v="18"/>
    <x v="2"/>
    <x v="0"/>
    <x v="0"/>
    <x v="0"/>
    <n v="27"/>
    <d v="2020-08-23T00:00:00"/>
    <x v="2"/>
    <x v="6"/>
    <x v="17"/>
    <n v="71502"/>
    <n v="0"/>
    <n v="0"/>
    <n v="71502"/>
    <x v="1"/>
    <s v="Chongqing"/>
    <x v="0"/>
    <n v="5"/>
  </r>
  <r>
    <x v="211"/>
    <s v="Savannah Rodriguez"/>
    <x v="4"/>
    <x v="1"/>
    <x v="1"/>
    <x v="1"/>
    <x v="1"/>
    <n v="30"/>
    <d v="2022-11-18T00:00:00"/>
    <x v="4"/>
    <x v="7"/>
    <x v="0"/>
    <n v="168050"/>
    <n v="0.24"/>
    <n v="40332"/>
    <n v="208382"/>
    <x v="2"/>
    <s v="Manaus"/>
    <x v="0"/>
    <n v="2"/>
  </r>
  <r>
    <x v="212"/>
    <s v="Lyla Turner"/>
    <x v="10"/>
    <x v="1"/>
    <x v="3"/>
    <x v="1"/>
    <x v="2"/>
    <n v="51"/>
    <d v="2003-11-07T00:00:00"/>
    <x v="4"/>
    <x v="7"/>
    <x v="10"/>
    <n v="130862"/>
    <n v="0.12"/>
    <n v="15703.439999999999"/>
    <n v="146565"/>
    <x v="0"/>
    <s v="Seattle"/>
    <x v="0"/>
    <n v="21"/>
  </r>
  <r>
    <x v="213"/>
    <s v="Adrian Ngo"/>
    <x v="19"/>
    <x v="2"/>
    <x v="2"/>
    <x v="0"/>
    <x v="0"/>
    <n v="58"/>
    <d v="2021-09-19T00:00:00"/>
    <x v="2"/>
    <x v="5"/>
    <x v="13"/>
    <n v="85716"/>
    <n v="0"/>
    <n v="0"/>
    <n v="85716"/>
    <x v="1"/>
    <s v="Chongqing"/>
    <x v="0"/>
    <n v="4"/>
  </r>
  <r>
    <x v="214"/>
    <s v="Aria Juarez"/>
    <x v="4"/>
    <x v="4"/>
    <x v="1"/>
    <x v="1"/>
    <x v="1"/>
    <n v="62"/>
    <d v="2011-07-30T00:00:00"/>
    <x v="0"/>
    <x v="8"/>
    <x v="8"/>
    <n v="185026"/>
    <n v="0.24"/>
    <n v="44406.239999999998"/>
    <n v="229432"/>
    <x v="2"/>
    <s v="Manaus"/>
    <x v="0"/>
    <n v="14"/>
  </r>
  <r>
    <x v="215"/>
    <s v="Audrey Ramos"/>
    <x v="11"/>
    <x v="1"/>
    <x v="0"/>
    <x v="1"/>
    <x v="1"/>
    <n v="27"/>
    <d v="2021-12-09T00:00:00"/>
    <x v="3"/>
    <x v="10"/>
    <x v="13"/>
    <n v="182403"/>
    <n v="0.3"/>
    <n v="54720.9"/>
    <n v="237124"/>
    <x v="2"/>
    <s v="Sao Paulo"/>
    <x v="0"/>
    <n v="3"/>
  </r>
  <r>
    <x v="216"/>
    <s v="Hazel Cho"/>
    <x v="11"/>
    <x v="3"/>
    <x v="1"/>
    <x v="1"/>
    <x v="0"/>
    <n v="63"/>
    <d v="2004-08-12T00:00:00"/>
    <x v="3"/>
    <x v="6"/>
    <x v="5"/>
    <n v="193531"/>
    <n v="0.4"/>
    <n v="77412.400000000009"/>
    <n v="270943"/>
    <x v="1"/>
    <s v="Shanghai"/>
    <x v="0"/>
    <n v="21"/>
  </r>
  <r>
    <x v="217"/>
    <s v="Iris Chung"/>
    <x v="8"/>
    <x v="2"/>
    <x v="2"/>
    <x v="1"/>
    <x v="0"/>
    <n v="52"/>
    <d v="2013-03-12T00:00:00"/>
    <x v="6"/>
    <x v="2"/>
    <x v="1"/>
    <n v="128301"/>
    <n v="0.06"/>
    <n v="7698.0599999999995"/>
    <n v="135999"/>
    <x v="1"/>
    <s v="Beijing"/>
    <x v="19"/>
    <n v="8"/>
  </r>
  <r>
    <x v="218"/>
    <s v="Thomas Rodriguez"/>
    <x v="1"/>
    <x v="4"/>
    <x v="0"/>
    <x v="0"/>
    <x v="1"/>
    <n v="36"/>
    <d v="2019-10-09T00:00:00"/>
    <x v="1"/>
    <x v="1"/>
    <x v="2"/>
    <n v="51669"/>
    <n v="0"/>
    <n v="0"/>
    <n v="51669"/>
    <x v="2"/>
    <s v="Rio de Janeiro"/>
    <x v="20"/>
    <n v="2"/>
  </r>
  <r>
    <x v="219"/>
    <s v="Avery Lo"/>
    <x v="21"/>
    <x v="0"/>
    <x v="2"/>
    <x v="1"/>
    <x v="0"/>
    <n v="47"/>
    <d v="2001-01-26T00:00:00"/>
    <x v="4"/>
    <x v="11"/>
    <x v="19"/>
    <n v="104289"/>
    <n v="0"/>
    <n v="0"/>
    <n v="104289"/>
    <x v="0"/>
    <s v="Seattle"/>
    <x v="0"/>
    <n v="24"/>
  </r>
  <r>
    <x v="220"/>
    <s v="Gabriel Bell"/>
    <x v="18"/>
    <x v="2"/>
    <x v="3"/>
    <x v="0"/>
    <x v="2"/>
    <n v="27"/>
    <d v="2021-03-21T00:00:00"/>
    <x v="2"/>
    <x v="2"/>
    <x v="13"/>
    <n v="70181"/>
    <n v="0"/>
    <n v="0"/>
    <n v="70181"/>
    <x v="0"/>
    <s v="Phoenix"/>
    <x v="0"/>
    <n v="4"/>
  </r>
  <r>
    <x v="221"/>
    <s v="Gianna Walker"/>
    <x v="20"/>
    <x v="2"/>
    <x v="1"/>
    <x v="1"/>
    <x v="2"/>
    <n v="45"/>
    <d v="2021-03-23T00:00:00"/>
    <x v="6"/>
    <x v="2"/>
    <x v="13"/>
    <n v="92317"/>
    <n v="0.06"/>
    <n v="5539.0199999999995"/>
    <n v="97856"/>
    <x v="0"/>
    <s v="Austin"/>
    <x v="0"/>
    <n v="4"/>
  </r>
  <r>
    <x v="222"/>
    <s v="Axel Bailey"/>
    <x v="5"/>
    <x v="5"/>
    <x v="1"/>
    <x v="0"/>
    <x v="3"/>
    <n v="47"/>
    <d v="2022-12-07T00:00:00"/>
    <x v="1"/>
    <x v="10"/>
    <x v="0"/>
    <n v="99382"/>
    <n v="0"/>
    <n v="0"/>
    <n v="99382"/>
    <x v="0"/>
    <s v="Chicago"/>
    <x v="0"/>
    <n v="2"/>
  </r>
  <r>
    <x v="223"/>
    <s v="Scarlett Green"/>
    <x v="27"/>
    <x v="2"/>
    <x v="3"/>
    <x v="1"/>
    <x v="2"/>
    <n v="26"/>
    <d v="2020-04-21T00:00:00"/>
    <x v="6"/>
    <x v="3"/>
    <x v="17"/>
    <n v="67702"/>
    <n v="0"/>
    <n v="0"/>
    <n v="67702"/>
    <x v="0"/>
    <s v="Seattle"/>
    <x v="0"/>
    <n v="5"/>
  </r>
  <r>
    <x v="224"/>
    <s v="Jackson Wong"/>
    <x v="6"/>
    <x v="4"/>
    <x v="2"/>
    <x v="0"/>
    <x v="0"/>
    <n v="58"/>
    <d v="2006-12-26T00:00:00"/>
    <x v="6"/>
    <x v="10"/>
    <x v="16"/>
    <n v="53133"/>
    <n v="0"/>
    <n v="0"/>
    <n v="53133"/>
    <x v="1"/>
    <s v="Chengdu"/>
    <x v="0"/>
    <n v="18"/>
  </r>
  <r>
    <x v="225"/>
    <s v="Eva Jimenez"/>
    <x v="32"/>
    <x v="0"/>
    <x v="1"/>
    <x v="1"/>
    <x v="1"/>
    <n v="60"/>
    <d v="1998-04-13T00:00:00"/>
    <x v="5"/>
    <x v="3"/>
    <x v="22"/>
    <n v="110554"/>
    <n v="0"/>
    <n v="0"/>
    <n v="110554"/>
    <x v="2"/>
    <s v="Sao Paulo"/>
    <x v="0"/>
    <n v="27"/>
  </r>
  <r>
    <x v="226"/>
    <s v="Ian Ma"/>
    <x v="8"/>
    <x v="4"/>
    <x v="1"/>
    <x v="0"/>
    <x v="0"/>
    <n v="45"/>
    <d v="2010-07-09T00:00:00"/>
    <x v="4"/>
    <x v="8"/>
    <x v="15"/>
    <n v="109221"/>
    <n v="0.09"/>
    <n v="9829.89"/>
    <n v="119051"/>
    <x v="0"/>
    <s v="Austin"/>
    <x v="0"/>
    <n v="15"/>
  </r>
  <r>
    <x v="227"/>
    <s v="Luna Castro"/>
    <x v="3"/>
    <x v="2"/>
    <x v="3"/>
    <x v="1"/>
    <x v="1"/>
    <n v="45"/>
    <d v="2007-02-01T00:00:00"/>
    <x v="3"/>
    <x v="0"/>
    <x v="25"/>
    <n v="88933"/>
    <n v="0"/>
    <n v="0"/>
    <n v="88933"/>
    <x v="0"/>
    <s v="Columbus"/>
    <x v="0"/>
    <n v="18"/>
  </r>
  <r>
    <x v="228"/>
    <s v="Nolan Brooks"/>
    <x v="15"/>
    <x v="6"/>
    <x v="0"/>
    <x v="0"/>
    <x v="2"/>
    <n v="40"/>
    <d v="2014-11-08T00:00:00"/>
    <x v="0"/>
    <x v="7"/>
    <x v="11"/>
    <n v="49342"/>
    <n v="0"/>
    <n v="0"/>
    <n v="49342"/>
    <x v="0"/>
    <s v="Seattle"/>
    <x v="21"/>
    <n v="4"/>
  </r>
  <r>
    <x v="229"/>
    <s v="Jayden Jones"/>
    <x v="18"/>
    <x v="2"/>
    <x v="0"/>
    <x v="0"/>
    <x v="2"/>
    <n v="27"/>
    <d v="2022-07-09T00:00:00"/>
    <x v="0"/>
    <x v="8"/>
    <x v="0"/>
    <n v="74587"/>
    <n v="0"/>
    <n v="0"/>
    <n v="74587"/>
    <x v="0"/>
    <s v="Austin"/>
    <x v="0"/>
    <n v="3"/>
  </r>
  <r>
    <x v="230"/>
    <s v="Asher Hsu"/>
    <x v="5"/>
    <x v="3"/>
    <x v="0"/>
    <x v="0"/>
    <x v="0"/>
    <n v="36"/>
    <d v="2020-03-13T00:00:00"/>
    <x v="4"/>
    <x v="2"/>
    <x v="17"/>
    <n v="80757"/>
    <n v="0"/>
    <n v="0"/>
    <n v="80757"/>
    <x v="1"/>
    <s v="Chongqing"/>
    <x v="0"/>
    <n v="5"/>
  </r>
  <r>
    <x v="231"/>
    <s v="Greyson Lim"/>
    <x v="4"/>
    <x v="4"/>
    <x v="1"/>
    <x v="0"/>
    <x v="0"/>
    <n v="28"/>
    <d v="2022-10-12T00:00:00"/>
    <x v="1"/>
    <x v="1"/>
    <x v="0"/>
    <n v="198662"/>
    <n v="0.25"/>
    <n v="49665.5"/>
    <n v="248328"/>
    <x v="1"/>
    <s v="Beijing"/>
    <x v="0"/>
    <n v="2"/>
  </r>
  <r>
    <x v="232"/>
    <s v="Chloe Miller"/>
    <x v="10"/>
    <x v="5"/>
    <x v="0"/>
    <x v="1"/>
    <x v="3"/>
    <n v="57"/>
    <d v="2021-08-12T00:00:00"/>
    <x v="3"/>
    <x v="6"/>
    <x v="13"/>
    <n v="142506"/>
    <n v="0.11"/>
    <n v="15675.66"/>
    <n v="158182"/>
    <x v="0"/>
    <s v="Austin"/>
    <x v="0"/>
    <n v="4"/>
  </r>
  <r>
    <x v="233"/>
    <s v="Jaxson Brooks"/>
    <x v="28"/>
    <x v="2"/>
    <x v="0"/>
    <x v="0"/>
    <x v="3"/>
    <n v="57"/>
    <d v="2022-07-15T00:00:00"/>
    <x v="4"/>
    <x v="8"/>
    <x v="0"/>
    <n v="77028"/>
    <n v="0"/>
    <n v="0"/>
    <n v="77028"/>
    <x v="0"/>
    <s v="Seattle"/>
    <x v="0"/>
    <n v="3"/>
  </r>
  <r>
    <x v="234"/>
    <s v="Jack Perez"/>
    <x v="18"/>
    <x v="2"/>
    <x v="2"/>
    <x v="0"/>
    <x v="1"/>
    <n v="30"/>
    <d v="2017-01-09T00:00:00"/>
    <x v="5"/>
    <x v="11"/>
    <x v="12"/>
    <n v="80389"/>
    <n v="0"/>
    <n v="0"/>
    <n v="80389"/>
    <x v="2"/>
    <s v="Manaus"/>
    <x v="22"/>
    <n v="0"/>
  </r>
  <r>
    <x v="235"/>
    <s v="Ruby Reed"/>
    <x v="11"/>
    <x v="0"/>
    <x v="3"/>
    <x v="1"/>
    <x v="2"/>
    <n v="26"/>
    <d v="2022-01-23T00:00:00"/>
    <x v="2"/>
    <x v="11"/>
    <x v="0"/>
    <n v="249062"/>
    <n v="0.39"/>
    <n v="97134.180000000008"/>
    <n v="346196"/>
    <x v="0"/>
    <s v="Miami"/>
    <x v="0"/>
    <n v="3"/>
  </r>
  <r>
    <x v="236"/>
    <s v="Ivy Rojas"/>
    <x v="17"/>
    <x v="2"/>
    <x v="1"/>
    <x v="1"/>
    <x v="1"/>
    <n v="53"/>
    <d v="2013-01-08T00:00:00"/>
    <x v="6"/>
    <x v="11"/>
    <x v="1"/>
    <n v="52675"/>
    <n v="0"/>
    <n v="0"/>
    <n v="52675"/>
    <x v="2"/>
    <s v="Manaus"/>
    <x v="0"/>
    <n v="12"/>
  </r>
  <r>
    <x v="237"/>
    <s v="Hudson Wong"/>
    <x v="29"/>
    <x v="1"/>
    <x v="0"/>
    <x v="0"/>
    <x v="0"/>
    <n v="59"/>
    <d v="2014-05-11T00:00:00"/>
    <x v="2"/>
    <x v="9"/>
    <x v="11"/>
    <n v="83365"/>
    <n v="0"/>
    <n v="0"/>
    <n v="83365"/>
    <x v="1"/>
    <s v="Chongqing"/>
    <x v="0"/>
    <n v="11"/>
  </r>
  <r>
    <x v="238"/>
    <s v="Ryan Yi"/>
    <x v="22"/>
    <x v="2"/>
    <x v="3"/>
    <x v="0"/>
    <x v="0"/>
    <n v="56"/>
    <d v="2003-08-17T00:00:00"/>
    <x v="2"/>
    <x v="6"/>
    <x v="10"/>
    <n v="82758"/>
    <n v="0"/>
    <n v="0"/>
    <n v="82758"/>
    <x v="0"/>
    <s v="Seattle"/>
    <x v="0"/>
    <n v="22"/>
  </r>
  <r>
    <x v="239"/>
    <s v="Carter Simmons"/>
    <x v="8"/>
    <x v="2"/>
    <x v="1"/>
    <x v="0"/>
    <x v="2"/>
    <n v="41"/>
    <d v="2012-05-30T00:00:00"/>
    <x v="1"/>
    <x v="9"/>
    <x v="21"/>
    <n v="126406"/>
    <n v="0.1"/>
    <n v="12640.6"/>
    <n v="139047"/>
    <x v="0"/>
    <s v="Chicago"/>
    <x v="0"/>
    <n v="13"/>
  </r>
  <r>
    <x v="240"/>
    <s v="Emilia Xu"/>
    <x v="8"/>
    <x v="5"/>
    <x v="1"/>
    <x v="1"/>
    <x v="0"/>
    <n v="46"/>
    <d v="2017-01-24T00:00:00"/>
    <x v="6"/>
    <x v="11"/>
    <x v="12"/>
    <n v="103147"/>
    <n v="0.06"/>
    <n v="6188.82"/>
    <n v="109336"/>
    <x v="0"/>
    <s v="Miami"/>
    <x v="0"/>
    <n v="8"/>
  </r>
  <r>
    <x v="241"/>
    <s v="Adam Medina"/>
    <x v="3"/>
    <x v="2"/>
    <x v="0"/>
    <x v="0"/>
    <x v="1"/>
    <n v="49"/>
    <d v="2020-10-04T00:00:00"/>
    <x v="2"/>
    <x v="1"/>
    <x v="17"/>
    <n v="81622"/>
    <n v="0"/>
    <n v="0"/>
    <n v="81622"/>
    <x v="0"/>
    <s v="Chicago"/>
    <x v="0"/>
    <n v="5"/>
  </r>
  <r>
    <x v="242"/>
    <s v="Connor Howard"/>
    <x v="9"/>
    <x v="2"/>
    <x v="3"/>
    <x v="0"/>
    <x v="2"/>
    <n v="42"/>
    <d v="2021-03-15T00:00:00"/>
    <x v="5"/>
    <x v="2"/>
    <x v="13"/>
    <n v="44265"/>
    <n v="0"/>
    <n v="0"/>
    <n v="44265"/>
    <x v="0"/>
    <s v="Austin"/>
    <x v="23"/>
    <n v="1"/>
  </r>
  <r>
    <x v="243"/>
    <s v="Audrey Duong"/>
    <x v="11"/>
    <x v="1"/>
    <x v="3"/>
    <x v="1"/>
    <x v="0"/>
    <n v="55"/>
    <d v="1999-03-03T00:00:00"/>
    <x v="1"/>
    <x v="2"/>
    <x v="7"/>
    <n v="213998"/>
    <n v="0.34"/>
    <n v="72759.320000000007"/>
    <n v="286757"/>
    <x v="0"/>
    <s v="Miami"/>
    <x v="0"/>
    <n v="26"/>
  </r>
  <r>
    <x v="244"/>
    <s v="Landon Reyes"/>
    <x v="4"/>
    <x v="2"/>
    <x v="2"/>
    <x v="0"/>
    <x v="1"/>
    <n v="44"/>
    <d v="2014-08-23T00:00:00"/>
    <x v="0"/>
    <x v="6"/>
    <x v="11"/>
    <n v="171823"/>
    <n v="0.27"/>
    <n v="46392.210000000006"/>
    <n v="218215"/>
    <x v="0"/>
    <s v="Columbus"/>
    <x v="0"/>
    <n v="11"/>
  </r>
  <r>
    <x v="245"/>
    <s v="Noah Ma"/>
    <x v="11"/>
    <x v="3"/>
    <x v="0"/>
    <x v="0"/>
    <x v="0"/>
    <n v="28"/>
    <d v="2018-11-06T00:00:00"/>
    <x v="6"/>
    <x v="7"/>
    <x v="3"/>
    <n v="201013"/>
    <n v="0.31"/>
    <n v="62314.03"/>
    <n v="263327"/>
    <x v="0"/>
    <s v="Phoenix"/>
    <x v="0"/>
    <n v="6"/>
  </r>
  <r>
    <x v="246"/>
    <s v="Lucas Alexander"/>
    <x v="4"/>
    <x v="2"/>
    <x v="0"/>
    <x v="0"/>
    <x v="3"/>
    <n v="41"/>
    <d v="2013-09-20T00:00:00"/>
    <x v="4"/>
    <x v="5"/>
    <x v="1"/>
    <n v="192944"/>
    <n v="0.22"/>
    <n v="42447.68"/>
    <n v="235392"/>
    <x v="0"/>
    <s v="Miami"/>
    <x v="0"/>
    <n v="12"/>
  </r>
  <r>
    <x v="247"/>
    <s v="Henry Vo"/>
    <x v="0"/>
    <x v="0"/>
    <x v="0"/>
    <x v="0"/>
    <x v="0"/>
    <n v="60"/>
    <d v="1996-09-13T00:00:00"/>
    <x v="4"/>
    <x v="5"/>
    <x v="26"/>
    <n v="81699"/>
    <n v="0"/>
    <n v="0"/>
    <n v="81699"/>
    <x v="1"/>
    <s v="Beijing"/>
    <x v="0"/>
    <n v="29"/>
  </r>
  <r>
    <x v="248"/>
    <s v="Mila Han"/>
    <x v="8"/>
    <x v="1"/>
    <x v="0"/>
    <x v="1"/>
    <x v="0"/>
    <n v="54"/>
    <d v="2009-11-14T00:00:00"/>
    <x v="0"/>
    <x v="7"/>
    <x v="6"/>
    <n v="128791"/>
    <n v="0.06"/>
    <n v="7727.46"/>
    <n v="136518"/>
    <x v="0"/>
    <s v="Miami"/>
    <x v="0"/>
    <n v="15"/>
  </r>
  <r>
    <x v="249"/>
    <s v="Genesis Herrera"/>
    <x v="8"/>
    <x v="2"/>
    <x v="2"/>
    <x v="1"/>
    <x v="1"/>
    <n v="34"/>
    <d v="2015-10-03T00:00:00"/>
    <x v="0"/>
    <x v="1"/>
    <x v="9"/>
    <n v="126898"/>
    <n v="0.1"/>
    <n v="12689.800000000001"/>
    <n v="139588"/>
    <x v="2"/>
    <s v="Manaus"/>
    <x v="0"/>
    <n v="10"/>
  </r>
  <r>
    <x v="250"/>
    <s v="Olivia Vazquez"/>
    <x v="27"/>
    <x v="2"/>
    <x v="3"/>
    <x v="1"/>
    <x v="1"/>
    <n v="53"/>
    <d v="2020-04-13T00:00:00"/>
    <x v="5"/>
    <x v="3"/>
    <x v="17"/>
    <n v="93053"/>
    <n v="0"/>
    <n v="0"/>
    <n v="93053"/>
    <x v="2"/>
    <s v="Sao Paulo"/>
    <x v="0"/>
    <n v="5"/>
  </r>
  <r>
    <x v="251"/>
    <s v="Leilani Ng"/>
    <x v="9"/>
    <x v="2"/>
    <x v="1"/>
    <x v="1"/>
    <x v="0"/>
    <n v="48"/>
    <d v="2011-09-19T00:00:00"/>
    <x v="5"/>
    <x v="5"/>
    <x v="8"/>
    <n v="50513"/>
    <n v="0"/>
    <n v="0"/>
    <n v="50513"/>
    <x v="0"/>
    <s v="Seattle"/>
    <x v="24"/>
    <n v="8"/>
  </r>
  <r>
    <x v="252"/>
    <s v="Olivia Mendoza"/>
    <x v="29"/>
    <x v="1"/>
    <x v="1"/>
    <x v="1"/>
    <x v="1"/>
    <n v="43"/>
    <d v="2017-05-07T00:00:00"/>
    <x v="2"/>
    <x v="9"/>
    <x v="12"/>
    <n v="86533"/>
    <n v="0"/>
    <n v="0"/>
    <n v="86533"/>
    <x v="0"/>
    <s v="Columbus"/>
    <x v="0"/>
    <n v="8"/>
  </r>
  <r>
    <x v="253"/>
    <s v="Skylar Xu"/>
    <x v="16"/>
    <x v="0"/>
    <x v="2"/>
    <x v="1"/>
    <x v="0"/>
    <n v="60"/>
    <d v="1997-10-16T00:00:00"/>
    <x v="3"/>
    <x v="1"/>
    <x v="14"/>
    <n v="72806"/>
    <n v="0"/>
    <n v="0"/>
    <n v="72806"/>
    <x v="1"/>
    <s v="Chongqing"/>
    <x v="0"/>
    <n v="27"/>
  </r>
  <r>
    <x v="254"/>
    <s v="Eloise Williams"/>
    <x v="11"/>
    <x v="1"/>
    <x v="3"/>
    <x v="1"/>
    <x v="3"/>
    <n v="42"/>
    <d v="2019-02-12T00:00:00"/>
    <x v="6"/>
    <x v="0"/>
    <x v="2"/>
    <n v="258115"/>
    <n v="0.36"/>
    <n v="92921.4"/>
    <n v="351036"/>
    <x v="0"/>
    <s v="Austin"/>
    <x v="0"/>
    <n v="6"/>
  </r>
  <r>
    <x v="255"/>
    <s v="Jackson Maldonado"/>
    <x v="18"/>
    <x v="2"/>
    <x v="0"/>
    <x v="0"/>
    <x v="1"/>
    <n v="52"/>
    <d v="2008-05-01T00:00:00"/>
    <x v="3"/>
    <x v="9"/>
    <x v="24"/>
    <n v="63444"/>
    <n v="0"/>
    <n v="0"/>
    <n v="63444"/>
    <x v="0"/>
    <s v="Miami"/>
    <x v="0"/>
    <n v="17"/>
  </r>
  <r>
    <x v="256"/>
    <s v="Christian Harris"/>
    <x v="25"/>
    <x v="0"/>
    <x v="3"/>
    <x v="0"/>
    <x v="2"/>
    <n v="50"/>
    <d v="1999-02-21T00:00:00"/>
    <x v="2"/>
    <x v="0"/>
    <x v="7"/>
    <n v="96099"/>
    <n v="0.11"/>
    <n v="10570.89"/>
    <n v="106670"/>
    <x v="0"/>
    <s v="Chicago"/>
    <x v="0"/>
    <n v="26"/>
  </r>
  <r>
    <x v="257"/>
    <s v="Penelope Santos"/>
    <x v="3"/>
    <x v="2"/>
    <x v="0"/>
    <x v="1"/>
    <x v="1"/>
    <n v="37"/>
    <d v="2009-03-01T00:00:00"/>
    <x v="2"/>
    <x v="2"/>
    <x v="6"/>
    <n v="92849"/>
    <n v="0"/>
    <n v="0"/>
    <n v="92849"/>
    <x v="0"/>
    <s v="Chicago"/>
    <x v="0"/>
    <n v="16"/>
  </r>
  <r>
    <x v="258"/>
    <s v="Nicholas Zhou"/>
    <x v="29"/>
    <x v="1"/>
    <x v="0"/>
    <x v="0"/>
    <x v="0"/>
    <n v="58"/>
    <d v="2014-10-28T00:00:00"/>
    <x v="6"/>
    <x v="1"/>
    <x v="11"/>
    <n v="85094"/>
    <n v="0"/>
    <n v="0"/>
    <n v="85094"/>
    <x v="1"/>
    <s v="Chengdu"/>
    <x v="0"/>
    <n v="10"/>
  </r>
  <r>
    <x v="259"/>
    <s v="Ayla Garza"/>
    <x v="10"/>
    <x v="5"/>
    <x v="1"/>
    <x v="1"/>
    <x v="1"/>
    <n v="39"/>
    <d v="2017-06-15T00:00:00"/>
    <x v="3"/>
    <x v="4"/>
    <x v="12"/>
    <n v="156224"/>
    <n v="0.14000000000000001"/>
    <n v="21871.360000000001"/>
    <n v="178095"/>
    <x v="2"/>
    <s v="Manaus"/>
    <x v="0"/>
    <n v="8"/>
  </r>
  <r>
    <x v="260"/>
    <s v="Carson Mai"/>
    <x v="11"/>
    <x v="3"/>
    <x v="1"/>
    <x v="0"/>
    <x v="0"/>
    <n v="50"/>
    <d v="1996-04-15T00:00:00"/>
    <x v="5"/>
    <x v="3"/>
    <x v="26"/>
    <n v="245920"/>
    <n v="0.36"/>
    <n v="88531.199999999997"/>
    <n v="334451"/>
    <x v="0"/>
    <s v="Columbus"/>
    <x v="25"/>
    <n v="0"/>
  </r>
  <r>
    <x v="261"/>
    <s v="Luna Lu"/>
    <x v="6"/>
    <x v="5"/>
    <x v="2"/>
    <x v="1"/>
    <x v="0"/>
    <n v="51"/>
    <d v="2007-03-06T00:00:00"/>
    <x v="6"/>
    <x v="2"/>
    <x v="25"/>
    <n v="50214"/>
    <n v="0"/>
    <n v="0"/>
    <n v="50214"/>
    <x v="1"/>
    <s v="Beijing"/>
    <x v="0"/>
    <n v="18"/>
  </r>
  <r>
    <x v="262"/>
    <s v="Anthony Ho"/>
    <x v="5"/>
    <x v="5"/>
    <x v="3"/>
    <x v="0"/>
    <x v="0"/>
    <n v="31"/>
    <d v="2015-01-11T00:00:00"/>
    <x v="2"/>
    <x v="11"/>
    <x v="9"/>
    <n v="79713"/>
    <n v="0"/>
    <n v="0"/>
    <n v="79713"/>
    <x v="1"/>
    <s v="Beijing"/>
    <x v="0"/>
    <n v="10"/>
  </r>
  <r>
    <x v="263"/>
    <s v="Clara Lopez"/>
    <x v="4"/>
    <x v="2"/>
    <x v="2"/>
    <x v="1"/>
    <x v="1"/>
    <n v="52"/>
    <d v="1999-08-09T00:00:00"/>
    <x v="5"/>
    <x v="6"/>
    <x v="7"/>
    <n v="166699"/>
    <n v="0.27"/>
    <n v="45008.73"/>
    <n v="211708"/>
    <x v="2"/>
    <s v="Sao Paulo"/>
    <x v="0"/>
    <n v="26"/>
  </r>
  <r>
    <x v="264"/>
    <s v="Melody Woods"/>
    <x v="2"/>
    <x v="2"/>
    <x v="2"/>
    <x v="1"/>
    <x v="2"/>
    <n v="63"/>
    <d v="2010-12-20T00:00:00"/>
    <x v="5"/>
    <x v="10"/>
    <x v="15"/>
    <n v="78788"/>
    <n v="0"/>
    <n v="0"/>
    <n v="78788"/>
    <x v="0"/>
    <s v="Seattle"/>
    <x v="0"/>
    <n v="14"/>
  </r>
  <r>
    <x v="265"/>
    <s v="Matthew Simmons"/>
    <x v="10"/>
    <x v="3"/>
    <x v="2"/>
    <x v="0"/>
    <x v="3"/>
    <n v="28"/>
    <d v="2022-12-19T00:00:00"/>
    <x v="5"/>
    <x v="10"/>
    <x v="0"/>
    <n v="142797"/>
    <n v="0.1"/>
    <n v="14279.7"/>
    <n v="157077"/>
    <x v="0"/>
    <s v="Seattle"/>
    <x v="0"/>
    <n v="2"/>
  </r>
  <r>
    <x v="266"/>
    <s v="Gabriella Carrillo"/>
    <x v="11"/>
    <x v="4"/>
    <x v="2"/>
    <x v="1"/>
    <x v="1"/>
    <n v="39"/>
    <d v="2012-07-16T00:00:00"/>
    <x v="5"/>
    <x v="8"/>
    <x v="21"/>
    <n v="187516"/>
    <n v="0.35"/>
    <n v="65630.599999999991"/>
    <n v="253147"/>
    <x v="2"/>
    <s v="Sao Paulo"/>
    <x v="0"/>
    <n v="13"/>
  </r>
  <r>
    <x v="267"/>
    <s v="Lydia Juarez"/>
    <x v="4"/>
    <x v="4"/>
    <x v="3"/>
    <x v="1"/>
    <x v="1"/>
    <n v="36"/>
    <d v="2013-09-21T00:00:00"/>
    <x v="0"/>
    <x v="5"/>
    <x v="1"/>
    <n v="156029"/>
    <n v="0.15"/>
    <n v="23404.35"/>
    <n v="179433"/>
    <x v="0"/>
    <s v="Columbus"/>
    <x v="0"/>
    <n v="12"/>
  </r>
  <r>
    <x v="268"/>
    <s v="Ava Carrillo"/>
    <x v="10"/>
    <x v="3"/>
    <x v="3"/>
    <x v="1"/>
    <x v="1"/>
    <n v="63"/>
    <d v="1999-01-01T00:00:00"/>
    <x v="4"/>
    <x v="11"/>
    <x v="7"/>
    <n v="149582"/>
    <n v="0.14000000000000001"/>
    <n v="20941.480000000003"/>
    <n v="170523"/>
    <x v="0"/>
    <s v="Seattle"/>
    <x v="26"/>
    <n v="22"/>
  </r>
  <r>
    <x v="269"/>
    <s v="Elena Sharma"/>
    <x v="4"/>
    <x v="5"/>
    <x v="1"/>
    <x v="1"/>
    <x v="0"/>
    <n v="47"/>
    <d v="2014-10-24T00:00:00"/>
    <x v="4"/>
    <x v="1"/>
    <x v="11"/>
    <n v="163922"/>
    <n v="0.21"/>
    <n v="34423.619999999995"/>
    <n v="198346"/>
    <x v="0"/>
    <s v="Phoenix"/>
    <x v="0"/>
    <n v="10"/>
  </r>
  <r>
    <x v="270"/>
    <s v="Julia Ahmed"/>
    <x v="11"/>
    <x v="3"/>
    <x v="2"/>
    <x v="1"/>
    <x v="0"/>
    <n v="43"/>
    <d v="2004-11-14T00:00:00"/>
    <x v="2"/>
    <x v="7"/>
    <x v="5"/>
    <n v="240860"/>
    <n v="0.37"/>
    <n v="89118.2"/>
    <n v="329978"/>
    <x v="0"/>
    <s v="Chicago"/>
    <x v="0"/>
    <n v="20"/>
  </r>
  <r>
    <x v="271"/>
    <s v="Iris Vo"/>
    <x v="8"/>
    <x v="6"/>
    <x v="3"/>
    <x v="1"/>
    <x v="0"/>
    <n v="39"/>
    <d v="2018-09-27T00:00:00"/>
    <x v="3"/>
    <x v="5"/>
    <x v="3"/>
    <n v="128497"/>
    <n v="7.0000000000000007E-2"/>
    <n v="8994.7900000000009"/>
    <n v="137492"/>
    <x v="1"/>
    <s v="Chengdu"/>
    <x v="0"/>
    <n v="7"/>
  </r>
  <r>
    <x v="272"/>
    <s v="Hunter Yi"/>
    <x v="21"/>
    <x v="0"/>
    <x v="1"/>
    <x v="0"/>
    <x v="0"/>
    <n v="55"/>
    <d v="2015-05-10T00:00:00"/>
    <x v="2"/>
    <x v="9"/>
    <x v="9"/>
    <n v="121976"/>
    <n v="0"/>
    <n v="0"/>
    <n v="121976"/>
    <x v="1"/>
    <s v="Chongqing"/>
    <x v="0"/>
    <n v="10"/>
  </r>
  <r>
    <x v="273"/>
    <s v="Valentina Oh"/>
    <x v="10"/>
    <x v="1"/>
    <x v="1"/>
    <x v="1"/>
    <x v="0"/>
    <n v="32"/>
    <d v="2022-07-12T00:00:00"/>
    <x v="6"/>
    <x v="8"/>
    <x v="0"/>
    <n v="126464"/>
    <n v="0.15"/>
    <n v="18969.599999999999"/>
    <n v="145434"/>
    <x v="0"/>
    <s v="Miami"/>
    <x v="0"/>
    <n v="3"/>
  </r>
  <r>
    <x v="274"/>
    <s v="Kinsley Tran"/>
    <x v="11"/>
    <x v="3"/>
    <x v="0"/>
    <x v="1"/>
    <x v="0"/>
    <n v="53"/>
    <d v="2005-09-05T00:00:00"/>
    <x v="5"/>
    <x v="5"/>
    <x v="4"/>
    <n v="234064"/>
    <n v="0.33"/>
    <n v="77241.12000000001"/>
    <n v="311305"/>
    <x v="1"/>
    <s v="Chengdu"/>
    <x v="0"/>
    <n v="20"/>
  </r>
  <r>
    <x v="275"/>
    <s v="Christian Hong"/>
    <x v="5"/>
    <x v="4"/>
    <x v="0"/>
    <x v="0"/>
    <x v="0"/>
    <n v="59"/>
    <d v="2008-01-16T00:00:00"/>
    <x v="1"/>
    <x v="11"/>
    <x v="24"/>
    <n v="81829"/>
    <n v="0"/>
    <n v="0"/>
    <n v="81829"/>
    <x v="1"/>
    <s v="Chongqing"/>
    <x v="0"/>
    <n v="17"/>
  </r>
  <r>
    <x v="276"/>
    <s v="Amelia Mehta"/>
    <x v="4"/>
    <x v="6"/>
    <x v="1"/>
    <x v="1"/>
    <x v="0"/>
    <n v="26"/>
    <d v="2022-04-21T00:00:00"/>
    <x v="3"/>
    <x v="3"/>
    <x v="0"/>
    <n v="193971"/>
    <n v="0.22"/>
    <n v="42673.62"/>
    <n v="236645"/>
    <x v="0"/>
    <s v="Chicago"/>
    <x v="0"/>
    <n v="3"/>
  </r>
  <r>
    <x v="277"/>
    <s v="Axel Leung"/>
    <x v="15"/>
    <x v="6"/>
    <x v="1"/>
    <x v="0"/>
    <x v="0"/>
    <n v="55"/>
    <d v="2001-08-17T00:00:00"/>
    <x v="4"/>
    <x v="6"/>
    <x v="19"/>
    <n v="47696"/>
    <n v="0"/>
    <n v="0"/>
    <n v="47696"/>
    <x v="0"/>
    <s v="Seattle"/>
    <x v="0"/>
    <n v="24"/>
  </r>
  <r>
    <x v="278"/>
    <s v="Lucas Lam"/>
    <x v="8"/>
    <x v="3"/>
    <x v="3"/>
    <x v="0"/>
    <x v="0"/>
    <n v="34"/>
    <d v="2013-07-17T00:00:00"/>
    <x v="1"/>
    <x v="8"/>
    <x v="1"/>
    <n v="116676"/>
    <n v="0.1"/>
    <n v="11667.6"/>
    <n v="128344"/>
    <x v="1"/>
    <s v="Chengdu"/>
    <x v="0"/>
    <n v="12"/>
  </r>
  <r>
    <x v="279"/>
    <s v="Jose Thompson"/>
    <x v="8"/>
    <x v="5"/>
    <x v="1"/>
    <x v="0"/>
    <x v="2"/>
    <n v="45"/>
    <d v="2012-04-05T00:00:00"/>
    <x v="3"/>
    <x v="3"/>
    <x v="21"/>
    <n v="104162"/>
    <n v="0.09"/>
    <n v="9374.58"/>
    <n v="113537"/>
    <x v="0"/>
    <s v="Austin"/>
    <x v="0"/>
    <n v="13"/>
  </r>
  <r>
    <x v="280"/>
    <s v="Wesley Duong"/>
    <x v="23"/>
    <x v="6"/>
    <x v="3"/>
    <x v="0"/>
    <x v="0"/>
    <n v="29"/>
    <d v="2022-04-14T00:00:00"/>
    <x v="3"/>
    <x v="3"/>
    <x v="0"/>
    <n v="86226"/>
    <n v="0"/>
    <n v="0"/>
    <n v="86226"/>
    <x v="0"/>
    <s v="Seattle"/>
    <x v="0"/>
    <n v="3"/>
  </r>
  <r>
    <x v="281"/>
    <s v="Adeline Maldonado"/>
    <x v="4"/>
    <x v="5"/>
    <x v="3"/>
    <x v="1"/>
    <x v="1"/>
    <n v="45"/>
    <d v="2011-05-30T00:00:00"/>
    <x v="5"/>
    <x v="9"/>
    <x v="8"/>
    <n v="172206"/>
    <n v="0.28999999999999998"/>
    <n v="49939.74"/>
    <n v="222146"/>
    <x v="2"/>
    <s v="Sao Paulo"/>
    <x v="0"/>
    <n v="14"/>
  </r>
  <r>
    <x v="282"/>
    <s v="Elias Diaz"/>
    <x v="24"/>
    <x v="6"/>
    <x v="3"/>
    <x v="0"/>
    <x v="1"/>
    <n v="34"/>
    <d v="2012-04-06T00:00:00"/>
    <x v="4"/>
    <x v="3"/>
    <x v="21"/>
    <n v="55985"/>
    <n v="0"/>
    <n v="0"/>
    <n v="55985"/>
    <x v="0"/>
    <s v="Seattle"/>
    <x v="0"/>
    <n v="13"/>
  </r>
  <r>
    <x v="283"/>
    <s v="Wyatt Aguilar"/>
    <x v="13"/>
    <x v="2"/>
    <x v="1"/>
    <x v="0"/>
    <x v="1"/>
    <n v="26"/>
    <d v="2021-06-06T00:00:00"/>
    <x v="2"/>
    <x v="4"/>
    <x v="13"/>
    <n v="61481"/>
    <n v="0"/>
    <n v="0"/>
    <n v="61481"/>
    <x v="0"/>
    <s v="Miami"/>
    <x v="0"/>
    <n v="4"/>
  </r>
  <r>
    <x v="284"/>
    <s v="Josephine Espinoza"/>
    <x v="8"/>
    <x v="1"/>
    <x v="2"/>
    <x v="1"/>
    <x v="1"/>
    <n v="30"/>
    <d v="2017-11-26T00:00:00"/>
    <x v="2"/>
    <x v="7"/>
    <x v="12"/>
    <n v="124295"/>
    <n v="7.0000000000000007E-2"/>
    <n v="8700.6500000000015"/>
    <n v="132996"/>
    <x v="2"/>
    <s v="Manaus"/>
    <x v="0"/>
    <n v="7"/>
  </r>
  <r>
    <x v="285"/>
    <s v="Adeline Lai"/>
    <x v="10"/>
    <x v="1"/>
    <x v="2"/>
    <x v="1"/>
    <x v="0"/>
    <n v="55"/>
    <d v="1999-02-08T00:00:00"/>
    <x v="5"/>
    <x v="0"/>
    <x v="7"/>
    <n v="132894"/>
    <n v="0.15"/>
    <n v="19934.099999999999"/>
    <n v="152828"/>
    <x v="0"/>
    <s v="Chicago"/>
    <x v="0"/>
    <n v="26"/>
  </r>
  <r>
    <x v="286"/>
    <s v="Christopher Vu"/>
    <x v="20"/>
    <x v="2"/>
    <x v="1"/>
    <x v="0"/>
    <x v="0"/>
    <n v="47"/>
    <d v="2002-03-16T00:00:00"/>
    <x v="0"/>
    <x v="2"/>
    <x v="18"/>
    <n v="88839"/>
    <n v="0.05"/>
    <n v="4441.95"/>
    <n v="93281"/>
    <x v="0"/>
    <s v="Phoenix"/>
    <x v="27"/>
    <n v="12"/>
  </r>
  <r>
    <x v="287"/>
    <s v="Kai Vega"/>
    <x v="21"/>
    <x v="0"/>
    <x v="0"/>
    <x v="0"/>
    <x v="1"/>
    <n v="51"/>
    <d v="2005-06-16T00:00:00"/>
    <x v="3"/>
    <x v="4"/>
    <x v="4"/>
    <n v="78107"/>
    <n v="0"/>
    <n v="0"/>
    <n v="78107"/>
    <x v="2"/>
    <s v="Manaus"/>
    <x v="0"/>
    <n v="20"/>
  </r>
  <r>
    <x v="288"/>
    <s v="Hailey Chin"/>
    <x v="10"/>
    <x v="2"/>
    <x v="1"/>
    <x v="1"/>
    <x v="0"/>
    <n v="54"/>
    <d v="1993-07-10T00:00:00"/>
    <x v="0"/>
    <x v="8"/>
    <x v="23"/>
    <n v="135642"/>
    <n v="0.1"/>
    <n v="13564.2"/>
    <n v="149206"/>
    <x v="1"/>
    <s v="Beijing"/>
    <x v="0"/>
    <n v="32"/>
  </r>
  <r>
    <x v="289"/>
    <s v="Eleanor Xi"/>
    <x v="10"/>
    <x v="1"/>
    <x v="1"/>
    <x v="1"/>
    <x v="0"/>
    <n v="64"/>
    <d v="1997-01-10T00:00:00"/>
    <x v="4"/>
    <x v="11"/>
    <x v="14"/>
    <n v="147853"/>
    <n v="0.11"/>
    <n v="16263.83"/>
    <n v="164117"/>
    <x v="0"/>
    <s v="Austin"/>
    <x v="0"/>
    <n v="28"/>
  </r>
  <r>
    <x v="290"/>
    <s v="Lily Molina"/>
    <x v="8"/>
    <x v="2"/>
    <x v="0"/>
    <x v="1"/>
    <x v="1"/>
    <n v="40"/>
    <d v="2009-09-15T00:00:00"/>
    <x v="6"/>
    <x v="5"/>
    <x v="6"/>
    <n v="125900"/>
    <n v="7.0000000000000007E-2"/>
    <n v="8813"/>
    <n v="134713"/>
    <x v="0"/>
    <s v="Seattle"/>
    <x v="28"/>
    <n v="8"/>
  </r>
  <r>
    <x v="291"/>
    <s v="Levi Vasquez"/>
    <x v="17"/>
    <x v="2"/>
    <x v="0"/>
    <x v="0"/>
    <x v="1"/>
    <n v="27"/>
    <d v="2020-02-10T00:00:00"/>
    <x v="5"/>
    <x v="0"/>
    <x v="17"/>
    <n v="42969"/>
    <n v="0"/>
    <n v="0"/>
    <n v="42969"/>
    <x v="0"/>
    <s v="Phoenix"/>
    <x v="0"/>
    <n v="5"/>
  </r>
  <r>
    <x v="292"/>
    <s v="Elijah Washington"/>
    <x v="11"/>
    <x v="5"/>
    <x v="0"/>
    <x v="0"/>
    <x v="2"/>
    <n v="47"/>
    <d v="2022-02-13T00:00:00"/>
    <x v="2"/>
    <x v="0"/>
    <x v="0"/>
    <n v="214303"/>
    <n v="0.4"/>
    <n v="85721.200000000012"/>
    <n v="300024"/>
    <x v="0"/>
    <s v="Seattle"/>
    <x v="0"/>
    <n v="3"/>
  </r>
  <r>
    <x v="293"/>
    <s v="Gianna Park"/>
    <x v="11"/>
    <x v="3"/>
    <x v="3"/>
    <x v="1"/>
    <x v="0"/>
    <n v="28"/>
    <d v="2020-12-19T00:00:00"/>
    <x v="0"/>
    <x v="10"/>
    <x v="17"/>
    <n v="199406"/>
    <n v="0.38"/>
    <n v="75774.28"/>
    <n v="275180"/>
    <x v="1"/>
    <s v="Chengdu"/>
    <x v="0"/>
    <n v="4"/>
  </r>
  <r>
    <x v="294"/>
    <s v="Melody Leung"/>
    <x v="11"/>
    <x v="6"/>
    <x v="2"/>
    <x v="1"/>
    <x v="0"/>
    <n v="35"/>
    <d v="2015-03-20T00:00:00"/>
    <x v="4"/>
    <x v="2"/>
    <x v="9"/>
    <n v="182436"/>
    <n v="0.37"/>
    <n v="67501.319999999992"/>
    <n v="249937"/>
    <x v="0"/>
    <s v="Austin"/>
    <x v="0"/>
    <n v="10"/>
  </r>
  <r>
    <x v="295"/>
    <s v="Liliana Valdez"/>
    <x v="20"/>
    <x v="2"/>
    <x v="1"/>
    <x v="1"/>
    <x v="1"/>
    <n v="59"/>
    <d v="1996-10-01T00:00:00"/>
    <x v="6"/>
    <x v="1"/>
    <x v="26"/>
    <n v="96507"/>
    <n v="0.09"/>
    <n v="8685.6299999999992"/>
    <n v="105193"/>
    <x v="0"/>
    <s v="Seattle"/>
    <x v="0"/>
    <n v="29"/>
  </r>
  <r>
    <x v="296"/>
    <s v="Ezekiel Kumar"/>
    <x v="26"/>
    <x v="0"/>
    <x v="0"/>
    <x v="0"/>
    <x v="0"/>
    <n v="33"/>
    <d v="2015-11-19T00:00:00"/>
    <x v="3"/>
    <x v="7"/>
    <x v="9"/>
    <n v="82906"/>
    <n v="0"/>
    <n v="0"/>
    <n v="82906"/>
    <x v="1"/>
    <s v="Chengdu"/>
    <x v="29"/>
    <n v="0"/>
  </r>
  <r>
    <x v="297"/>
    <s v="Ruby Rahman"/>
    <x v="15"/>
    <x v="6"/>
    <x v="0"/>
    <x v="1"/>
    <x v="0"/>
    <n v="62"/>
    <d v="2005-12-05T00:00:00"/>
    <x v="5"/>
    <x v="10"/>
    <x v="4"/>
    <n v="41616"/>
    <n v="0"/>
    <n v="0"/>
    <n v="41616"/>
    <x v="0"/>
    <s v="Seattle"/>
    <x v="0"/>
    <n v="19"/>
  </r>
  <r>
    <x v="298"/>
    <s v="Natalie Stewart"/>
    <x v="27"/>
    <x v="2"/>
    <x v="1"/>
    <x v="1"/>
    <x v="2"/>
    <n v="50"/>
    <d v="2003-06-30T00:00:00"/>
    <x v="5"/>
    <x v="4"/>
    <x v="10"/>
    <n v="92344"/>
    <n v="0"/>
    <n v="0"/>
    <n v="92344"/>
    <x v="0"/>
    <s v="Phoenix"/>
    <x v="30"/>
    <n v="18"/>
  </r>
  <r>
    <x v="299"/>
    <s v="Charlotte Lim"/>
    <x v="11"/>
    <x v="3"/>
    <x v="0"/>
    <x v="1"/>
    <x v="0"/>
    <n v="55"/>
    <d v="2006-06-27T00:00:00"/>
    <x v="6"/>
    <x v="4"/>
    <x v="16"/>
    <n v="196614"/>
    <n v="0.37"/>
    <n v="72747.179999999993"/>
    <n v="269361"/>
    <x v="0"/>
    <s v="Chicago"/>
    <x v="0"/>
    <n v="19"/>
  </r>
  <r>
    <x v="300"/>
    <s v="Elena Campos"/>
    <x v="8"/>
    <x v="2"/>
    <x v="2"/>
    <x v="1"/>
    <x v="1"/>
    <n v="47"/>
    <d v="2022-02-06T00:00:00"/>
    <x v="2"/>
    <x v="0"/>
    <x v="0"/>
    <n v="104253"/>
    <n v="0.09"/>
    <n v="9382.77"/>
    <n v="113636"/>
    <x v="0"/>
    <s v="Seattle"/>
    <x v="0"/>
    <n v="3"/>
  </r>
  <r>
    <x v="301"/>
    <s v="Vivian Lim"/>
    <x v="17"/>
    <x v="2"/>
    <x v="3"/>
    <x v="1"/>
    <x v="0"/>
    <n v="34"/>
    <d v="2021-01-22T00:00:00"/>
    <x v="4"/>
    <x v="11"/>
    <x v="13"/>
    <n v="44677"/>
    <n v="0"/>
    <n v="0"/>
    <n v="44677"/>
    <x v="1"/>
    <s v="Chongqing"/>
    <x v="0"/>
    <n v="4"/>
  </r>
  <r>
    <x v="302"/>
    <s v="Madison Xu"/>
    <x v="27"/>
    <x v="2"/>
    <x v="2"/>
    <x v="1"/>
    <x v="0"/>
    <n v="39"/>
    <d v="2017-12-13T00:00:00"/>
    <x v="1"/>
    <x v="10"/>
    <x v="12"/>
    <n v="66463"/>
    <n v="0"/>
    <n v="0"/>
    <n v="66463"/>
    <x v="1"/>
    <s v="Chongqing"/>
    <x v="0"/>
    <n v="7"/>
  </r>
  <r>
    <x v="303"/>
    <s v="Ava Aguilar"/>
    <x v="15"/>
    <x v="6"/>
    <x v="1"/>
    <x v="1"/>
    <x v="1"/>
    <n v="35"/>
    <d v="2015-12-17T00:00:00"/>
    <x v="3"/>
    <x v="10"/>
    <x v="9"/>
    <n v="53285"/>
    <n v="0"/>
    <n v="0"/>
    <n v="53285"/>
    <x v="0"/>
    <s v="Columbus"/>
    <x v="0"/>
    <n v="9"/>
  </r>
  <r>
    <x v="304"/>
    <s v="Kayden Patel"/>
    <x v="30"/>
    <x v="0"/>
    <x v="2"/>
    <x v="0"/>
    <x v="0"/>
    <n v="54"/>
    <d v="1997-03-22T00:00:00"/>
    <x v="0"/>
    <x v="2"/>
    <x v="14"/>
    <n v="67683"/>
    <n v="0"/>
    <n v="0"/>
    <n v="67683"/>
    <x v="1"/>
    <s v="Beijing"/>
    <x v="0"/>
    <n v="28"/>
  </r>
  <r>
    <x v="305"/>
    <s v="Penelope Desai"/>
    <x v="11"/>
    <x v="4"/>
    <x v="0"/>
    <x v="1"/>
    <x v="0"/>
    <n v="41"/>
    <d v="2018-10-29T00:00:00"/>
    <x v="5"/>
    <x v="1"/>
    <x v="3"/>
    <n v="238155"/>
    <n v="0.38"/>
    <n v="90498.9"/>
    <n v="328654"/>
    <x v="1"/>
    <s v="Shanghai"/>
    <x v="0"/>
    <n v="6"/>
  </r>
  <r>
    <x v="306"/>
    <s v="Henry Vang"/>
    <x v="4"/>
    <x v="1"/>
    <x v="1"/>
    <x v="0"/>
    <x v="0"/>
    <n v="37"/>
    <d v="2019-06-21T00:00:00"/>
    <x v="4"/>
    <x v="4"/>
    <x v="2"/>
    <n v="173630"/>
    <n v="0.24"/>
    <n v="41671.199999999997"/>
    <n v="215301"/>
    <x v="1"/>
    <s v="Chongqing"/>
    <x v="0"/>
    <n v="6"/>
  </r>
  <r>
    <x v="307"/>
    <s v="Eliana Turner"/>
    <x v="5"/>
    <x v="4"/>
    <x v="2"/>
    <x v="1"/>
    <x v="3"/>
    <n v="29"/>
    <d v="2020-01-27T00:00:00"/>
    <x v="5"/>
    <x v="11"/>
    <x v="17"/>
    <n v="98992"/>
    <n v="0"/>
    <n v="0"/>
    <n v="98992"/>
    <x v="0"/>
    <s v="Miami"/>
    <x v="0"/>
    <n v="5"/>
  </r>
  <r>
    <x v="308"/>
    <s v="Charlotte Tran"/>
    <x v="11"/>
    <x v="2"/>
    <x v="1"/>
    <x v="1"/>
    <x v="0"/>
    <n v="64"/>
    <d v="2017-04-11T00:00:00"/>
    <x v="6"/>
    <x v="3"/>
    <x v="12"/>
    <n v="253330"/>
    <n v="0.39"/>
    <n v="98798.7"/>
    <n v="352129"/>
    <x v="0"/>
    <s v="Austin"/>
    <x v="0"/>
    <n v="8"/>
  </r>
  <r>
    <x v="309"/>
    <s v="Everly Coleman"/>
    <x v="10"/>
    <x v="1"/>
    <x v="1"/>
    <x v="1"/>
    <x v="2"/>
    <n v="54"/>
    <d v="2011-08-14T00:00:00"/>
    <x v="2"/>
    <x v="6"/>
    <x v="8"/>
    <n v="158403"/>
    <n v="0.14000000000000001"/>
    <n v="22176.420000000002"/>
    <n v="180579"/>
    <x v="0"/>
    <s v="Seattle"/>
    <x v="31"/>
    <n v="7"/>
  </r>
  <r>
    <x v="310"/>
    <s v="Matthew Harris"/>
    <x v="10"/>
    <x v="3"/>
    <x v="1"/>
    <x v="0"/>
    <x v="2"/>
    <n v="36"/>
    <d v="2021-03-27T00:00:00"/>
    <x v="0"/>
    <x v="2"/>
    <x v="13"/>
    <n v="156085"/>
    <n v="0.12"/>
    <n v="18730.2"/>
    <n v="174815"/>
    <x v="0"/>
    <s v="Miami"/>
    <x v="0"/>
    <n v="4"/>
  </r>
  <r>
    <x v="311"/>
    <s v="Emilia Barnes"/>
    <x v="19"/>
    <x v="2"/>
    <x v="3"/>
    <x v="1"/>
    <x v="3"/>
    <n v="54"/>
    <d v="2013-04-18T00:00:00"/>
    <x v="3"/>
    <x v="3"/>
    <x v="1"/>
    <n v="80129"/>
    <n v="0"/>
    <n v="0"/>
    <n v="80129"/>
    <x v="0"/>
    <s v="Miami"/>
    <x v="0"/>
    <n v="12"/>
  </r>
  <r>
    <x v="312"/>
    <s v="Sophie Griffin"/>
    <x v="14"/>
    <x v="1"/>
    <x v="2"/>
    <x v="1"/>
    <x v="2"/>
    <n v="56"/>
    <d v="2017-01-09T00:00:00"/>
    <x v="5"/>
    <x v="11"/>
    <x v="12"/>
    <n v="60517"/>
    <n v="0"/>
    <n v="0"/>
    <n v="60517"/>
    <x v="0"/>
    <s v="Columbus"/>
    <x v="0"/>
    <n v="8"/>
  </r>
  <r>
    <x v="313"/>
    <s v="Kai Phillips"/>
    <x v="16"/>
    <x v="0"/>
    <x v="2"/>
    <x v="0"/>
    <x v="2"/>
    <n v="48"/>
    <d v="2016-12-13T00:00:00"/>
    <x v="6"/>
    <x v="10"/>
    <x v="20"/>
    <n v="72315"/>
    <n v="0"/>
    <n v="0"/>
    <n v="72315"/>
    <x v="0"/>
    <s v="Austin"/>
    <x v="32"/>
    <n v="0"/>
  </r>
  <r>
    <x v="314"/>
    <s v="Dylan Khan"/>
    <x v="4"/>
    <x v="6"/>
    <x v="0"/>
    <x v="0"/>
    <x v="0"/>
    <n v="35"/>
    <d v="2015-07-11T00:00:00"/>
    <x v="0"/>
    <x v="8"/>
    <x v="9"/>
    <n v="153815"/>
    <n v="0.19"/>
    <n v="29224.85"/>
    <n v="183040"/>
    <x v="0"/>
    <s v="Miami"/>
    <x v="33"/>
    <n v="0"/>
  </r>
  <r>
    <x v="315"/>
    <s v="Nevaeh Clark"/>
    <x v="10"/>
    <x v="5"/>
    <x v="3"/>
    <x v="1"/>
    <x v="3"/>
    <n v="32"/>
    <d v="2018-08-16T00:00:00"/>
    <x v="3"/>
    <x v="6"/>
    <x v="3"/>
    <n v="139552"/>
    <n v="0.15"/>
    <n v="20932.8"/>
    <n v="160485"/>
    <x v="0"/>
    <s v="Miami"/>
    <x v="0"/>
    <n v="7"/>
  </r>
  <r>
    <x v="316"/>
    <s v="Carter Luu"/>
    <x v="11"/>
    <x v="5"/>
    <x v="1"/>
    <x v="0"/>
    <x v="0"/>
    <n v="25"/>
    <d v="2022-10-20T00:00:00"/>
    <x v="3"/>
    <x v="1"/>
    <x v="0"/>
    <n v="257296"/>
    <n v="0.35"/>
    <n v="90053.599999999991"/>
    <n v="347350"/>
    <x v="0"/>
    <s v="Austin"/>
    <x v="0"/>
    <n v="2"/>
  </r>
  <r>
    <x v="317"/>
    <s v="Jordan Ngo"/>
    <x v="5"/>
    <x v="4"/>
    <x v="0"/>
    <x v="0"/>
    <x v="0"/>
    <n v="26"/>
    <d v="2020-05-04T00:00:00"/>
    <x v="5"/>
    <x v="9"/>
    <x v="17"/>
    <n v="91372"/>
    <n v="0"/>
    <n v="0"/>
    <n v="91372"/>
    <x v="0"/>
    <s v="Miami"/>
    <x v="0"/>
    <n v="5"/>
  </r>
  <r>
    <x v="318"/>
    <s v="Jackson Hu"/>
    <x v="23"/>
    <x v="6"/>
    <x v="1"/>
    <x v="0"/>
    <x v="0"/>
    <n v="53"/>
    <d v="2017-06-05T00:00:00"/>
    <x v="5"/>
    <x v="4"/>
    <x v="12"/>
    <n v="73601"/>
    <n v="0"/>
    <n v="0"/>
    <n v="73601"/>
    <x v="1"/>
    <s v="Chengdu"/>
    <x v="0"/>
    <n v="8"/>
  </r>
  <r>
    <x v="319"/>
    <s v="Madelyn Kang"/>
    <x v="3"/>
    <x v="2"/>
    <x v="1"/>
    <x v="1"/>
    <x v="0"/>
    <n v="37"/>
    <d v="2013-04-29T00:00:00"/>
    <x v="5"/>
    <x v="3"/>
    <x v="1"/>
    <n v="71871"/>
    <n v="0"/>
    <n v="0"/>
    <n v="71871"/>
    <x v="1"/>
    <s v="Chengdu"/>
    <x v="0"/>
    <n v="12"/>
  </r>
  <r>
    <x v="320"/>
    <s v="Everleigh Bell"/>
    <x v="29"/>
    <x v="1"/>
    <x v="3"/>
    <x v="1"/>
    <x v="2"/>
    <n v="31"/>
    <d v="2016-02-07T00:00:00"/>
    <x v="2"/>
    <x v="0"/>
    <x v="20"/>
    <n v="84925"/>
    <n v="0"/>
    <n v="0"/>
    <n v="84925"/>
    <x v="0"/>
    <s v="Austin"/>
    <x v="0"/>
    <n v="9"/>
  </r>
  <r>
    <x v="321"/>
    <s v="Eliana Trinh"/>
    <x v="10"/>
    <x v="2"/>
    <x v="0"/>
    <x v="1"/>
    <x v="0"/>
    <n v="47"/>
    <d v="2010-01-07T00:00:00"/>
    <x v="3"/>
    <x v="11"/>
    <x v="15"/>
    <n v="155600"/>
    <n v="0.14000000000000001"/>
    <n v="21784.000000000004"/>
    <n v="177384"/>
    <x v="1"/>
    <s v="Chongqing"/>
    <x v="0"/>
    <n v="15"/>
  </r>
  <r>
    <x v="322"/>
    <s v="Oliver Ford"/>
    <x v="8"/>
    <x v="1"/>
    <x v="2"/>
    <x v="0"/>
    <x v="3"/>
    <n v="32"/>
    <d v="2018-12-15T00:00:00"/>
    <x v="0"/>
    <x v="10"/>
    <x v="3"/>
    <n v="101564"/>
    <n v="0.06"/>
    <n v="6093.84"/>
    <n v="107658"/>
    <x v="0"/>
    <s v="Austin"/>
    <x v="0"/>
    <n v="6"/>
  </r>
  <r>
    <x v="323"/>
    <s v="Ryan Huang"/>
    <x v="0"/>
    <x v="0"/>
    <x v="2"/>
    <x v="0"/>
    <x v="0"/>
    <n v="40"/>
    <d v="2009-10-12T00:00:00"/>
    <x v="5"/>
    <x v="1"/>
    <x v="6"/>
    <n v="80150"/>
    <n v="0"/>
    <n v="0"/>
    <n v="80150"/>
    <x v="0"/>
    <s v="Phoenix"/>
    <x v="0"/>
    <n v="15"/>
  </r>
  <r>
    <x v="324"/>
    <s v="Gabriel Ahmed"/>
    <x v="24"/>
    <x v="6"/>
    <x v="1"/>
    <x v="0"/>
    <x v="0"/>
    <n v="65"/>
    <d v="2021-10-09T00:00:00"/>
    <x v="0"/>
    <x v="1"/>
    <x v="13"/>
    <n v="73996"/>
    <n v="0"/>
    <n v="0"/>
    <n v="73996"/>
    <x v="1"/>
    <s v="Chengdu"/>
    <x v="34"/>
    <n v="0"/>
  </r>
  <r>
    <x v="325"/>
    <s v="Ivy Rios"/>
    <x v="28"/>
    <x v="2"/>
    <x v="0"/>
    <x v="1"/>
    <x v="1"/>
    <n v="25"/>
    <d v="2022-01-18T00:00:00"/>
    <x v="6"/>
    <x v="11"/>
    <x v="0"/>
    <n v="90109"/>
    <n v="0"/>
    <n v="0"/>
    <n v="90109"/>
    <x v="0"/>
    <s v="Seattle"/>
    <x v="0"/>
    <n v="3"/>
  </r>
  <r>
    <x v="326"/>
    <s v="Luca Hunter"/>
    <x v="26"/>
    <x v="0"/>
    <x v="1"/>
    <x v="0"/>
    <x v="2"/>
    <n v="39"/>
    <d v="2022-06-27T00:00:00"/>
    <x v="5"/>
    <x v="4"/>
    <x v="0"/>
    <n v="67216"/>
    <n v="0"/>
    <n v="0"/>
    <n v="67216"/>
    <x v="0"/>
    <s v="Phoenix"/>
    <x v="0"/>
    <n v="3"/>
  </r>
  <r>
    <x v="327"/>
    <s v="Claire Owens"/>
    <x v="27"/>
    <x v="2"/>
    <x v="2"/>
    <x v="1"/>
    <x v="2"/>
    <n v="52"/>
    <d v="1998-06-07T00:00:00"/>
    <x v="2"/>
    <x v="4"/>
    <x v="22"/>
    <n v="75402"/>
    <n v="0"/>
    <n v="0"/>
    <n v="75402"/>
    <x v="0"/>
    <s v="Phoenix"/>
    <x v="0"/>
    <n v="27"/>
  </r>
  <r>
    <x v="328"/>
    <s v="Aubrey Maldonado"/>
    <x v="21"/>
    <x v="0"/>
    <x v="0"/>
    <x v="1"/>
    <x v="1"/>
    <n v="38"/>
    <d v="2022-06-13T00:00:00"/>
    <x v="5"/>
    <x v="4"/>
    <x v="0"/>
    <n v="120795"/>
    <n v="0"/>
    <n v="0"/>
    <n v="120795"/>
    <x v="2"/>
    <s v="Sao Paulo"/>
    <x v="0"/>
    <n v="3"/>
  </r>
  <r>
    <x v="329"/>
    <s v="Elias Vasquez"/>
    <x v="9"/>
    <x v="2"/>
    <x v="3"/>
    <x v="0"/>
    <x v="1"/>
    <n v="33"/>
    <d v="2015-07-27T00:00:00"/>
    <x v="5"/>
    <x v="8"/>
    <x v="9"/>
    <n v="44012"/>
    <n v="0"/>
    <n v="0"/>
    <n v="44012"/>
    <x v="2"/>
    <s v="Manaus"/>
    <x v="0"/>
    <n v="10"/>
  </r>
  <r>
    <x v="330"/>
    <s v="Melody Luu"/>
    <x v="11"/>
    <x v="4"/>
    <x v="2"/>
    <x v="1"/>
    <x v="0"/>
    <n v="28"/>
    <d v="2021-04-03T00:00:00"/>
    <x v="0"/>
    <x v="3"/>
    <x v="13"/>
    <n v="219180"/>
    <n v="0.33"/>
    <n v="72329.400000000009"/>
    <n v="291509"/>
    <x v="1"/>
    <s v="Chongqing"/>
    <x v="0"/>
    <n v="4"/>
  </r>
  <r>
    <x v="331"/>
    <s v="Christopher Luu"/>
    <x v="11"/>
    <x v="0"/>
    <x v="2"/>
    <x v="0"/>
    <x v="0"/>
    <n v="61"/>
    <d v="2005-10-27T00:00:00"/>
    <x v="3"/>
    <x v="1"/>
    <x v="4"/>
    <n v="258700"/>
    <n v="0.32"/>
    <n v="82784"/>
    <n v="341484"/>
    <x v="0"/>
    <s v="Austin"/>
    <x v="0"/>
    <n v="19"/>
  </r>
  <r>
    <x v="332"/>
    <s v="James Han"/>
    <x v="16"/>
    <x v="0"/>
    <x v="3"/>
    <x v="0"/>
    <x v="0"/>
    <n v="32"/>
    <d v="2018-01-07T00:00:00"/>
    <x v="2"/>
    <x v="11"/>
    <x v="3"/>
    <n v="97496"/>
    <n v="0"/>
    <n v="0"/>
    <n v="97496"/>
    <x v="0"/>
    <s v="Miami"/>
    <x v="0"/>
    <n v="7"/>
  </r>
  <r>
    <x v="333"/>
    <s v="Jaxson Ayala"/>
    <x v="11"/>
    <x v="6"/>
    <x v="2"/>
    <x v="0"/>
    <x v="1"/>
    <n v="28"/>
    <d v="2020-08-01T00:00:00"/>
    <x v="0"/>
    <x v="6"/>
    <x v="17"/>
    <n v="239270"/>
    <n v="0.38"/>
    <n v="90922.6"/>
    <n v="330193"/>
    <x v="2"/>
    <s v="Manaus"/>
    <x v="0"/>
    <n v="5"/>
  </r>
  <r>
    <x v="334"/>
    <s v="Levi James"/>
    <x v="8"/>
    <x v="2"/>
    <x v="3"/>
    <x v="0"/>
    <x v="2"/>
    <n v="39"/>
    <d v="2012-03-02T00:00:00"/>
    <x v="4"/>
    <x v="2"/>
    <x v="21"/>
    <n v="103466"/>
    <n v="0.05"/>
    <n v="5173.3"/>
    <n v="108639"/>
    <x v="0"/>
    <s v="Chicago"/>
    <x v="0"/>
    <n v="13"/>
  </r>
  <r>
    <x v="335"/>
    <s v="Grayson Carrillo"/>
    <x v="5"/>
    <x v="3"/>
    <x v="1"/>
    <x v="0"/>
    <x v="1"/>
    <n v="57"/>
    <d v="2001-06-27T00:00:00"/>
    <x v="1"/>
    <x v="4"/>
    <x v="19"/>
    <n v="74662"/>
    <n v="0"/>
    <n v="0"/>
    <n v="74662"/>
    <x v="2"/>
    <s v="Sao Paulo"/>
    <x v="0"/>
    <n v="24"/>
  </r>
  <r>
    <x v="336"/>
    <s v="Maverick Hwang"/>
    <x v="11"/>
    <x v="6"/>
    <x v="2"/>
    <x v="0"/>
    <x v="0"/>
    <n v="40"/>
    <d v="2015-04-20T00:00:00"/>
    <x v="5"/>
    <x v="3"/>
    <x v="9"/>
    <n v="227816"/>
    <n v="0.33"/>
    <n v="75179.28"/>
    <n v="302995"/>
    <x v="0"/>
    <s v="Chicago"/>
    <x v="0"/>
    <n v="10"/>
  </r>
  <r>
    <x v="337"/>
    <s v="Noah Truong"/>
    <x v="11"/>
    <x v="1"/>
    <x v="0"/>
    <x v="0"/>
    <x v="0"/>
    <n v="47"/>
    <d v="2013-12-08T00:00:00"/>
    <x v="2"/>
    <x v="10"/>
    <x v="1"/>
    <n v="246680"/>
    <n v="0.39"/>
    <n v="96205.2"/>
    <n v="342885"/>
    <x v="1"/>
    <s v="Beijing"/>
    <x v="0"/>
    <n v="11"/>
  </r>
  <r>
    <x v="338"/>
    <s v="Willow Guzman"/>
    <x v="19"/>
    <x v="2"/>
    <x v="0"/>
    <x v="1"/>
    <x v="1"/>
    <n v="43"/>
    <d v="2010-06-26T00:00:00"/>
    <x v="0"/>
    <x v="4"/>
    <x v="15"/>
    <n v="85164"/>
    <n v="0"/>
    <n v="0"/>
    <n v="85164"/>
    <x v="2"/>
    <s v="Sao Paulo"/>
    <x v="0"/>
    <n v="15"/>
  </r>
  <r>
    <x v="339"/>
    <s v="Rylee Howard"/>
    <x v="10"/>
    <x v="4"/>
    <x v="0"/>
    <x v="1"/>
    <x v="3"/>
    <n v="33"/>
    <d v="2014-08-18T00:00:00"/>
    <x v="5"/>
    <x v="6"/>
    <x v="11"/>
    <n v="135215"/>
    <n v="0.12"/>
    <n v="16225.8"/>
    <n v="151441"/>
    <x v="0"/>
    <s v="Miami"/>
    <x v="0"/>
    <n v="11"/>
  </r>
  <r>
    <x v="340"/>
    <s v="Ian Marquez"/>
    <x v="24"/>
    <x v="6"/>
    <x v="1"/>
    <x v="0"/>
    <x v="1"/>
    <n v="31"/>
    <d v="2019-01-14T00:00:00"/>
    <x v="5"/>
    <x v="11"/>
    <x v="2"/>
    <n v="72542"/>
    <n v="0"/>
    <n v="0"/>
    <n v="72542"/>
    <x v="0"/>
    <s v="Chicago"/>
    <x v="0"/>
    <n v="6"/>
  </r>
  <r>
    <x v="341"/>
    <s v="Layla Owens"/>
    <x v="11"/>
    <x v="2"/>
    <x v="2"/>
    <x v="1"/>
    <x v="2"/>
    <n v="47"/>
    <d v="2018-02-07T00:00:00"/>
    <x v="1"/>
    <x v="0"/>
    <x v="3"/>
    <n v="246303"/>
    <n v="0.34"/>
    <n v="83743.02"/>
    <n v="330046"/>
    <x v="0"/>
    <s v="Columbus"/>
    <x v="0"/>
    <n v="7"/>
  </r>
  <r>
    <x v="342"/>
    <s v="Chloe Dixon"/>
    <x v="11"/>
    <x v="0"/>
    <x v="1"/>
    <x v="1"/>
    <x v="2"/>
    <n v="60"/>
    <d v="2021-05-11T00:00:00"/>
    <x v="6"/>
    <x v="9"/>
    <x v="13"/>
    <n v="186400"/>
    <n v="0.4"/>
    <n v="74560"/>
    <n v="260960"/>
    <x v="0"/>
    <s v="Chicago"/>
    <x v="0"/>
    <n v="4"/>
  </r>
  <r>
    <x v="343"/>
    <s v="Emily Zheng"/>
    <x v="22"/>
    <x v="2"/>
    <x v="1"/>
    <x v="1"/>
    <x v="0"/>
    <n v="50"/>
    <d v="2022-12-06T00:00:00"/>
    <x v="6"/>
    <x v="10"/>
    <x v="0"/>
    <n v="91004"/>
    <n v="0"/>
    <n v="0"/>
    <n v="91004"/>
    <x v="1"/>
    <s v="Shanghai"/>
    <x v="0"/>
    <n v="2"/>
  </r>
  <r>
    <x v="344"/>
    <s v="Jayden Rogers"/>
    <x v="8"/>
    <x v="1"/>
    <x v="2"/>
    <x v="0"/>
    <x v="2"/>
    <n v="41"/>
    <d v="2016-12-14T00:00:00"/>
    <x v="1"/>
    <x v="10"/>
    <x v="20"/>
    <n v="101411"/>
    <n v="0.08"/>
    <n v="8112.88"/>
    <n v="109524"/>
    <x v="0"/>
    <s v="Seattle"/>
    <x v="0"/>
    <n v="8"/>
  </r>
  <r>
    <x v="345"/>
    <s v="Elizabeth Vasquez"/>
    <x v="0"/>
    <x v="0"/>
    <x v="3"/>
    <x v="1"/>
    <x v="1"/>
    <n v="28"/>
    <d v="2020-08-09T00:00:00"/>
    <x v="2"/>
    <x v="6"/>
    <x v="17"/>
    <n v="111779"/>
    <n v="0"/>
    <n v="0"/>
    <n v="111779"/>
    <x v="0"/>
    <s v="Chicago"/>
    <x v="0"/>
    <n v="5"/>
  </r>
  <r>
    <x v="346"/>
    <s v="Samantha Ford"/>
    <x v="13"/>
    <x v="2"/>
    <x v="0"/>
    <x v="1"/>
    <x v="2"/>
    <n v="25"/>
    <d v="2022-01-19T00:00:00"/>
    <x v="1"/>
    <x v="11"/>
    <x v="0"/>
    <n v="86075"/>
    <n v="0"/>
    <n v="0"/>
    <n v="86075"/>
    <x v="0"/>
    <s v="Miami"/>
    <x v="0"/>
    <n v="3"/>
  </r>
  <r>
    <x v="347"/>
    <s v="Thomas Silva"/>
    <x v="1"/>
    <x v="4"/>
    <x v="3"/>
    <x v="0"/>
    <x v="1"/>
    <n v="45"/>
    <d v="2015-08-13T00:00:00"/>
    <x v="3"/>
    <x v="6"/>
    <x v="9"/>
    <n v="52798"/>
    <n v="0"/>
    <n v="0"/>
    <n v="52798"/>
    <x v="0"/>
    <s v="Miami"/>
    <x v="35"/>
    <n v="2"/>
  </r>
  <r>
    <x v="348"/>
    <s v="Charlotte Park"/>
    <x v="28"/>
    <x v="2"/>
    <x v="3"/>
    <x v="1"/>
    <x v="0"/>
    <n v="63"/>
    <d v="2020-12-17T00:00:00"/>
    <x v="3"/>
    <x v="10"/>
    <x v="17"/>
    <n v="96136"/>
    <n v="0"/>
    <n v="0"/>
    <n v="96136"/>
    <x v="1"/>
    <s v="Shanghai"/>
    <x v="0"/>
    <n v="4"/>
  </r>
  <r>
    <x v="349"/>
    <s v="Liam Jimenez"/>
    <x v="5"/>
    <x v="5"/>
    <x v="2"/>
    <x v="0"/>
    <x v="1"/>
    <n v="52"/>
    <d v="2002-08-11T00:00:00"/>
    <x v="2"/>
    <x v="6"/>
    <x v="18"/>
    <n v="95682"/>
    <n v="0"/>
    <n v="0"/>
    <n v="95682"/>
    <x v="0"/>
    <s v="Seattle"/>
    <x v="36"/>
    <n v="9"/>
  </r>
  <r>
    <x v="350"/>
    <s v="Ivy Liu"/>
    <x v="6"/>
    <x v="5"/>
    <x v="0"/>
    <x v="1"/>
    <x v="0"/>
    <n v="59"/>
    <d v="1993-05-29T00:00:00"/>
    <x v="0"/>
    <x v="9"/>
    <x v="23"/>
    <n v="55476"/>
    <n v="0"/>
    <n v="0"/>
    <n v="55476"/>
    <x v="1"/>
    <s v="Chongqing"/>
    <x v="0"/>
    <n v="32"/>
  </r>
  <r>
    <x v="351"/>
    <s v="Jayden Dixon"/>
    <x v="11"/>
    <x v="4"/>
    <x v="0"/>
    <x v="0"/>
    <x v="2"/>
    <n v="30"/>
    <d v="2018-01-14T00:00:00"/>
    <x v="2"/>
    <x v="11"/>
    <x v="3"/>
    <n v="197792"/>
    <n v="0.34"/>
    <n v="67249.279999999999"/>
    <n v="265041"/>
    <x v="0"/>
    <s v="Austin"/>
    <x v="0"/>
    <n v="7"/>
  </r>
  <r>
    <x v="352"/>
    <s v="Nevaeh Butler"/>
    <x v="26"/>
    <x v="0"/>
    <x v="2"/>
    <x v="1"/>
    <x v="2"/>
    <n v="55"/>
    <d v="2009-07-10T00:00:00"/>
    <x v="4"/>
    <x v="8"/>
    <x v="6"/>
    <n v="82271"/>
    <n v="0"/>
    <n v="0"/>
    <n v="82271"/>
    <x v="0"/>
    <s v="Chicago"/>
    <x v="0"/>
    <n v="16"/>
  </r>
  <r>
    <x v="353"/>
    <s v="Leonardo Li"/>
    <x v="10"/>
    <x v="3"/>
    <x v="3"/>
    <x v="0"/>
    <x v="0"/>
    <n v="65"/>
    <d v="2009-04-23T00:00:00"/>
    <x v="3"/>
    <x v="3"/>
    <x v="6"/>
    <n v="155716"/>
    <n v="0.12"/>
    <n v="18685.919999999998"/>
    <n v="174402"/>
    <x v="0"/>
    <s v="Seattle"/>
    <x v="0"/>
    <n v="16"/>
  </r>
  <r>
    <x v="354"/>
    <s v="Kinsley Woods"/>
    <x v="24"/>
    <x v="6"/>
    <x v="1"/>
    <x v="1"/>
    <x v="2"/>
    <n v="34"/>
    <d v="2014-06-19T00:00:00"/>
    <x v="3"/>
    <x v="4"/>
    <x v="11"/>
    <n v="71699"/>
    <n v="0"/>
    <n v="0"/>
    <n v="71699"/>
    <x v="0"/>
    <s v="Phoenix"/>
    <x v="0"/>
    <n v="11"/>
  </r>
  <r>
    <x v="355"/>
    <s v="Abigail Chu"/>
    <x v="10"/>
    <x v="6"/>
    <x v="0"/>
    <x v="1"/>
    <x v="0"/>
    <n v="51"/>
    <d v="2006-04-17T00:00:00"/>
    <x v="5"/>
    <x v="3"/>
    <x v="16"/>
    <n v="147436"/>
    <n v="0.11"/>
    <n v="16217.960000000001"/>
    <n v="163654"/>
    <x v="0"/>
    <s v="Austin"/>
    <x v="0"/>
    <n v="19"/>
  </r>
  <r>
    <x v="356"/>
    <s v="Ava Xiong"/>
    <x v="23"/>
    <x v="6"/>
    <x v="0"/>
    <x v="1"/>
    <x v="0"/>
    <n v="52"/>
    <d v="2019-07-21T00:00:00"/>
    <x v="2"/>
    <x v="8"/>
    <x v="2"/>
    <n v="88220"/>
    <n v="0"/>
    <n v="0"/>
    <n v="88220"/>
    <x v="1"/>
    <s v="Shanghai"/>
    <x v="0"/>
    <n v="6"/>
  </r>
  <r>
    <x v="357"/>
    <s v="Olivia Marquez"/>
    <x v="14"/>
    <x v="1"/>
    <x v="3"/>
    <x v="1"/>
    <x v="1"/>
    <n v="44"/>
    <d v="2020-04-06T00:00:00"/>
    <x v="5"/>
    <x v="3"/>
    <x v="17"/>
    <n v="54295"/>
    <n v="0"/>
    <n v="0"/>
    <n v="54295"/>
    <x v="0"/>
    <s v="Columbus"/>
    <x v="0"/>
    <n v="5"/>
  </r>
  <r>
    <x v="358"/>
    <s v="Claire Vazquez"/>
    <x v="11"/>
    <x v="6"/>
    <x v="1"/>
    <x v="1"/>
    <x v="1"/>
    <n v="44"/>
    <d v="2004-06-12T00:00:00"/>
    <x v="0"/>
    <x v="4"/>
    <x v="5"/>
    <n v="246538"/>
    <n v="0.35"/>
    <n v="86288.299999999988"/>
    <n v="332826"/>
    <x v="0"/>
    <s v="Miami"/>
    <x v="0"/>
    <n v="21"/>
  </r>
  <r>
    <x v="359"/>
    <s v="Christian Castro"/>
    <x v="17"/>
    <x v="2"/>
    <x v="3"/>
    <x v="0"/>
    <x v="1"/>
    <n v="40"/>
    <d v="2006-04-15T00:00:00"/>
    <x v="0"/>
    <x v="3"/>
    <x v="16"/>
    <n v="43645"/>
    <n v="0"/>
    <n v="0"/>
    <n v="43645"/>
    <x v="0"/>
    <s v="Austin"/>
    <x v="37"/>
    <n v="2"/>
  </r>
  <r>
    <x v="360"/>
    <s v="Mason Oh"/>
    <x v="8"/>
    <x v="6"/>
    <x v="0"/>
    <x v="0"/>
    <x v="0"/>
    <n v="25"/>
    <d v="2022-04-11T00:00:00"/>
    <x v="5"/>
    <x v="3"/>
    <x v="0"/>
    <n v="125644"/>
    <n v="7.0000000000000007E-2"/>
    <n v="8795.0800000000017"/>
    <n v="134439"/>
    <x v="0"/>
    <s v="Seattle"/>
    <x v="0"/>
    <n v="3"/>
  </r>
  <r>
    <x v="361"/>
    <s v="Violet Santiago"/>
    <x v="12"/>
    <x v="2"/>
    <x v="2"/>
    <x v="1"/>
    <x v="1"/>
    <n v="32"/>
    <d v="2018-01-14T00:00:00"/>
    <x v="2"/>
    <x v="11"/>
    <x v="3"/>
    <n v="78414"/>
    <n v="0"/>
    <n v="0"/>
    <n v="78414"/>
    <x v="0"/>
    <s v="Seattle"/>
    <x v="0"/>
    <n v="7"/>
  </r>
  <r>
    <x v="362"/>
    <s v="Lily Rios"/>
    <x v="5"/>
    <x v="5"/>
    <x v="3"/>
    <x v="1"/>
    <x v="1"/>
    <n v="45"/>
    <d v="2013-01-25T00:00:00"/>
    <x v="4"/>
    <x v="11"/>
    <x v="1"/>
    <n v="88016"/>
    <n v="0"/>
    <n v="0"/>
    <n v="88016"/>
    <x v="2"/>
    <s v="Rio de Janeiro"/>
    <x v="0"/>
    <n v="12"/>
  </r>
  <r>
    <x v="363"/>
    <s v="Kinsley Stewart"/>
    <x v="20"/>
    <x v="2"/>
    <x v="1"/>
    <x v="1"/>
    <x v="2"/>
    <n v="56"/>
    <d v="2021-09-07T00:00:00"/>
    <x v="6"/>
    <x v="5"/>
    <x v="13"/>
    <n v="66561"/>
    <n v="0.06"/>
    <n v="3993.66"/>
    <n v="70555"/>
    <x v="0"/>
    <s v="Chicago"/>
    <x v="0"/>
    <n v="4"/>
  </r>
  <r>
    <x v="364"/>
    <s v="Aria Molina"/>
    <x v="30"/>
    <x v="0"/>
    <x v="2"/>
    <x v="1"/>
    <x v="1"/>
    <n v="52"/>
    <d v="2001-10-24T00:00:00"/>
    <x v="1"/>
    <x v="1"/>
    <x v="19"/>
    <n v="89811"/>
    <n v="0"/>
    <n v="0"/>
    <n v="89811"/>
    <x v="2"/>
    <s v="Rio de Janeiro"/>
    <x v="38"/>
    <n v="20"/>
  </r>
  <r>
    <x v="365"/>
    <s v="James Cheng"/>
    <x v="8"/>
    <x v="2"/>
    <x v="0"/>
    <x v="0"/>
    <x v="0"/>
    <n v="49"/>
    <d v="2010-05-26T00:00:00"/>
    <x v="1"/>
    <x v="9"/>
    <x v="15"/>
    <n v="125506"/>
    <n v="0.09"/>
    <n v="11295.539999999999"/>
    <n v="136802"/>
    <x v="0"/>
    <s v="Seattle"/>
    <x v="0"/>
    <n v="15"/>
  </r>
  <r>
    <x v="366"/>
    <s v="Mila Vang"/>
    <x v="6"/>
    <x v="4"/>
    <x v="0"/>
    <x v="1"/>
    <x v="0"/>
    <n v="46"/>
    <d v="2009-08-25T00:00:00"/>
    <x v="6"/>
    <x v="6"/>
    <x v="6"/>
    <n v="56409"/>
    <n v="0"/>
    <n v="0"/>
    <n v="56409"/>
    <x v="0"/>
    <s v="Columbus"/>
    <x v="0"/>
    <n v="16"/>
  </r>
  <r>
    <x v="367"/>
    <s v="Alice Liu"/>
    <x v="10"/>
    <x v="1"/>
    <x v="2"/>
    <x v="1"/>
    <x v="0"/>
    <n v="39"/>
    <d v="2012-02-22T00:00:00"/>
    <x v="1"/>
    <x v="0"/>
    <x v="21"/>
    <n v="122058"/>
    <n v="0.14000000000000001"/>
    <n v="17088.120000000003"/>
    <n v="139146"/>
    <x v="1"/>
    <s v="Beijing"/>
    <x v="0"/>
    <n v="13"/>
  </r>
  <r>
    <x v="368"/>
    <s v="Delilah Gonzalez"/>
    <x v="5"/>
    <x v="1"/>
    <x v="0"/>
    <x v="1"/>
    <x v="1"/>
    <n v="55"/>
    <d v="1998-03-29T00:00:00"/>
    <x v="2"/>
    <x v="2"/>
    <x v="22"/>
    <n v="82550"/>
    <n v="0"/>
    <n v="0"/>
    <n v="82550"/>
    <x v="0"/>
    <s v="Chicago"/>
    <x v="0"/>
    <n v="27"/>
  </r>
  <r>
    <x v="369"/>
    <s v="Samuel Tang"/>
    <x v="7"/>
    <x v="2"/>
    <x v="0"/>
    <x v="0"/>
    <x v="0"/>
    <n v="34"/>
    <d v="2012-09-15T00:00:00"/>
    <x v="0"/>
    <x v="5"/>
    <x v="21"/>
    <n v="93760"/>
    <n v="0"/>
    <n v="0"/>
    <n v="93760"/>
    <x v="0"/>
    <s v="Miami"/>
    <x v="0"/>
    <n v="13"/>
  </r>
  <r>
    <x v="370"/>
    <s v="Serenity Gray"/>
    <x v="1"/>
    <x v="1"/>
    <x v="2"/>
    <x v="1"/>
    <x v="3"/>
    <n v="56"/>
    <d v="2012-06-19T00:00:00"/>
    <x v="6"/>
    <x v="4"/>
    <x v="21"/>
    <n v="55008"/>
    <n v="0"/>
    <n v="0"/>
    <n v="55008"/>
    <x v="0"/>
    <s v="Austin"/>
    <x v="0"/>
    <n v="13"/>
  </r>
  <r>
    <x v="371"/>
    <s v="Benjamin Estrada"/>
    <x v="6"/>
    <x v="5"/>
    <x v="2"/>
    <x v="0"/>
    <x v="1"/>
    <n v="56"/>
    <d v="2012-09-28T00:00:00"/>
    <x v="4"/>
    <x v="5"/>
    <x v="21"/>
    <n v="65368"/>
    <n v="0"/>
    <n v="0"/>
    <n v="65368"/>
    <x v="0"/>
    <s v="Seattle"/>
    <x v="0"/>
    <n v="13"/>
  </r>
  <r>
    <x v="372"/>
    <s v="Wesley Han"/>
    <x v="16"/>
    <x v="0"/>
    <x v="2"/>
    <x v="0"/>
    <x v="0"/>
    <n v="62"/>
    <d v="2017-04-20T00:00:00"/>
    <x v="3"/>
    <x v="3"/>
    <x v="12"/>
    <n v="83955"/>
    <n v="0"/>
    <n v="0"/>
    <n v="83955"/>
    <x v="0"/>
    <s v="Phoenix"/>
    <x v="0"/>
    <n v="8"/>
  </r>
  <r>
    <x v="373"/>
    <s v="Nora Herrera"/>
    <x v="11"/>
    <x v="5"/>
    <x v="3"/>
    <x v="1"/>
    <x v="1"/>
    <n v="60"/>
    <d v="1997-12-24T00:00:00"/>
    <x v="1"/>
    <x v="10"/>
    <x v="14"/>
    <n v="231907"/>
    <n v="0.38"/>
    <n v="88124.66"/>
    <n v="320032"/>
    <x v="0"/>
    <s v="Austin"/>
    <x v="0"/>
    <n v="27"/>
  </r>
  <r>
    <x v="374"/>
    <s v="Lincoln Harris"/>
    <x v="3"/>
    <x v="2"/>
    <x v="0"/>
    <x v="0"/>
    <x v="2"/>
    <n v="42"/>
    <d v="2009-09-16T00:00:00"/>
    <x v="1"/>
    <x v="5"/>
    <x v="6"/>
    <n v="97628"/>
    <n v="0"/>
    <n v="0"/>
    <n v="97628"/>
    <x v="0"/>
    <s v="Phoenix"/>
    <x v="0"/>
    <n v="16"/>
  </r>
  <r>
    <x v="375"/>
    <s v="Charles Gonzales"/>
    <x v="3"/>
    <x v="2"/>
    <x v="0"/>
    <x v="0"/>
    <x v="1"/>
    <n v="27"/>
    <d v="2020-09-22T00:00:00"/>
    <x v="6"/>
    <x v="5"/>
    <x v="17"/>
    <n v="88142"/>
    <n v="0"/>
    <n v="0"/>
    <n v="88142"/>
    <x v="0"/>
    <s v="Columbus"/>
    <x v="0"/>
    <n v="5"/>
  </r>
  <r>
    <x v="376"/>
    <s v="Athena Cheng"/>
    <x v="16"/>
    <x v="0"/>
    <x v="1"/>
    <x v="1"/>
    <x v="0"/>
    <n v="37"/>
    <d v="2020-03-02T00:00:00"/>
    <x v="5"/>
    <x v="2"/>
    <x v="17"/>
    <n v="83465"/>
    <n v="0"/>
    <n v="0"/>
    <n v="83465"/>
    <x v="1"/>
    <s v="Beijing"/>
    <x v="0"/>
    <n v="5"/>
  </r>
  <r>
    <x v="377"/>
    <s v="David Garza"/>
    <x v="4"/>
    <x v="2"/>
    <x v="0"/>
    <x v="0"/>
    <x v="1"/>
    <n v="29"/>
    <d v="2022-01-09T00:00:00"/>
    <x v="2"/>
    <x v="11"/>
    <x v="0"/>
    <n v="197731"/>
    <n v="0.15"/>
    <n v="29659.649999999998"/>
    <n v="227391"/>
    <x v="0"/>
    <s v="Seattle"/>
    <x v="0"/>
    <n v="3"/>
  </r>
  <r>
    <x v="378"/>
    <s v="Hunter Doan"/>
    <x v="10"/>
    <x v="3"/>
    <x v="2"/>
    <x v="0"/>
    <x v="0"/>
    <n v="32"/>
    <d v="2014-12-15T00:00:00"/>
    <x v="5"/>
    <x v="10"/>
    <x v="11"/>
    <n v="151758"/>
    <n v="0.12"/>
    <n v="18210.96"/>
    <n v="169969"/>
    <x v="1"/>
    <s v="Beijing"/>
    <x v="0"/>
    <n v="10"/>
  </r>
  <r>
    <x v="379"/>
    <s v="Julian Lam"/>
    <x v="4"/>
    <x v="4"/>
    <x v="2"/>
    <x v="0"/>
    <x v="0"/>
    <n v="33"/>
    <d v="2013-09-08T00:00:00"/>
    <x v="2"/>
    <x v="5"/>
    <x v="1"/>
    <n v="164340"/>
    <n v="0.15"/>
    <n v="24651"/>
    <n v="188991"/>
    <x v="0"/>
    <s v="Chicago"/>
    <x v="0"/>
    <n v="12"/>
  </r>
  <r>
    <x v="380"/>
    <s v="Sofia Estrada"/>
    <x v="0"/>
    <x v="0"/>
    <x v="3"/>
    <x v="1"/>
    <x v="1"/>
    <n v="42"/>
    <d v="2006-03-26T00:00:00"/>
    <x v="2"/>
    <x v="2"/>
    <x v="16"/>
    <n v="104916"/>
    <n v="0"/>
    <n v="0"/>
    <n v="104916"/>
    <x v="2"/>
    <s v="Manaus"/>
    <x v="0"/>
    <n v="19"/>
  </r>
  <r>
    <x v="381"/>
    <s v="Jordan Chen"/>
    <x v="1"/>
    <x v="4"/>
    <x v="3"/>
    <x v="0"/>
    <x v="0"/>
    <n v="60"/>
    <d v="1997-01-22T00:00:00"/>
    <x v="1"/>
    <x v="11"/>
    <x v="14"/>
    <n v="42536"/>
    <n v="0"/>
    <n v="0"/>
    <n v="42536"/>
    <x v="0"/>
    <s v="Columbus"/>
    <x v="0"/>
    <n v="28"/>
  </r>
  <r>
    <x v="382"/>
    <s v="Eloise Huang"/>
    <x v="11"/>
    <x v="4"/>
    <x v="2"/>
    <x v="1"/>
    <x v="0"/>
    <n v="51"/>
    <d v="2009-04-05T00:00:00"/>
    <x v="2"/>
    <x v="3"/>
    <x v="6"/>
    <n v="195171"/>
    <n v="0.33"/>
    <n v="64406.43"/>
    <n v="259577"/>
    <x v="0"/>
    <s v="Seattle"/>
    <x v="0"/>
    <n v="16"/>
  </r>
  <r>
    <x v="383"/>
    <s v="Ivy Mehta"/>
    <x v="15"/>
    <x v="6"/>
    <x v="0"/>
    <x v="1"/>
    <x v="0"/>
    <n v="50"/>
    <d v="2020-05-26T00:00:00"/>
    <x v="6"/>
    <x v="9"/>
    <x v="17"/>
    <n v="45290"/>
    <n v="0"/>
    <n v="0"/>
    <n v="45290"/>
    <x v="1"/>
    <s v="Chongqing"/>
    <x v="39"/>
    <n v="1"/>
  </r>
  <r>
    <x v="384"/>
    <s v="Eli Castillo"/>
    <x v="11"/>
    <x v="4"/>
    <x v="3"/>
    <x v="0"/>
    <x v="1"/>
    <n v="50"/>
    <d v="2009-12-11T00:00:00"/>
    <x v="4"/>
    <x v="10"/>
    <x v="6"/>
    <n v="203306"/>
    <n v="0.38"/>
    <n v="77256.28"/>
    <n v="280562"/>
    <x v="0"/>
    <s v="Seattle"/>
    <x v="0"/>
    <n v="15"/>
  </r>
  <r>
    <x v="385"/>
    <s v="Nolan Garcia"/>
    <x v="6"/>
    <x v="1"/>
    <x v="3"/>
    <x v="0"/>
    <x v="1"/>
    <n v="26"/>
    <d v="2022-06-16T00:00:00"/>
    <x v="3"/>
    <x v="4"/>
    <x v="0"/>
    <n v="66865"/>
    <n v="0"/>
    <n v="0"/>
    <n v="66865"/>
    <x v="2"/>
    <s v="Rio de Janeiro"/>
    <x v="0"/>
    <n v="3"/>
  </r>
  <r>
    <x v="386"/>
    <s v="Alexander Zhu"/>
    <x v="28"/>
    <x v="2"/>
    <x v="1"/>
    <x v="0"/>
    <x v="0"/>
    <n v="30"/>
    <d v="2022-10-17T00:00:00"/>
    <x v="5"/>
    <x v="1"/>
    <x v="0"/>
    <n v="89164"/>
    <n v="0"/>
    <n v="0"/>
    <n v="89164"/>
    <x v="0"/>
    <s v="Phoenix"/>
    <x v="0"/>
    <n v="2"/>
  </r>
  <r>
    <x v="387"/>
    <s v="Victoria Wu"/>
    <x v="5"/>
    <x v="1"/>
    <x v="0"/>
    <x v="1"/>
    <x v="0"/>
    <n v="35"/>
    <d v="2021-10-28T00:00:00"/>
    <x v="3"/>
    <x v="1"/>
    <x v="13"/>
    <n v="75602"/>
    <n v="0"/>
    <n v="0"/>
    <n v="75602"/>
    <x v="0"/>
    <s v="Miami"/>
    <x v="0"/>
    <n v="3"/>
  </r>
  <r>
    <x v="388"/>
    <s v="Mateo Jordan"/>
    <x v="2"/>
    <x v="2"/>
    <x v="3"/>
    <x v="0"/>
    <x v="2"/>
    <n v="44"/>
    <d v="2021-02-13T00:00:00"/>
    <x v="0"/>
    <x v="0"/>
    <x v="13"/>
    <n v="92939"/>
    <n v="0"/>
    <n v="0"/>
    <n v="92939"/>
    <x v="0"/>
    <s v="Austin"/>
    <x v="0"/>
    <n v="4"/>
  </r>
  <r>
    <x v="389"/>
    <s v="Everly Martin"/>
    <x v="6"/>
    <x v="5"/>
    <x v="3"/>
    <x v="1"/>
    <x v="3"/>
    <n v="26"/>
    <d v="2020-05-28T00:00:00"/>
    <x v="3"/>
    <x v="9"/>
    <x v="17"/>
    <n v="64278"/>
    <n v="0"/>
    <n v="0"/>
    <n v="64278"/>
    <x v="0"/>
    <s v="Columbus"/>
    <x v="0"/>
    <n v="5"/>
  </r>
  <r>
    <x v="390"/>
    <s v="Athena Castro"/>
    <x v="22"/>
    <x v="2"/>
    <x v="2"/>
    <x v="1"/>
    <x v="1"/>
    <n v="44"/>
    <d v="2013-10-04T00:00:00"/>
    <x v="4"/>
    <x v="1"/>
    <x v="1"/>
    <n v="72176"/>
    <n v="0"/>
    <n v="0"/>
    <n v="72176"/>
    <x v="2"/>
    <s v="Rio de Janeiro"/>
    <x v="0"/>
    <n v="12"/>
  </r>
  <r>
    <x v="391"/>
    <s v="Josephine White"/>
    <x v="20"/>
    <x v="2"/>
    <x v="1"/>
    <x v="1"/>
    <x v="2"/>
    <n v="61"/>
    <d v="2010-02-05T00:00:00"/>
    <x v="4"/>
    <x v="0"/>
    <x v="15"/>
    <n v="87758"/>
    <n v="0.09"/>
    <n v="7898.2199999999993"/>
    <n v="95656"/>
    <x v="0"/>
    <s v="Seattle"/>
    <x v="0"/>
    <n v="15"/>
  </r>
  <r>
    <x v="392"/>
    <s v="Nicholas Vo"/>
    <x v="6"/>
    <x v="3"/>
    <x v="1"/>
    <x v="0"/>
    <x v="0"/>
    <n v="50"/>
    <d v="2002-06-01T00:00:00"/>
    <x v="0"/>
    <x v="4"/>
    <x v="18"/>
    <n v="54646"/>
    <n v="0"/>
    <n v="0"/>
    <n v="54646"/>
    <x v="0"/>
    <s v="Seattle"/>
    <x v="0"/>
    <n v="23"/>
  </r>
  <r>
    <x v="393"/>
    <s v="Jackson Sandoval"/>
    <x v="24"/>
    <x v="6"/>
    <x v="1"/>
    <x v="0"/>
    <x v="1"/>
    <n v="61"/>
    <d v="2011-01-26T00:00:00"/>
    <x v="1"/>
    <x v="11"/>
    <x v="8"/>
    <n v="73323"/>
    <n v="0"/>
    <n v="0"/>
    <n v="73323"/>
    <x v="0"/>
    <s v="Austin"/>
    <x v="0"/>
    <n v="14"/>
  </r>
  <r>
    <x v="394"/>
    <s v="Olivia Turner"/>
    <x v="4"/>
    <x v="5"/>
    <x v="3"/>
    <x v="1"/>
    <x v="2"/>
    <n v="29"/>
    <d v="2021-01-07T00:00:00"/>
    <x v="3"/>
    <x v="11"/>
    <x v="13"/>
    <n v="151492"/>
    <n v="0.21"/>
    <n v="31813.32"/>
    <n v="183305"/>
    <x v="0"/>
    <s v="Columbus"/>
    <x v="0"/>
    <n v="4"/>
  </r>
  <r>
    <x v="395"/>
    <s v="Cooper Rivera"/>
    <x v="10"/>
    <x v="4"/>
    <x v="1"/>
    <x v="0"/>
    <x v="1"/>
    <n v="42"/>
    <d v="2005-12-26T00:00:00"/>
    <x v="5"/>
    <x v="10"/>
    <x v="4"/>
    <n v="138215"/>
    <n v="0.12"/>
    <n v="16585.8"/>
    <n v="154801"/>
    <x v="2"/>
    <s v="Manaus"/>
    <x v="0"/>
    <n v="19"/>
  </r>
  <r>
    <x v="396"/>
    <s v="Hailey Washington"/>
    <x v="10"/>
    <x v="4"/>
    <x v="3"/>
    <x v="1"/>
    <x v="3"/>
    <n v="51"/>
    <d v="2013-07-03T00:00:00"/>
    <x v="1"/>
    <x v="8"/>
    <x v="1"/>
    <n v="135578"/>
    <n v="0.1"/>
    <n v="13557.800000000001"/>
    <n v="149136"/>
    <x v="0"/>
    <s v="Miami"/>
    <x v="40"/>
    <n v="5"/>
  </r>
  <r>
    <x v="397"/>
    <s v="Mia Vasquez"/>
    <x v="16"/>
    <x v="0"/>
    <x v="2"/>
    <x v="1"/>
    <x v="1"/>
    <n v="27"/>
    <d v="2019-12-02T00:00:00"/>
    <x v="5"/>
    <x v="10"/>
    <x v="2"/>
    <n v="64297"/>
    <n v="0"/>
    <n v="0"/>
    <n v="64297"/>
    <x v="2"/>
    <s v="Manaus"/>
    <x v="0"/>
    <n v="5"/>
  </r>
  <r>
    <x v="398"/>
    <s v="Jose Grant"/>
    <x v="30"/>
    <x v="0"/>
    <x v="1"/>
    <x v="0"/>
    <x v="2"/>
    <n v="52"/>
    <d v="2021-06-28T00:00:00"/>
    <x v="5"/>
    <x v="4"/>
    <x v="13"/>
    <n v="94857"/>
    <n v="0"/>
    <n v="0"/>
    <n v="94857"/>
    <x v="0"/>
    <s v="Miami"/>
    <x v="41"/>
    <n v="1"/>
  </r>
  <r>
    <x v="399"/>
    <s v="Nathan Yee"/>
    <x v="30"/>
    <x v="0"/>
    <x v="2"/>
    <x v="0"/>
    <x v="0"/>
    <n v="58"/>
    <d v="2009-10-24T00:00:00"/>
    <x v="0"/>
    <x v="1"/>
    <x v="6"/>
    <n v="77196"/>
    <n v="0"/>
    <n v="0"/>
    <n v="77196"/>
    <x v="0"/>
    <s v="Austin"/>
    <x v="0"/>
    <n v="15"/>
  </r>
  <r>
    <x v="400"/>
    <s v="Isabella Munoz"/>
    <x v="4"/>
    <x v="1"/>
    <x v="2"/>
    <x v="1"/>
    <x v="1"/>
    <n v="45"/>
    <d v="2002-12-25T00:00:00"/>
    <x v="1"/>
    <x v="10"/>
    <x v="18"/>
    <n v="193154"/>
    <n v="0.18"/>
    <n v="34767.72"/>
    <n v="227922"/>
    <x v="2"/>
    <s v="Sao Paulo"/>
    <x v="0"/>
    <n v="22"/>
  </r>
  <r>
    <x v="401"/>
    <s v="Michael Turner"/>
    <x v="8"/>
    <x v="6"/>
    <x v="3"/>
    <x v="0"/>
    <x v="3"/>
    <n v="28"/>
    <d v="2019-12-29T00:00:00"/>
    <x v="2"/>
    <x v="10"/>
    <x v="2"/>
    <n v="115916"/>
    <n v="0.09"/>
    <n v="10432.44"/>
    <n v="126348"/>
    <x v="0"/>
    <s v="Chicago"/>
    <x v="0"/>
    <n v="5"/>
  </r>
  <r>
    <x v="402"/>
    <s v="Oliver Jones"/>
    <x v="11"/>
    <x v="3"/>
    <x v="0"/>
    <x v="0"/>
    <x v="2"/>
    <n v="56"/>
    <d v="2016-03-20T00:00:00"/>
    <x v="2"/>
    <x v="2"/>
    <x v="20"/>
    <n v="192374"/>
    <n v="0.3"/>
    <n v="57712.2"/>
    <n v="250086"/>
    <x v="0"/>
    <s v="Chicago"/>
    <x v="0"/>
    <n v="9"/>
  </r>
  <r>
    <x v="403"/>
    <s v="Charles Taylor"/>
    <x v="4"/>
    <x v="6"/>
    <x v="3"/>
    <x v="0"/>
    <x v="2"/>
    <n v="32"/>
    <d v="2019-07-15T00:00:00"/>
    <x v="5"/>
    <x v="8"/>
    <x v="2"/>
    <n v="186869"/>
    <n v="0.16"/>
    <n v="29899.040000000001"/>
    <n v="216768"/>
    <x v="0"/>
    <s v="Miami"/>
    <x v="0"/>
    <n v="6"/>
  </r>
  <r>
    <x v="404"/>
    <s v="Gianna Alvarez"/>
    <x v="15"/>
    <x v="6"/>
    <x v="0"/>
    <x v="1"/>
    <x v="1"/>
    <n v="58"/>
    <d v="1993-05-11T00:00:00"/>
    <x v="6"/>
    <x v="9"/>
    <x v="23"/>
    <n v="49293"/>
    <n v="0"/>
    <n v="0"/>
    <n v="49293"/>
    <x v="0"/>
    <s v="Columbus"/>
    <x v="0"/>
    <n v="32"/>
  </r>
  <r>
    <x v="405"/>
    <s v="Nova Martin"/>
    <x v="8"/>
    <x v="6"/>
    <x v="2"/>
    <x v="1"/>
    <x v="2"/>
    <n v="39"/>
    <d v="2013-04-13T00:00:00"/>
    <x v="0"/>
    <x v="3"/>
    <x v="1"/>
    <n v="129087"/>
    <n v="0.05"/>
    <n v="6454.35"/>
    <n v="135541"/>
    <x v="0"/>
    <s v="Seattle"/>
    <x v="0"/>
    <n v="12"/>
  </r>
  <r>
    <x v="406"/>
    <s v="Julia Gonzalez"/>
    <x v="1"/>
    <x v="4"/>
    <x v="2"/>
    <x v="1"/>
    <x v="1"/>
    <n v="46"/>
    <d v="2005-02-15T00:00:00"/>
    <x v="6"/>
    <x v="0"/>
    <x v="4"/>
    <n v="54831"/>
    <n v="0"/>
    <n v="0"/>
    <n v="54831"/>
    <x v="2"/>
    <s v="Sao Paulo"/>
    <x v="0"/>
    <n v="20"/>
  </r>
  <r>
    <x v="407"/>
    <s v="Athena Vu"/>
    <x v="1"/>
    <x v="5"/>
    <x v="3"/>
    <x v="1"/>
    <x v="0"/>
    <n v="26"/>
    <d v="2020-11-28T00:00:00"/>
    <x v="0"/>
    <x v="7"/>
    <x v="17"/>
    <n v="51825"/>
    <n v="0"/>
    <n v="0"/>
    <n v="51825"/>
    <x v="0"/>
    <s v="Phoenix"/>
    <x v="0"/>
    <n v="4"/>
  </r>
  <r>
    <x v="408"/>
    <s v="Caroline Bui"/>
    <x v="26"/>
    <x v="0"/>
    <x v="0"/>
    <x v="1"/>
    <x v="0"/>
    <n v="36"/>
    <d v="2019-09-15T00:00:00"/>
    <x v="2"/>
    <x v="5"/>
    <x v="2"/>
    <n v="67457"/>
    <n v="0"/>
    <n v="0"/>
    <n v="67457"/>
    <x v="1"/>
    <s v="Shanghai"/>
    <x v="0"/>
    <n v="6"/>
  </r>
  <r>
    <x v="409"/>
    <s v="Daniel Ali"/>
    <x v="18"/>
    <x v="2"/>
    <x v="1"/>
    <x v="0"/>
    <x v="0"/>
    <n v="43"/>
    <d v="2019-09-28T00:00:00"/>
    <x v="0"/>
    <x v="5"/>
    <x v="2"/>
    <n v="94555"/>
    <n v="0"/>
    <n v="0"/>
    <n v="94555"/>
    <x v="0"/>
    <s v="Austin"/>
    <x v="0"/>
    <n v="6"/>
  </r>
  <r>
    <x v="410"/>
    <s v="Iris Huang"/>
    <x v="4"/>
    <x v="6"/>
    <x v="1"/>
    <x v="1"/>
    <x v="0"/>
    <n v="45"/>
    <d v="2008-03-28T00:00:00"/>
    <x v="4"/>
    <x v="2"/>
    <x v="24"/>
    <n v="163686"/>
    <n v="0.25"/>
    <n v="40921.5"/>
    <n v="204608"/>
    <x v="1"/>
    <s v="Chengdu"/>
    <x v="0"/>
    <n v="17"/>
  </r>
  <r>
    <x v="411"/>
    <s v="Natalia Cheng"/>
    <x v="9"/>
    <x v="2"/>
    <x v="1"/>
    <x v="1"/>
    <x v="0"/>
    <n v="65"/>
    <d v="2002-07-29T00:00:00"/>
    <x v="5"/>
    <x v="8"/>
    <x v="18"/>
    <n v="47919"/>
    <n v="0"/>
    <n v="0"/>
    <n v="47919"/>
    <x v="1"/>
    <s v="Beijing"/>
    <x v="0"/>
    <n v="23"/>
  </r>
  <r>
    <x v="412"/>
    <s v="Owen Evans"/>
    <x v="19"/>
    <x v="2"/>
    <x v="0"/>
    <x v="0"/>
    <x v="2"/>
    <n v="34"/>
    <d v="2021-05-28T00:00:00"/>
    <x v="4"/>
    <x v="9"/>
    <x v="13"/>
    <n v="68972"/>
    <n v="0"/>
    <n v="0"/>
    <n v="68972"/>
    <x v="0"/>
    <s v="Austin"/>
    <x v="42"/>
    <n v="1"/>
  </r>
  <r>
    <x v="413"/>
    <s v="Angel Dixon"/>
    <x v="1"/>
    <x v="1"/>
    <x v="0"/>
    <x v="0"/>
    <x v="2"/>
    <n v="52"/>
    <d v="2002-04-01T00:00:00"/>
    <x v="5"/>
    <x v="3"/>
    <x v="18"/>
    <n v="50775"/>
    <n v="0"/>
    <n v="0"/>
    <n v="50775"/>
    <x v="0"/>
    <s v="Seattle"/>
    <x v="0"/>
    <n v="23"/>
  </r>
  <r>
    <x v="414"/>
    <s v="Aubrey Guerrero"/>
    <x v="10"/>
    <x v="5"/>
    <x v="1"/>
    <x v="1"/>
    <x v="1"/>
    <n v="39"/>
    <d v="2013-02-12T00:00:00"/>
    <x v="6"/>
    <x v="0"/>
    <x v="1"/>
    <n v="122713"/>
    <n v="0.13"/>
    <n v="15952.69"/>
    <n v="138666"/>
    <x v="2"/>
    <s v="Sao Paulo"/>
    <x v="0"/>
    <n v="12"/>
  </r>
  <r>
    <x v="415"/>
    <s v="Ivy Do"/>
    <x v="6"/>
    <x v="3"/>
    <x v="1"/>
    <x v="1"/>
    <x v="0"/>
    <n v="57"/>
    <d v="1993-05-13T00:00:00"/>
    <x v="3"/>
    <x v="9"/>
    <x v="23"/>
    <n v="57230"/>
    <n v="0"/>
    <n v="0"/>
    <n v="57230"/>
    <x v="0"/>
    <s v="Austin"/>
    <x v="0"/>
    <n v="32"/>
  </r>
  <r>
    <x v="416"/>
    <s v="Kai Gutierrez"/>
    <x v="10"/>
    <x v="5"/>
    <x v="3"/>
    <x v="0"/>
    <x v="1"/>
    <n v="63"/>
    <d v="1997-12-17T00:00:00"/>
    <x v="1"/>
    <x v="10"/>
    <x v="14"/>
    <n v="148794"/>
    <n v="0.1"/>
    <n v="14879.400000000001"/>
    <n v="163673"/>
    <x v="2"/>
    <s v="Manaus"/>
    <x v="0"/>
    <n v="27"/>
  </r>
  <r>
    <x v="417"/>
    <s v="Caroline Ahmed"/>
    <x v="10"/>
    <x v="5"/>
    <x v="2"/>
    <x v="1"/>
    <x v="0"/>
    <n v="32"/>
    <d v="2016-12-23T00:00:00"/>
    <x v="4"/>
    <x v="10"/>
    <x v="20"/>
    <n v="155884"/>
    <n v="0.13"/>
    <n v="20264.920000000002"/>
    <n v="176149"/>
    <x v="0"/>
    <s v="Miami"/>
    <x v="0"/>
    <n v="8"/>
  </r>
  <r>
    <x v="418"/>
    <s v="Alice Sharma"/>
    <x v="14"/>
    <x v="1"/>
    <x v="2"/>
    <x v="1"/>
    <x v="0"/>
    <n v="51"/>
    <d v="2018-10-05T00:00:00"/>
    <x v="4"/>
    <x v="1"/>
    <x v="3"/>
    <n v="50975"/>
    <n v="0"/>
    <n v="0"/>
    <n v="50975"/>
    <x v="1"/>
    <s v="Chengdu"/>
    <x v="0"/>
    <n v="7"/>
  </r>
  <r>
    <x v="419"/>
    <s v="Leo Simmons"/>
    <x v="1"/>
    <x v="3"/>
    <x v="2"/>
    <x v="0"/>
    <x v="3"/>
    <n v="38"/>
    <d v="2017-12-13T00:00:00"/>
    <x v="1"/>
    <x v="10"/>
    <x v="12"/>
    <n v="52200"/>
    <n v="0"/>
    <n v="0"/>
    <n v="52200"/>
    <x v="0"/>
    <s v="Phoenix"/>
    <x v="0"/>
    <n v="7"/>
  </r>
  <r>
    <x v="420"/>
    <s v="Asher Hong"/>
    <x v="4"/>
    <x v="4"/>
    <x v="2"/>
    <x v="0"/>
    <x v="0"/>
    <n v="53"/>
    <d v="2018-04-17T00:00:00"/>
    <x v="6"/>
    <x v="3"/>
    <x v="3"/>
    <n v="154141"/>
    <n v="0.26"/>
    <n v="40076.660000000003"/>
    <n v="194218"/>
    <x v="1"/>
    <s v="Chongqing"/>
    <x v="0"/>
    <n v="7"/>
  </r>
  <r>
    <x v="421"/>
    <s v="Gianna Ramirez"/>
    <x v="26"/>
    <x v="0"/>
    <x v="3"/>
    <x v="1"/>
    <x v="1"/>
    <n v="59"/>
    <d v="1993-07-25T00:00:00"/>
    <x v="2"/>
    <x v="8"/>
    <x v="23"/>
    <n v="69245"/>
    <n v="0"/>
    <n v="0"/>
    <n v="69245"/>
    <x v="0"/>
    <s v="Phoenix"/>
    <x v="0"/>
    <n v="32"/>
  </r>
  <r>
    <x v="422"/>
    <s v="Thomas Smith"/>
    <x v="26"/>
    <x v="0"/>
    <x v="3"/>
    <x v="0"/>
    <x v="2"/>
    <n v="57"/>
    <d v="1999-04-02T00:00:00"/>
    <x v="4"/>
    <x v="3"/>
    <x v="7"/>
    <n v="78212"/>
    <n v="0"/>
    <n v="0"/>
    <n v="78212"/>
    <x v="0"/>
    <s v="Miami"/>
    <x v="43"/>
    <n v="11"/>
  </r>
  <r>
    <x v="423"/>
    <s v="Carter Hunter"/>
    <x v="5"/>
    <x v="3"/>
    <x v="1"/>
    <x v="0"/>
    <x v="2"/>
    <n v="41"/>
    <d v="2019-10-07T00:00:00"/>
    <x v="5"/>
    <x v="1"/>
    <x v="2"/>
    <n v="72650"/>
    <n v="0"/>
    <n v="0"/>
    <n v="72650"/>
    <x v="0"/>
    <s v="Austin"/>
    <x v="44"/>
    <n v="0"/>
  </r>
  <r>
    <x v="424"/>
    <s v="Charlotte Green"/>
    <x v="21"/>
    <x v="0"/>
    <x v="2"/>
    <x v="1"/>
    <x v="2"/>
    <n v="33"/>
    <d v="2020-11-10T00:00:00"/>
    <x v="6"/>
    <x v="7"/>
    <x v="17"/>
    <n v="124681"/>
    <n v="0"/>
    <n v="0"/>
    <n v="124681"/>
    <x v="0"/>
    <s v="Phoenix"/>
    <x v="0"/>
    <n v="4"/>
  </r>
  <r>
    <x v="425"/>
    <s v="Lincoln Holmes"/>
    <x v="2"/>
    <x v="2"/>
    <x v="2"/>
    <x v="0"/>
    <x v="3"/>
    <n v="35"/>
    <d v="2013-08-21T00:00:00"/>
    <x v="1"/>
    <x v="6"/>
    <x v="1"/>
    <n v="89051"/>
    <n v="0"/>
    <n v="0"/>
    <n v="89051"/>
    <x v="0"/>
    <s v="Chicago"/>
    <x v="0"/>
    <n v="12"/>
  </r>
  <r>
    <x v="426"/>
    <s v="Hudson Hu"/>
    <x v="21"/>
    <x v="0"/>
    <x v="2"/>
    <x v="0"/>
    <x v="0"/>
    <n v="36"/>
    <d v="2019-12-02T00:00:00"/>
    <x v="5"/>
    <x v="10"/>
    <x v="2"/>
    <n v="121049"/>
    <n v="0"/>
    <n v="0"/>
    <n v="121049"/>
    <x v="0"/>
    <s v="Seattle"/>
    <x v="45"/>
    <n v="3"/>
  </r>
  <r>
    <x v="427"/>
    <s v="Noah Mitchell"/>
    <x v="27"/>
    <x v="2"/>
    <x v="2"/>
    <x v="0"/>
    <x v="2"/>
    <n v="54"/>
    <d v="2007-06-15T00:00:00"/>
    <x v="4"/>
    <x v="4"/>
    <x v="25"/>
    <n v="70519"/>
    <n v="0"/>
    <n v="0"/>
    <n v="70519"/>
    <x v="0"/>
    <s v="Columbus"/>
    <x v="0"/>
    <n v="18"/>
  </r>
  <r>
    <x v="428"/>
    <s v="Liliana Choi"/>
    <x v="8"/>
    <x v="2"/>
    <x v="2"/>
    <x v="1"/>
    <x v="0"/>
    <n v="55"/>
    <d v="2007-01-25T00:00:00"/>
    <x v="3"/>
    <x v="11"/>
    <x v="25"/>
    <n v="106302"/>
    <n v="0.08"/>
    <n v="8504.16"/>
    <n v="114806"/>
    <x v="0"/>
    <s v="Austin"/>
    <x v="0"/>
    <n v="18"/>
  </r>
  <r>
    <x v="429"/>
    <s v="Leonardo Cho"/>
    <x v="25"/>
    <x v="0"/>
    <x v="3"/>
    <x v="0"/>
    <x v="0"/>
    <n v="38"/>
    <d v="2008-08-25T00:00:00"/>
    <x v="5"/>
    <x v="6"/>
    <x v="24"/>
    <n v="119960"/>
    <n v="0.15"/>
    <n v="17994"/>
    <n v="137954"/>
    <x v="0"/>
    <s v="Columbus"/>
    <x v="0"/>
    <n v="17"/>
  </r>
  <r>
    <x v="430"/>
    <s v="Oliver Delgado"/>
    <x v="16"/>
    <x v="0"/>
    <x v="2"/>
    <x v="0"/>
    <x v="1"/>
    <n v="45"/>
    <d v="2017-02-22T00:00:00"/>
    <x v="1"/>
    <x v="0"/>
    <x v="12"/>
    <n v="84309"/>
    <n v="0"/>
    <n v="0"/>
    <n v="84309"/>
    <x v="2"/>
    <s v="Manaus"/>
    <x v="0"/>
    <n v="8"/>
  </r>
  <r>
    <x v="431"/>
    <s v="Isabella Roberts"/>
    <x v="11"/>
    <x v="0"/>
    <x v="0"/>
    <x v="1"/>
    <x v="2"/>
    <n v="53"/>
    <d v="2007-08-20T00:00:00"/>
    <x v="5"/>
    <x v="6"/>
    <x v="25"/>
    <n v="228494"/>
    <n v="0.33"/>
    <n v="75403.02"/>
    <n v="303897"/>
    <x v="0"/>
    <s v="Austin"/>
    <x v="0"/>
    <n v="18"/>
  </r>
  <r>
    <x v="432"/>
    <s v="Luca Desai"/>
    <x v="8"/>
    <x v="1"/>
    <x v="3"/>
    <x v="0"/>
    <x v="0"/>
    <n v="45"/>
    <d v="2017-05-23T00:00:00"/>
    <x v="6"/>
    <x v="9"/>
    <x v="12"/>
    <n v="112076"/>
    <n v="0.06"/>
    <n v="6724.5599999999995"/>
    <n v="118801"/>
    <x v="1"/>
    <s v="Chengdu"/>
    <x v="0"/>
    <n v="8"/>
  </r>
  <r>
    <x v="433"/>
    <s v="William Juarez"/>
    <x v="13"/>
    <x v="2"/>
    <x v="3"/>
    <x v="0"/>
    <x v="1"/>
    <n v="65"/>
    <d v="2016-07-29T00:00:00"/>
    <x v="4"/>
    <x v="8"/>
    <x v="20"/>
    <n v="88533"/>
    <n v="0"/>
    <n v="0"/>
    <n v="88533"/>
    <x v="2"/>
    <s v="Rio de Janeiro"/>
    <x v="0"/>
    <n v="9"/>
  </r>
  <r>
    <x v="434"/>
    <s v="Ryan Alvarez"/>
    <x v="24"/>
    <x v="6"/>
    <x v="2"/>
    <x v="0"/>
    <x v="1"/>
    <n v="62"/>
    <d v="2018-11-29T00:00:00"/>
    <x v="3"/>
    <x v="7"/>
    <x v="3"/>
    <n v="72025"/>
    <n v="0"/>
    <n v="0"/>
    <n v="72025"/>
    <x v="2"/>
    <s v="Manaus"/>
    <x v="0"/>
    <n v="6"/>
  </r>
  <r>
    <x v="435"/>
    <s v="Hudson Ha"/>
    <x v="26"/>
    <x v="0"/>
    <x v="0"/>
    <x v="0"/>
    <x v="0"/>
    <n v="59"/>
    <d v="2004-02-06T00:00:00"/>
    <x v="4"/>
    <x v="0"/>
    <x v="5"/>
    <n v="67947"/>
    <n v="0"/>
    <n v="0"/>
    <n v="67947"/>
    <x v="1"/>
    <s v="Shanghai"/>
    <x v="0"/>
    <n v="21"/>
  </r>
  <r>
    <x v="436"/>
    <s v="Hannah Brown"/>
    <x v="18"/>
    <x v="2"/>
    <x v="0"/>
    <x v="1"/>
    <x v="2"/>
    <n v="42"/>
    <d v="2020-07-12T00:00:00"/>
    <x v="2"/>
    <x v="8"/>
    <x v="17"/>
    <n v="79764"/>
    <n v="0"/>
    <n v="0"/>
    <n v="79764"/>
    <x v="0"/>
    <s v="Austin"/>
    <x v="46"/>
    <n v="0"/>
  </r>
  <r>
    <x v="437"/>
    <s v="Hadley Le"/>
    <x v="18"/>
    <x v="2"/>
    <x v="2"/>
    <x v="1"/>
    <x v="0"/>
    <n v="33"/>
    <d v="2015-03-18T00:00:00"/>
    <x v="1"/>
    <x v="2"/>
    <x v="9"/>
    <n v="60690"/>
    <n v="0"/>
    <n v="0"/>
    <n v="60690"/>
    <x v="1"/>
    <s v="Chongqing"/>
    <x v="0"/>
    <n v="10"/>
  </r>
  <r>
    <x v="438"/>
    <s v="Jaxson Shah"/>
    <x v="1"/>
    <x v="3"/>
    <x v="1"/>
    <x v="0"/>
    <x v="0"/>
    <n v="29"/>
    <d v="2018-08-25T00:00:00"/>
    <x v="0"/>
    <x v="6"/>
    <x v="3"/>
    <n v="44520"/>
    <n v="0"/>
    <n v="0"/>
    <n v="44520"/>
    <x v="0"/>
    <s v="Chicago"/>
    <x v="0"/>
    <n v="7"/>
  </r>
  <r>
    <x v="439"/>
    <s v="Christopher Delgado"/>
    <x v="28"/>
    <x v="2"/>
    <x v="1"/>
    <x v="0"/>
    <x v="1"/>
    <n v="33"/>
    <d v="2022-06-24T00:00:00"/>
    <x v="4"/>
    <x v="4"/>
    <x v="0"/>
    <n v="84317"/>
    <n v="0"/>
    <n v="0"/>
    <n v="84317"/>
    <x v="2"/>
    <s v="Rio de Janeiro"/>
    <x v="0"/>
    <n v="3"/>
  </r>
  <r>
    <x v="440"/>
    <s v="Hannah Ng"/>
    <x v="4"/>
    <x v="1"/>
    <x v="0"/>
    <x v="1"/>
    <x v="0"/>
    <n v="36"/>
    <d v="2015-05-14T00:00:00"/>
    <x v="3"/>
    <x v="9"/>
    <x v="9"/>
    <n v="151055"/>
    <n v="0.19"/>
    <n v="28700.45"/>
    <n v="179755"/>
    <x v="0"/>
    <s v="Columbus"/>
    <x v="0"/>
    <n v="10"/>
  </r>
  <r>
    <x v="441"/>
    <s v="Austin Ngo"/>
    <x v="28"/>
    <x v="2"/>
    <x v="2"/>
    <x v="0"/>
    <x v="0"/>
    <n v="43"/>
    <d v="2020-03-27T00:00:00"/>
    <x v="4"/>
    <x v="2"/>
    <x v="17"/>
    <n v="62492"/>
    <n v="0"/>
    <n v="0"/>
    <n v="62492"/>
    <x v="0"/>
    <s v="Columbus"/>
    <x v="0"/>
    <n v="5"/>
  </r>
  <r>
    <x v="442"/>
    <s v="Gianna Han"/>
    <x v="24"/>
    <x v="6"/>
    <x v="2"/>
    <x v="1"/>
    <x v="0"/>
    <n v="51"/>
    <d v="2011-02-27T00:00:00"/>
    <x v="2"/>
    <x v="0"/>
    <x v="8"/>
    <n v="72589"/>
    <n v="0"/>
    <n v="0"/>
    <n v="72589"/>
    <x v="0"/>
    <s v="Austin"/>
    <x v="0"/>
    <n v="14"/>
  </r>
  <r>
    <x v="443"/>
    <s v="Isaac Choi"/>
    <x v="32"/>
    <x v="0"/>
    <x v="1"/>
    <x v="0"/>
    <x v="0"/>
    <n v="27"/>
    <d v="2021-01-21T00:00:00"/>
    <x v="3"/>
    <x v="11"/>
    <x v="13"/>
    <n v="82286"/>
    <n v="0"/>
    <n v="0"/>
    <n v="82286"/>
    <x v="0"/>
    <s v="Chicago"/>
    <x v="47"/>
    <n v="1"/>
  </r>
  <r>
    <x v="444"/>
    <s v="Madeline Smith"/>
    <x v="18"/>
    <x v="2"/>
    <x v="2"/>
    <x v="1"/>
    <x v="2"/>
    <n v="55"/>
    <d v="2011-11-23T00:00:00"/>
    <x v="1"/>
    <x v="7"/>
    <x v="8"/>
    <n v="66660"/>
    <n v="0"/>
    <n v="0"/>
    <n v="66660"/>
    <x v="0"/>
    <s v="Phoenix"/>
    <x v="48"/>
    <n v="5"/>
  </r>
  <r>
    <x v="445"/>
    <s v="Ellie Fernandez"/>
    <x v="31"/>
    <x v="0"/>
    <x v="3"/>
    <x v="1"/>
    <x v="1"/>
    <n v="62"/>
    <d v="2009-08-18T00:00:00"/>
    <x v="6"/>
    <x v="6"/>
    <x v="6"/>
    <n v="86805"/>
    <n v="0"/>
    <n v="0"/>
    <n v="86805"/>
    <x v="0"/>
    <s v="Austin"/>
    <x v="0"/>
    <n v="16"/>
  </r>
  <r>
    <x v="446"/>
    <s v="Lyla Lai"/>
    <x v="8"/>
    <x v="6"/>
    <x v="3"/>
    <x v="1"/>
    <x v="0"/>
    <n v="46"/>
    <d v="2004-08-11T00:00:00"/>
    <x v="1"/>
    <x v="6"/>
    <x v="5"/>
    <n v="125878"/>
    <n v="0.1"/>
    <n v="12587.800000000001"/>
    <n v="138466"/>
    <x v="0"/>
    <s v="Austin"/>
    <x v="49"/>
    <n v="4"/>
  </r>
  <r>
    <x v="447"/>
    <s v="Emily Moore"/>
    <x v="1"/>
    <x v="3"/>
    <x v="2"/>
    <x v="1"/>
    <x v="3"/>
    <n v="47"/>
    <d v="2009-11-08T00:00:00"/>
    <x v="2"/>
    <x v="7"/>
    <x v="6"/>
    <n v="50290"/>
    <n v="0"/>
    <n v="0"/>
    <n v="50290"/>
    <x v="0"/>
    <s v="Columbus"/>
    <x v="0"/>
    <n v="15"/>
  </r>
  <r>
    <x v="448"/>
    <s v="Aubrey Moreno"/>
    <x v="20"/>
    <x v="2"/>
    <x v="2"/>
    <x v="1"/>
    <x v="1"/>
    <n v="57"/>
    <d v="2000-06-30T00:00:00"/>
    <x v="4"/>
    <x v="4"/>
    <x v="27"/>
    <n v="97083"/>
    <n v="0.06"/>
    <n v="5824.98"/>
    <n v="102908"/>
    <x v="0"/>
    <s v="Austin"/>
    <x v="50"/>
    <n v="8"/>
  </r>
  <r>
    <x v="449"/>
    <s v="Nova Xiong"/>
    <x v="2"/>
    <x v="2"/>
    <x v="1"/>
    <x v="1"/>
    <x v="0"/>
    <n v="49"/>
    <d v="2019-04-10T00:00:00"/>
    <x v="1"/>
    <x v="3"/>
    <x v="2"/>
    <n v="93306"/>
    <n v="0"/>
    <n v="0"/>
    <n v="93306"/>
    <x v="1"/>
    <s v="Beijing"/>
    <x v="0"/>
    <n v="6"/>
  </r>
  <r>
    <x v="450"/>
    <s v="Eva Lam"/>
    <x v="26"/>
    <x v="0"/>
    <x v="0"/>
    <x v="1"/>
    <x v="0"/>
    <n v="42"/>
    <d v="2022-03-08T00:00:00"/>
    <x v="6"/>
    <x v="2"/>
    <x v="0"/>
    <n v="73404"/>
    <n v="0"/>
    <n v="0"/>
    <n v="73404"/>
    <x v="0"/>
    <s v="Austin"/>
    <x v="0"/>
    <n v="3"/>
  </r>
  <r>
    <x v="451"/>
    <s v="Caroline Chau"/>
    <x v="3"/>
    <x v="2"/>
    <x v="3"/>
    <x v="1"/>
    <x v="0"/>
    <n v="55"/>
    <d v="2022-12-07T00:00:00"/>
    <x v="1"/>
    <x v="10"/>
    <x v="0"/>
    <n v="91179"/>
    <n v="0"/>
    <n v="0"/>
    <n v="91179"/>
    <x v="0"/>
    <s v="Columbus"/>
    <x v="51"/>
    <n v="0"/>
  </r>
  <r>
    <x v="452"/>
    <s v="Sofia Chen"/>
    <x v="8"/>
    <x v="4"/>
    <x v="3"/>
    <x v="1"/>
    <x v="0"/>
    <n v="46"/>
    <d v="2006-08-27T00:00:00"/>
    <x v="2"/>
    <x v="6"/>
    <x v="16"/>
    <n v="108003"/>
    <n v="0.05"/>
    <n v="5400.1500000000005"/>
    <n v="113403"/>
    <x v="1"/>
    <s v="Chengdu"/>
    <x v="0"/>
    <n v="19"/>
  </r>
  <r>
    <x v="453"/>
    <s v="Christopher Sharma"/>
    <x v="7"/>
    <x v="2"/>
    <x v="1"/>
    <x v="0"/>
    <x v="0"/>
    <n v="45"/>
    <d v="2004-04-16T00:00:00"/>
    <x v="4"/>
    <x v="3"/>
    <x v="5"/>
    <n v="81384"/>
    <n v="0"/>
    <n v="0"/>
    <n v="81384"/>
    <x v="1"/>
    <s v="Beijing"/>
    <x v="0"/>
    <n v="21"/>
  </r>
  <r>
    <x v="454"/>
    <s v="Lucas Grant"/>
    <x v="23"/>
    <x v="6"/>
    <x v="0"/>
    <x v="0"/>
    <x v="2"/>
    <n v="53"/>
    <d v="2012-03-28T00:00:00"/>
    <x v="1"/>
    <x v="2"/>
    <x v="21"/>
    <n v="97218"/>
    <n v="0"/>
    <n v="0"/>
    <n v="97218"/>
    <x v="0"/>
    <s v="Austin"/>
    <x v="0"/>
    <n v="13"/>
  </r>
  <r>
    <x v="455"/>
    <s v="Delilah Washington"/>
    <x v="1"/>
    <x v="1"/>
    <x v="2"/>
    <x v="1"/>
    <x v="2"/>
    <n v="46"/>
    <d v="2006-09-17T00:00:00"/>
    <x v="2"/>
    <x v="5"/>
    <x v="16"/>
    <n v="42944"/>
    <n v="0"/>
    <n v="0"/>
    <n v="42944"/>
    <x v="0"/>
    <s v="Miami"/>
    <x v="0"/>
    <n v="19"/>
  </r>
  <r>
    <x v="456"/>
    <s v="Eloise Molina"/>
    <x v="1"/>
    <x v="4"/>
    <x v="2"/>
    <x v="1"/>
    <x v="1"/>
    <n v="48"/>
    <d v="2015-01-18T00:00:00"/>
    <x v="2"/>
    <x v="11"/>
    <x v="9"/>
    <n v="43980"/>
    <n v="0"/>
    <n v="0"/>
    <n v="43980"/>
    <x v="0"/>
    <s v="Columbus"/>
    <x v="0"/>
    <n v="10"/>
  </r>
  <r>
    <x v="457"/>
    <s v="Clara Desai"/>
    <x v="8"/>
    <x v="5"/>
    <x v="1"/>
    <x v="1"/>
    <x v="0"/>
    <n v="33"/>
    <d v="2014-11-20T00:00:00"/>
    <x v="3"/>
    <x v="7"/>
    <x v="11"/>
    <n v="109533"/>
    <n v="0.05"/>
    <n v="5476.6500000000005"/>
    <n v="115010"/>
    <x v="1"/>
    <s v="Chengdu"/>
    <x v="0"/>
    <n v="10"/>
  </r>
  <r>
    <x v="458"/>
    <s v="Audrey Campbell"/>
    <x v="11"/>
    <x v="3"/>
    <x v="2"/>
    <x v="1"/>
    <x v="2"/>
    <n v="56"/>
    <d v="2008-07-30T00:00:00"/>
    <x v="1"/>
    <x v="8"/>
    <x v="24"/>
    <n v="226952"/>
    <n v="0.39"/>
    <n v="88511.28"/>
    <n v="315463"/>
    <x v="0"/>
    <s v="Miami"/>
    <x v="0"/>
    <n v="17"/>
  </r>
  <r>
    <x v="459"/>
    <s v="Delilah Alvarez"/>
    <x v="7"/>
    <x v="2"/>
    <x v="0"/>
    <x v="1"/>
    <x v="1"/>
    <n v="59"/>
    <d v="2007-11-27T00:00:00"/>
    <x v="6"/>
    <x v="7"/>
    <x v="25"/>
    <n v="71580"/>
    <n v="0"/>
    <n v="0"/>
    <n v="71580"/>
    <x v="0"/>
    <s v="Seattle"/>
    <x v="0"/>
    <n v="17"/>
  </r>
  <r>
    <x v="460"/>
    <s v="Luke Luna"/>
    <x v="6"/>
    <x v="4"/>
    <x v="0"/>
    <x v="0"/>
    <x v="1"/>
    <n v="55"/>
    <d v="2012-11-16T00:00:00"/>
    <x v="4"/>
    <x v="7"/>
    <x v="21"/>
    <n v="66172"/>
    <n v="0"/>
    <n v="0"/>
    <n v="66172"/>
    <x v="2"/>
    <s v="Manaus"/>
    <x v="0"/>
    <n v="12"/>
  </r>
  <r>
    <x v="461"/>
    <s v="Elizabeth Tan"/>
    <x v="11"/>
    <x v="5"/>
    <x v="2"/>
    <x v="1"/>
    <x v="0"/>
    <n v="46"/>
    <d v="2018-07-27T00:00:00"/>
    <x v="4"/>
    <x v="8"/>
    <x v="3"/>
    <n v="237489"/>
    <n v="0.3"/>
    <n v="71246.7"/>
    <n v="308736"/>
    <x v="0"/>
    <s v="Chicago"/>
    <x v="0"/>
    <n v="7"/>
  </r>
  <r>
    <x v="462"/>
    <s v="Sophia Wang"/>
    <x v="1"/>
    <x v="5"/>
    <x v="3"/>
    <x v="1"/>
    <x v="0"/>
    <n v="50"/>
    <d v="2000-05-20T00:00:00"/>
    <x v="0"/>
    <x v="9"/>
    <x v="27"/>
    <n v="48733"/>
    <n v="0"/>
    <n v="0"/>
    <n v="48733"/>
    <x v="0"/>
    <s v="Seattle"/>
    <x v="0"/>
    <n v="25"/>
  </r>
  <r>
    <x v="463"/>
    <s v="Nova Park"/>
    <x v="1"/>
    <x v="1"/>
    <x v="1"/>
    <x v="1"/>
    <x v="0"/>
    <n v="29"/>
    <d v="2017-07-23T00:00:00"/>
    <x v="2"/>
    <x v="8"/>
    <x v="12"/>
    <n v="48563"/>
    <n v="0"/>
    <n v="0"/>
    <n v="48563"/>
    <x v="1"/>
    <s v="Shanghai"/>
    <x v="0"/>
    <n v="8"/>
  </r>
  <r>
    <x v="464"/>
    <s v="Josiah Khan"/>
    <x v="18"/>
    <x v="2"/>
    <x v="0"/>
    <x v="0"/>
    <x v="0"/>
    <n v="57"/>
    <d v="2004-10-26T00:00:00"/>
    <x v="6"/>
    <x v="1"/>
    <x v="5"/>
    <n v="86592"/>
    <n v="0"/>
    <n v="0"/>
    <n v="86592"/>
    <x v="1"/>
    <s v="Chongqing"/>
    <x v="0"/>
    <n v="20"/>
  </r>
  <r>
    <x v="465"/>
    <s v="Madison Gray"/>
    <x v="11"/>
    <x v="4"/>
    <x v="2"/>
    <x v="1"/>
    <x v="2"/>
    <n v="39"/>
    <d v="2011-08-29T00:00:00"/>
    <x v="5"/>
    <x v="6"/>
    <x v="8"/>
    <n v="189823"/>
    <n v="0.38"/>
    <n v="72132.740000000005"/>
    <n v="261956"/>
    <x v="0"/>
    <s v="Columbus"/>
    <x v="0"/>
    <n v="14"/>
  </r>
  <r>
    <x v="466"/>
    <s v="Luca Washington"/>
    <x v="19"/>
    <x v="2"/>
    <x v="1"/>
    <x v="0"/>
    <x v="3"/>
    <n v="40"/>
    <d v="2022-06-27T00:00:00"/>
    <x v="5"/>
    <x v="4"/>
    <x v="0"/>
    <n v="65075"/>
    <n v="0"/>
    <n v="0"/>
    <n v="65075"/>
    <x v="0"/>
    <s v="Phoenix"/>
    <x v="0"/>
    <n v="3"/>
  </r>
  <r>
    <x v="467"/>
    <s v="Isaac Cruz"/>
    <x v="11"/>
    <x v="6"/>
    <x v="3"/>
    <x v="0"/>
    <x v="1"/>
    <n v="33"/>
    <d v="2018-05-09T00:00:00"/>
    <x v="1"/>
    <x v="9"/>
    <x v="3"/>
    <n v="187917"/>
    <n v="0.35"/>
    <n v="65770.95"/>
    <n v="253688"/>
    <x v="0"/>
    <s v="Chicago"/>
    <x v="0"/>
    <n v="7"/>
  </r>
  <r>
    <x v="468"/>
    <s v="Ellie Ortega"/>
    <x v="1"/>
    <x v="1"/>
    <x v="3"/>
    <x v="1"/>
    <x v="1"/>
    <n v="49"/>
    <d v="2020-10-20T00:00:00"/>
    <x v="6"/>
    <x v="1"/>
    <x v="17"/>
    <n v="42242"/>
    <n v="0"/>
    <n v="0"/>
    <n v="42242"/>
    <x v="2"/>
    <s v="Sao Paulo"/>
    <x v="0"/>
    <n v="4"/>
  </r>
  <r>
    <x v="469"/>
    <s v="Ian Huang"/>
    <x v="1"/>
    <x v="1"/>
    <x v="2"/>
    <x v="0"/>
    <x v="0"/>
    <n v="54"/>
    <d v="1998-02-07T00:00:00"/>
    <x v="0"/>
    <x v="0"/>
    <x v="22"/>
    <n v="53931"/>
    <n v="0"/>
    <n v="0"/>
    <n v="53931"/>
    <x v="0"/>
    <s v="Columbus"/>
    <x v="0"/>
    <n v="27"/>
  </r>
  <r>
    <x v="470"/>
    <s v="Jayden Ahmed"/>
    <x v="10"/>
    <x v="2"/>
    <x v="1"/>
    <x v="0"/>
    <x v="0"/>
    <n v="51"/>
    <d v="2006-03-28T00:00:00"/>
    <x v="6"/>
    <x v="2"/>
    <x v="16"/>
    <n v="140668"/>
    <n v="0.12"/>
    <n v="16880.16"/>
    <n v="157548"/>
    <x v="1"/>
    <s v="Chengdu"/>
    <x v="0"/>
    <n v="19"/>
  </r>
  <r>
    <x v="471"/>
    <s v="Violet Simmons"/>
    <x v="1"/>
    <x v="5"/>
    <x v="2"/>
    <x v="1"/>
    <x v="2"/>
    <n v="33"/>
    <d v="2017-10-23T00:00:00"/>
    <x v="5"/>
    <x v="1"/>
    <x v="12"/>
    <n v="53948"/>
    <n v="0"/>
    <n v="0"/>
    <n v="53948"/>
    <x v="0"/>
    <s v="Phoenix"/>
    <x v="0"/>
    <n v="7"/>
  </r>
  <r>
    <x v="472"/>
    <s v="William Roberts"/>
    <x v="4"/>
    <x v="2"/>
    <x v="2"/>
    <x v="0"/>
    <x v="2"/>
    <n v="34"/>
    <d v="2017-04-12T00:00:00"/>
    <x v="1"/>
    <x v="3"/>
    <x v="12"/>
    <n v="174257"/>
    <n v="0.3"/>
    <n v="52277.1"/>
    <n v="226534"/>
    <x v="0"/>
    <s v="Miami"/>
    <x v="0"/>
    <n v="8"/>
  </r>
  <r>
    <x v="473"/>
    <s v="Penelope Sandoval"/>
    <x v="10"/>
    <x v="1"/>
    <x v="1"/>
    <x v="1"/>
    <x v="1"/>
    <n v="28"/>
    <d v="2019-12-18T00:00:00"/>
    <x v="1"/>
    <x v="10"/>
    <x v="2"/>
    <n v="132209"/>
    <n v="0.14000000000000001"/>
    <n v="18509.260000000002"/>
    <n v="150718"/>
    <x v="2"/>
    <s v="Rio de Janeiro"/>
    <x v="0"/>
    <n v="5"/>
  </r>
  <r>
    <x v="474"/>
    <s v="Emilia Ortiz"/>
    <x v="11"/>
    <x v="5"/>
    <x v="2"/>
    <x v="1"/>
    <x v="1"/>
    <n v="34"/>
    <d v="2017-07-16T00:00:00"/>
    <x v="2"/>
    <x v="8"/>
    <x v="12"/>
    <n v="208883"/>
    <n v="0.38"/>
    <n v="79375.540000000008"/>
    <n v="288259"/>
    <x v="0"/>
    <s v="Miami"/>
    <x v="0"/>
    <n v="8"/>
  </r>
  <r>
    <x v="475"/>
    <s v="Layla Gutierrez"/>
    <x v="20"/>
    <x v="2"/>
    <x v="3"/>
    <x v="1"/>
    <x v="1"/>
    <n v="39"/>
    <d v="2022-05-05T00:00:00"/>
    <x v="3"/>
    <x v="9"/>
    <x v="0"/>
    <n v="65957"/>
    <n v="0.05"/>
    <n v="3297.8500000000004"/>
    <n v="69255"/>
    <x v="2"/>
    <s v="Rio de Janeiro"/>
    <x v="0"/>
    <n v="3"/>
  </r>
  <r>
    <x v="476"/>
    <s v="Dylan Vu"/>
    <x v="8"/>
    <x v="6"/>
    <x v="3"/>
    <x v="0"/>
    <x v="0"/>
    <n v="63"/>
    <d v="2004-07-22T00:00:00"/>
    <x v="3"/>
    <x v="8"/>
    <x v="5"/>
    <n v="106481"/>
    <n v="0.05"/>
    <n v="5324.05"/>
    <n v="111805"/>
    <x v="1"/>
    <s v="Beijing"/>
    <x v="0"/>
    <n v="21"/>
  </r>
  <r>
    <x v="477"/>
    <s v="Peyton Wong"/>
    <x v="11"/>
    <x v="3"/>
    <x v="0"/>
    <x v="1"/>
    <x v="0"/>
    <n v="35"/>
    <d v="2020-08-05T00:00:00"/>
    <x v="1"/>
    <x v="6"/>
    <x v="17"/>
    <n v="218127"/>
    <n v="0.37"/>
    <n v="80706.990000000005"/>
    <n v="298834"/>
    <x v="0"/>
    <s v="Chicago"/>
    <x v="0"/>
    <n v="5"/>
  </r>
  <r>
    <x v="478"/>
    <s v="Santiago f Banks"/>
    <x v="10"/>
    <x v="2"/>
    <x v="3"/>
    <x v="0"/>
    <x v="2"/>
    <n v="44"/>
    <d v="2019-08-16T00:00:00"/>
    <x v="4"/>
    <x v="6"/>
    <x v="2"/>
    <n v="151481"/>
    <n v="0.11"/>
    <n v="16662.91"/>
    <n v="168144"/>
    <x v="0"/>
    <s v="Chicago"/>
    <x v="0"/>
    <n v="6"/>
  </r>
  <r>
    <x v="479"/>
    <s v="Caroline Wong"/>
    <x v="1"/>
    <x v="1"/>
    <x v="2"/>
    <x v="1"/>
    <x v="0"/>
    <n v="37"/>
    <d v="2017-03-08T00:00:00"/>
    <x v="1"/>
    <x v="2"/>
    <x v="12"/>
    <n v="40508"/>
    <n v="0"/>
    <n v="0"/>
    <n v="40508"/>
    <x v="1"/>
    <s v="Beijing"/>
    <x v="0"/>
    <n v="8"/>
  </r>
  <r>
    <x v="480"/>
    <s v="Quinn Ho"/>
    <x v="11"/>
    <x v="3"/>
    <x v="2"/>
    <x v="1"/>
    <x v="0"/>
    <n v="45"/>
    <d v="2002-07-20T00:00:00"/>
    <x v="0"/>
    <x v="8"/>
    <x v="18"/>
    <n v="200481"/>
    <n v="0.3"/>
    <n v="60144.299999999996"/>
    <n v="260625"/>
    <x v="0"/>
    <s v="Columbus"/>
    <x v="0"/>
    <n v="23"/>
  </r>
  <r>
    <x v="481"/>
    <s v="Caroline Nunez"/>
    <x v="11"/>
    <x v="4"/>
    <x v="0"/>
    <x v="1"/>
    <x v="1"/>
    <n v="65"/>
    <d v="2002-12-20T00:00:00"/>
    <x v="4"/>
    <x v="10"/>
    <x v="18"/>
    <n v="224872"/>
    <n v="0.39"/>
    <n v="87700.08"/>
    <n v="312572"/>
    <x v="2"/>
    <s v="Sao Paulo"/>
    <x v="0"/>
    <n v="22"/>
  </r>
  <r>
    <x v="482"/>
    <s v="Carson Brown"/>
    <x v="10"/>
    <x v="6"/>
    <x v="2"/>
    <x v="0"/>
    <x v="3"/>
    <n v="65"/>
    <d v="2007-11-05T00:00:00"/>
    <x v="5"/>
    <x v="7"/>
    <x v="25"/>
    <n v="149474"/>
    <n v="0.14000000000000001"/>
    <n v="20926.36"/>
    <n v="170400"/>
    <x v="0"/>
    <s v="Phoenix"/>
    <x v="0"/>
    <n v="17"/>
  </r>
  <r>
    <x v="483"/>
    <s v="Olivia Maldonado"/>
    <x v="16"/>
    <x v="0"/>
    <x v="2"/>
    <x v="1"/>
    <x v="1"/>
    <n v="63"/>
    <d v="2002-02-18T00:00:00"/>
    <x v="5"/>
    <x v="0"/>
    <x v="18"/>
    <n v="86820"/>
    <n v="0"/>
    <n v="0"/>
    <n v="86820"/>
    <x v="0"/>
    <s v="Chicago"/>
    <x v="0"/>
    <n v="23"/>
  </r>
  <r>
    <x v="484"/>
    <s v="Emilia Chung"/>
    <x v="4"/>
    <x v="4"/>
    <x v="0"/>
    <x v="1"/>
    <x v="0"/>
    <n v="55"/>
    <d v="1994-11-08T00:00:00"/>
    <x v="6"/>
    <x v="7"/>
    <x v="29"/>
    <n v="184078"/>
    <n v="0.28000000000000003"/>
    <n v="51541.840000000004"/>
    <n v="235620"/>
    <x v="1"/>
    <s v="Shanghai"/>
    <x v="0"/>
    <n v="30"/>
  </r>
  <r>
    <x v="485"/>
    <s v="Leilani Shin"/>
    <x v="1"/>
    <x v="3"/>
    <x v="1"/>
    <x v="1"/>
    <x v="0"/>
    <n v="58"/>
    <d v="2013-12-18T00:00:00"/>
    <x v="1"/>
    <x v="10"/>
    <x v="1"/>
    <n v="55174"/>
    <n v="0"/>
    <n v="0"/>
    <n v="55174"/>
    <x v="0"/>
    <s v="Austin"/>
    <x v="0"/>
    <n v="11"/>
  </r>
  <r>
    <x v="486"/>
    <s v="Abigail Zhu"/>
    <x v="4"/>
    <x v="4"/>
    <x v="1"/>
    <x v="1"/>
    <x v="0"/>
    <n v="31"/>
    <d v="2022-01-17T00:00:00"/>
    <x v="5"/>
    <x v="11"/>
    <x v="0"/>
    <n v="152474"/>
    <n v="0.27"/>
    <n v="41167.980000000003"/>
    <n v="193642"/>
    <x v="0"/>
    <s v="Austin"/>
    <x v="0"/>
    <n v="3"/>
  </r>
  <r>
    <x v="487"/>
    <s v="Autumn Xiong"/>
    <x v="2"/>
    <x v="2"/>
    <x v="3"/>
    <x v="1"/>
    <x v="0"/>
    <n v="28"/>
    <d v="2020-02-13T00:00:00"/>
    <x v="3"/>
    <x v="0"/>
    <x v="17"/>
    <n v="75172"/>
    <n v="0"/>
    <n v="0"/>
    <n v="75172"/>
    <x v="1"/>
    <s v="Shanghai"/>
    <x v="0"/>
    <n v="5"/>
  </r>
  <r>
    <x v="488"/>
    <s v="Hailey Cruz"/>
    <x v="15"/>
    <x v="6"/>
    <x v="0"/>
    <x v="1"/>
    <x v="1"/>
    <n v="50"/>
    <d v="2008-08-10T00:00:00"/>
    <x v="2"/>
    <x v="6"/>
    <x v="24"/>
    <n v="56002"/>
    <n v="0"/>
    <n v="0"/>
    <n v="56002"/>
    <x v="0"/>
    <s v="Austin"/>
    <x v="0"/>
    <n v="17"/>
  </r>
  <r>
    <x v="489"/>
    <s v="Piper Cruz"/>
    <x v="4"/>
    <x v="1"/>
    <x v="2"/>
    <x v="1"/>
    <x v="1"/>
    <n v="61"/>
    <d v="2013-04-13T00:00:00"/>
    <x v="0"/>
    <x v="3"/>
    <x v="1"/>
    <n v="195636"/>
    <n v="0.21"/>
    <n v="41083.56"/>
    <n v="236720"/>
    <x v="2"/>
    <s v="Rio de Janeiro"/>
    <x v="0"/>
    <n v="12"/>
  </r>
  <r>
    <x v="490"/>
    <s v="Jaxson Jackson"/>
    <x v="19"/>
    <x v="2"/>
    <x v="3"/>
    <x v="0"/>
    <x v="2"/>
    <n v="53"/>
    <d v="1997-03-01T00:00:00"/>
    <x v="0"/>
    <x v="2"/>
    <x v="14"/>
    <n v="63165"/>
    <n v="0"/>
    <n v="0"/>
    <n v="63165"/>
    <x v="0"/>
    <s v="Seattle"/>
    <x v="0"/>
    <n v="28"/>
  </r>
  <r>
    <x v="491"/>
    <s v="Serenity Mehta"/>
    <x v="1"/>
    <x v="1"/>
    <x v="2"/>
    <x v="1"/>
    <x v="0"/>
    <n v="51"/>
    <d v="1998-07-21T00:00:00"/>
    <x v="6"/>
    <x v="8"/>
    <x v="22"/>
    <n v="57277"/>
    <n v="0"/>
    <n v="0"/>
    <n v="57277"/>
    <x v="1"/>
    <s v="Shanghai"/>
    <x v="0"/>
    <n v="27"/>
  </r>
  <r>
    <x v="492"/>
    <s v="Peyton Gomez"/>
    <x v="1"/>
    <x v="4"/>
    <x v="3"/>
    <x v="1"/>
    <x v="1"/>
    <n v="56"/>
    <d v="2020-01-14T00:00:00"/>
    <x v="6"/>
    <x v="11"/>
    <x v="17"/>
    <n v="42950"/>
    <n v="0"/>
    <n v="0"/>
    <n v="42950"/>
    <x v="2"/>
    <s v="Rio de Janeiro"/>
    <x v="0"/>
    <n v="5"/>
  </r>
  <r>
    <x v="493"/>
    <s v="Ethan Vargas"/>
    <x v="4"/>
    <x v="2"/>
    <x v="2"/>
    <x v="0"/>
    <x v="1"/>
    <n v="38"/>
    <d v="2018-10-09T00:00:00"/>
    <x v="6"/>
    <x v="1"/>
    <x v="3"/>
    <n v="168410"/>
    <n v="0.3"/>
    <n v="50523"/>
    <n v="218933"/>
    <x v="0"/>
    <s v="Chicago"/>
    <x v="0"/>
    <n v="6"/>
  </r>
  <r>
    <x v="494"/>
    <s v="Serenity Morris"/>
    <x v="8"/>
    <x v="2"/>
    <x v="1"/>
    <x v="1"/>
    <x v="2"/>
    <n v="41"/>
    <d v="2008-04-12T00:00:00"/>
    <x v="0"/>
    <x v="3"/>
    <x v="24"/>
    <n v="114588"/>
    <n v="0.05"/>
    <n v="5729.4000000000005"/>
    <n v="120317"/>
    <x v="0"/>
    <s v="Miami"/>
    <x v="0"/>
    <n v="17"/>
  </r>
  <r>
    <x v="495"/>
    <s v="Vivian Chan"/>
    <x v="5"/>
    <x v="1"/>
    <x v="3"/>
    <x v="1"/>
    <x v="0"/>
    <n v="61"/>
    <d v="1997-05-12T00:00:00"/>
    <x v="5"/>
    <x v="9"/>
    <x v="14"/>
    <n v="72546"/>
    <n v="0"/>
    <n v="0"/>
    <n v="72546"/>
    <x v="1"/>
    <s v="Beijing"/>
    <x v="52"/>
    <n v="23"/>
  </r>
  <r>
    <x v="496"/>
    <s v="Lincoln Singh"/>
    <x v="1"/>
    <x v="1"/>
    <x v="1"/>
    <x v="0"/>
    <x v="0"/>
    <n v="33"/>
    <d v="2021-01-09T00:00:00"/>
    <x v="0"/>
    <x v="11"/>
    <x v="13"/>
    <n v="55397"/>
    <n v="0"/>
    <n v="0"/>
    <n v="55397"/>
    <x v="1"/>
    <s v="Shanghai"/>
    <x v="0"/>
    <n v="4"/>
  </r>
  <r>
    <x v="497"/>
    <s v="Ayla Lim"/>
    <x v="4"/>
    <x v="5"/>
    <x v="1"/>
    <x v="1"/>
    <x v="0"/>
    <n v="41"/>
    <d v="2021-09-05T00:00:00"/>
    <x v="2"/>
    <x v="5"/>
    <x v="13"/>
    <n v="192266"/>
    <n v="0.23"/>
    <n v="44221.18"/>
    <n v="236487"/>
    <x v="1"/>
    <s v="Chengdu"/>
    <x v="0"/>
    <n v="4"/>
  </r>
  <r>
    <x v="498"/>
    <s v="Leilani Hong"/>
    <x v="7"/>
    <x v="2"/>
    <x v="0"/>
    <x v="1"/>
    <x v="0"/>
    <n v="36"/>
    <d v="2013-12-20T00:00:00"/>
    <x v="4"/>
    <x v="10"/>
    <x v="1"/>
    <n v="79876"/>
    <n v="0"/>
    <n v="0"/>
    <n v="79876"/>
    <x v="0"/>
    <s v="Seattle"/>
    <x v="53"/>
    <n v="9"/>
  </r>
  <r>
    <x v="499"/>
    <s v="Victoria Doan"/>
    <x v="8"/>
    <x v="1"/>
    <x v="1"/>
    <x v="1"/>
    <x v="0"/>
    <n v="42"/>
    <d v="2018-03-06T00:00:00"/>
    <x v="6"/>
    <x v="2"/>
    <x v="3"/>
    <n v="112593"/>
    <n v="0.05"/>
    <n v="5629.6500000000005"/>
    <n v="118223"/>
    <x v="0"/>
    <s v="Seattle"/>
    <x v="0"/>
    <n v="7"/>
  </r>
  <r>
    <x v="500"/>
    <s v="Naomi Wright"/>
    <x v="7"/>
    <x v="2"/>
    <x v="0"/>
    <x v="1"/>
    <x v="2"/>
    <n v="36"/>
    <d v="2016-11-03T00:00:00"/>
    <x v="3"/>
    <x v="7"/>
    <x v="20"/>
    <n v="99249"/>
    <n v="0"/>
    <n v="0"/>
    <n v="99249"/>
    <x v="0"/>
    <s v="Miami"/>
    <x v="0"/>
    <n v="8"/>
  </r>
  <r>
    <x v="501"/>
    <s v="Scarlett Howard"/>
    <x v="8"/>
    <x v="4"/>
    <x v="0"/>
    <x v="1"/>
    <x v="2"/>
    <n v="55"/>
    <d v="2012-08-12T00:00:00"/>
    <x v="2"/>
    <x v="6"/>
    <x v="21"/>
    <n v="117421"/>
    <n v="0.05"/>
    <n v="5871.05"/>
    <n v="123292"/>
    <x v="0"/>
    <s v="Austin"/>
    <x v="54"/>
    <n v="5"/>
  </r>
  <r>
    <x v="502"/>
    <s v="Victoria Vo"/>
    <x v="26"/>
    <x v="0"/>
    <x v="1"/>
    <x v="1"/>
    <x v="0"/>
    <n v="44"/>
    <d v="2017-12-18T00:00:00"/>
    <x v="5"/>
    <x v="10"/>
    <x v="12"/>
    <n v="82241"/>
    <n v="0"/>
    <n v="0"/>
    <n v="82241"/>
    <x v="1"/>
    <s v="Shanghai"/>
    <x v="0"/>
    <n v="7"/>
  </r>
  <r>
    <x v="503"/>
    <s v="Oliver Fernandez"/>
    <x v="8"/>
    <x v="5"/>
    <x v="2"/>
    <x v="0"/>
    <x v="1"/>
    <n v="31"/>
    <d v="2022-05-15T00:00:00"/>
    <x v="2"/>
    <x v="9"/>
    <x v="0"/>
    <n v="125664"/>
    <n v="0.05"/>
    <n v="6283.2000000000007"/>
    <n v="131947"/>
    <x v="2"/>
    <s v="Manaus"/>
    <x v="0"/>
    <n v="3"/>
  </r>
  <r>
    <x v="504"/>
    <s v="Luca Jiang"/>
    <x v="14"/>
    <x v="1"/>
    <x v="2"/>
    <x v="0"/>
    <x v="0"/>
    <n v="47"/>
    <d v="2013-09-08T00:00:00"/>
    <x v="2"/>
    <x v="5"/>
    <x v="1"/>
    <n v="57386"/>
    <n v="0"/>
    <n v="0"/>
    <n v="57386"/>
    <x v="1"/>
    <s v="Beijing"/>
    <x v="0"/>
    <n v="12"/>
  </r>
  <r>
    <x v="505"/>
    <s v="Charlotte Owens"/>
    <x v="11"/>
    <x v="0"/>
    <x v="1"/>
    <x v="1"/>
    <x v="3"/>
    <n v="59"/>
    <d v="2001-05-11T00:00:00"/>
    <x v="4"/>
    <x v="9"/>
    <x v="19"/>
    <n v="196740"/>
    <n v="0.31"/>
    <n v="60989.4"/>
    <n v="257729"/>
    <x v="0"/>
    <s v="Miami"/>
    <x v="0"/>
    <n v="24"/>
  </r>
  <r>
    <x v="506"/>
    <s v="Stella Tan"/>
    <x v="4"/>
    <x v="6"/>
    <x v="3"/>
    <x v="1"/>
    <x v="0"/>
    <n v="48"/>
    <d v="2009-08-22T00:00:00"/>
    <x v="0"/>
    <x v="6"/>
    <x v="6"/>
    <n v="168202"/>
    <n v="0.22"/>
    <n v="37004.44"/>
    <n v="205206"/>
    <x v="1"/>
    <s v="Chengdu"/>
    <x v="0"/>
    <n v="16"/>
  </r>
  <r>
    <x v="507"/>
    <s v="Ellie Yoon"/>
    <x v="11"/>
    <x v="6"/>
    <x v="3"/>
    <x v="1"/>
    <x v="0"/>
    <n v="44"/>
    <d v="2006-07-11T00:00:00"/>
    <x v="6"/>
    <x v="8"/>
    <x v="16"/>
    <n v="242004"/>
    <n v="0.38"/>
    <n v="91961.52"/>
    <n v="333966"/>
    <x v="1"/>
    <s v="Chongqing"/>
    <x v="0"/>
    <n v="19"/>
  </r>
  <r>
    <x v="508"/>
    <s v="Ella Do"/>
    <x v="14"/>
    <x v="1"/>
    <x v="0"/>
    <x v="1"/>
    <x v="0"/>
    <n v="52"/>
    <d v="1998-02-28T00:00:00"/>
    <x v="0"/>
    <x v="0"/>
    <x v="22"/>
    <n v="57433"/>
    <n v="0"/>
    <n v="0"/>
    <n v="57433"/>
    <x v="1"/>
    <s v="Shanghai"/>
    <x v="0"/>
    <n v="27"/>
  </r>
  <r>
    <x v="509"/>
    <s v="Lucas Cruz"/>
    <x v="5"/>
    <x v="3"/>
    <x v="3"/>
    <x v="0"/>
    <x v="1"/>
    <n v="54"/>
    <d v="2009-07-11T00:00:00"/>
    <x v="0"/>
    <x v="8"/>
    <x v="6"/>
    <n v="74656"/>
    <n v="0"/>
    <n v="0"/>
    <n v="74656"/>
    <x v="0"/>
    <s v="Seattle"/>
    <x v="0"/>
    <n v="16"/>
  </r>
  <r>
    <x v="510"/>
    <s v="Sarah Mehta"/>
    <x v="24"/>
    <x v="6"/>
    <x v="2"/>
    <x v="1"/>
    <x v="0"/>
    <n v="31"/>
    <d v="2016-08-23T00:00:00"/>
    <x v="6"/>
    <x v="6"/>
    <x v="20"/>
    <n v="62848"/>
    <n v="0"/>
    <n v="0"/>
    <n v="62848"/>
    <x v="1"/>
    <s v="Chengdu"/>
    <x v="0"/>
    <n v="9"/>
  </r>
  <r>
    <x v="511"/>
    <s v="Anthony Phan"/>
    <x v="19"/>
    <x v="2"/>
    <x v="2"/>
    <x v="0"/>
    <x v="0"/>
    <n v="39"/>
    <d v="2011-04-11T00:00:00"/>
    <x v="5"/>
    <x v="3"/>
    <x v="8"/>
    <n v="92523"/>
    <n v="0"/>
    <n v="0"/>
    <n v="92523"/>
    <x v="0"/>
    <s v="Miami"/>
    <x v="0"/>
    <n v="14"/>
  </r>
  <r>
    <x v="512"/>
    <s v="David Chu"/>
    <x v="10"/>
    <x v="2"/>
    <x v="3"/>
    <x v="0"/>
    <x v="0"/>
    <n v="40"/>
    <d v="2012-12-16T00:00:00"/>
    <x v="2"/>
    <x v="10"/>
    <x v="21"/>
    <n v="142844"/>
    <n v="0.11"/>
    <n v="15712.84"/>
    <n v="158557"/>
    <x v="0"/>
    <s v="Miami"/>
    <x v="0"/>
    <n v="12"/>
  </r>
  <r>
    <x v="513"/>
    <s v="Sebastian Sanders"/>
    <x v="8"/>
    <x v="1"/>
    <x v="1"/>
    <x v="0"/>
    <x v="2"/>
    <n v="39"/>
    <d v="2009-01-23T00:00:00"/>
    <x v="4"/>
    <x v="11"/>
    <x v="6"/>
    <n v="100718"/>
    <n v="0.05"/>
    <n v="5035.9000000000005"/>
    <n v="105754"/>
    <x v="0"/>
    <s v="Austin"/>
    <x v="0"/>
    <n v="16"/>
  </r>
  <r>
    <x v="514"/>
    <s v="Jayden Phillips"/>
    <x v="4"/>
    <x v="2"/>
    <x v="2"/>
    <x v="0"/>
    <x v="2"/>
    <n v="25"/>
    <d v="2022-10-13T00:00:00"/>
    <x v="3"/>
    <x v="1"/>
    <x v="0"/>
    <n v="154186"/>
    <n v="0.26"/>
    <n v="40088.36"/>
    <n v="194274"/>
    <x v="0"/>
    <s v="Austin"/>
    <x v="0"/>
    <n v="2"/>
  </r>
  <r>
    <x v="515"/>
    <s v="Caleb Chan"/>
    <x v="32"/>
    <x v="0"/>
    <x v="2"/>
    <x v="0"/>
    <x v="0"/>
    <n v="48"/>
    <d v="2003-06-24T00:00:00"/>
    <x v="6"/>
    <x v="4"/>
    <x v="10"/>
    <n v="107586"/>
    <n v="0"/>
    <n v="0"/>
    <n v="107586"/>
    <x v="1"/>
    <s v="Shanghai"/>
    <x v="0"/>
    <n v="22"/>
  </r>
  <r>
    <x v="516"/>
    <s v="Ariana Santiago"/>
    <x v="28"/>
    <x v="2"/>
    <x v="2"/>
    <x v="1"/>
    <x v="1"/>
    <n v="54"/>
    <d v="2003-10-28T00:00:00"/>
    <x v="6"/>
    <x v="1"/>
    <x v="10"/>
    <n v="88906"/>
    <n v="0"/>
    <n v="0"/>
    <n v="88906"/>
    <x v="0"/>
    <s v="Phoenix"/>
    <x v="0"/>
    <n v="21"/>
  </r>
  <r>
    <x v="517"/>
    <s v="Quinn Owens"/>
    <x v="26"/>
    <x v="0"/>
    <x v="0"/>
    <x v="1"/>
    <x v="2"/>
    <n v="40"/>
    <d v="2018-05-09T00:00:00"/>
    <x v="1"/>
    <x v="9"/>
    <x v="3"/>
    <n v="74329"/>
    <n v="0"/>
    <n v="0"/>
    <n v="74329"/>
    <x v="0"/>
    <s v="Chicago"/>
    <x v="0"/>
    <n v="7"/>
  </r>
  <r>
    <x v="518"/>
    <s v="Eli James"/>
    <x v="27"/>
    <x v="2"/>
    <x v="0"/>
    <x v="0"/>
    <x v="2"/>
    <n v="32"/>
    <d v="2021-04-15T00:00:00"/>
    <x v="3"/>
    <x v="3"/>
    <x v="13"/>
    <n v="86523"/>
    <n v="0"/>
    <n v="0"/>
    <n v="86523"/>
    <x v="0"/>
    <s v="Columbus"/>
    <x v="55"/>
    <n v="0"/>
  </r>
  <r>
    <x v="519"/>
    <s v="Ezra Aguilar"/>
    <x v="11"/>
    <x v="2"/>
    <x v="0"/>
    <x v="0"/>
    <x v="1"/>
    <n v="60"/>
    <d v="2014-11-05T00:00:00"/>
    <x v="1"/>
    <x v="7"/>
    <x v="11"/>
    <n v="239868"/>
    <n v="0.4"/>
    <n v="95947.200000000012"/>
    <n v="335815"/>
    <x v="0"/>
    <s v="Miami"/>
    <x v="0"/>
    <n v="10"/>
  </r>
  <r>
    <x v="520"/>
    <s v="Anna Castro"/>
    <x v="6"/>
    <x v="4"/>
    <x v="3"/>
    <x v="1"/>
    <x v="1"/>
    <n v="29"/>
    <d v="2018-05-21T00:00:00"/>
    <x v="5"/>
    <x v="9"/>
    <x v="3"/>
    <n v="65010"/>
    <n v="0"/>
    <n v="0"/>
    <n v="65010"/>
    <x v="0"/>
    <s v="Seattle"/>
    <x v="0"/>
    <n v="7"/>
  </r>
  <r>
    <x v="521"/>
    <s v="Liliana Lewis"/>
    <x v="2"/>
    <x v="2"/>
    <x v="1"/>
    <x v="1"/>
    <x v="2"/>
    <n v="25"/>
    <d v="2021-02-23T00:00:00"/>
    <x v="6"/>
    <x v="0"/>
    <x v="13"/>
    <n v="82140"/>
    <n v="0"/>
    <n v="0"/>
    <n v="82140"/>
    <x v="0"/>
    <s v="Miami"/>
    <x v="0"/>
    <n v="4"/>
  </r>
  <r>
    <x v="522"/>
    <s v="Maverick Alvarado"/>
    <x v="22"/>
    <x v="2"/>
    <x v="0"/>
    <x v="0"/>
    <x v="1"/>
    <n v="34"/>
    <d v="2016-06-11T00:00:00"/>
    <x v="0"/>
    <x v="4"/>
    <x v="20"/>
    <n v="75511"/>
    <n v="0"/>
    <n v="0"/>
    <n v="75511"/>
    <x v="2"/>
    <s v="Manaus"/>
    <x v="0"/>
    <n v="9"/>
  </r>
  <r>
    <x v="523"/>
    <s v="Nora Butler"/>
    <x v="11"/>
    <x v="2"/>
    <x v="2"/>
    <x v="1"/>
    <x v="3"/>
    <n v="26"/>
    <d v="2022-05-06T00:00:00"/>
    <x v="4"/>
    <x v="9"/>
    <x v="0"/>
    <n v="188880"/>
    <n v="0.36"/>
    <n v="67996.800000000003"/>
    <n v="256877"/>
    <x v="0"/>
    <s v="Phoenix"/>
    <x v="0"/>
    <n v="3"/>
  </r>
  <r>
    <x v="524"/>
    <s v="Landon Rodriguez"/>
    <x v="29"/>
    <x v="1"/>
    <x v="0"/>
    <x v="0"/>
    <x v="1"/>
    <n v="39"/>
    <d v="2017-11-19T00:00:00"/>
    <x v="2"/>
    <x v="7"/>
    <x v="12"/>
    <n v="87155"/>
    <n v="0"/>
    <n v="0"/>
    <n v="87155"/>
    <x v="0"/>
    <s v="Chicago"/>
    <x v="0"/>
    <n v="7"/>
  </r>
  <r>
    <x v="525"/>
    <s v="Grace Harris"/>
    <x v="19"/>
    <x v="2"/>
    <x v="2"/>
    <x v="1"/>
    <x v="2"/>
    <n v="34"/>
    <d v="2018-10-28T00:00:00"/>
    <x v="2"/>
    <x v="1"/>
    <x v="3"/>
    <n v="75518"/>
    <n v="0"/>
    <n v="0"/>
    <n v="75518"/>
    <x v="0"/>
    <s v="Seattle"/>
    <x v="0"/>
    <n v="6"/>
  </r>
  <r>
    <x v="526"/>
    <s v="Jeremiah Medina"/>
    <x v="10"/>
    <x v="2"/>
    <x v="2"/>
    <x v="0"/>
    <x v="1"/>
    <n v="54"/>
    <d v="1997-09-28T00:00:00"/>
    <x v="2"/>
    <x v="5"/>
    <x v="14"/>
    <n v="129311"/>
    <n v="0.13"/>
    <n v="16810.43"/>
    <n v="146121"/>
    <x v="2"/>
    <s v="Manaus"/>
    <x v="0"/>
    <n v="28"/>
  </r>
  <r>
    <x v="527"/>
    <s v="Charles Bryant"/>
    <x v="1"/>
    <x v="1"/>
    <x v="0"/>
    <x v="0"/>
    <x v="2"/>
    <n v="27"/>
    <d v="2022-07-12T00:00:00"/>
    <x v="6"/>
    <x v="8"/>
    <x v="0"/>
    <n v="56919"/>
    <n v="0"/>
    <n v="0"/>
    <n v="56919"/>
    <x v="0"/>
    <s v="Miami"/>
    <x v="56"/>
    <n v="0"/>
  </r>
  <r>
    <x v="528"/>
    <s v="Elizabeth Dixon"/>
    <x v="10"/>
    <x v="4"/>
    <x v="0"/>
    <x v="1"/>
    <x v="2"/>
    <n v="26"/>
    <d v="2020-11-15T00:00:00"/>
    <x v="2"/>
    <x v="7"/>
    <x v="17"/>
    <n v="153832"/>
    <n v="0.14000000000000001"/>
    <n v="21536.480000000003"/>
    <n v="175368"/>
    <x v="0"/>
    <s v="Phoenix"/>
    <x v="0"/>
    <n v="4"/>
  </r>
  <r>
    <x v="529"/>
    <s v="Riley Phillips"/>
    <x v="11"/>
    <x v="0"/>
    <x v="3"/>
    <x v="1"/>
    <x v="2"/>
    <n v="26"/>
    <d v="2022-08-05T00:00:00"/>
    <x v="4"/>
    <x v="6"/>
    <x v="0"/>
    <n v="211121"/>
    <n v="0.35"/>
    <n v="73892.349999999991"/>
    <n v="285013"/>
    <x v="0"/>
    <s v="Phoenix"/>
    <x v="0"/>
    <n v="3"/>
  </r>
  <r>
    <x v="530"/>
    <s v="Gianna Cruz"/>
    <x v="8"/>
    <x v="1"/>
    <x v="1"/>
    <x v="1"/>
    <x v="1"/>
    <n v="29"/>
    <d v="2019-07-02T00:00:00"/>
    <x v="6"/>
    <x v="8"/>
    <x v="2"/>
    <n v="106456"/>
    <n v="0.1"/>
    <n v="10645.6"/>
    <n v="117102"/>
    <x v="0"/>
    <s v="Columbus"/>
    <x v="0"/>
    <n v="6"/>
  </r>
  <r>
    <x v="531"/>
    <s v="Lincoln Cruz"/>
    <x v="28"/>
    <x v="2"/>
    <x v="1"/>
    <x v="0"/>
    <x v="1"/>
    <n v="64"/>
    <d v="1997-07-15T00:00:00"/>
    <x v="6"/>
    <x v="8"/>
    <x v="14"/>
    <n v="72772"/>
    <n v="0"/>
    <n v="0"/>
    <n v="72772"/>
    <x v="2"/>
    <s v="Manaus"/>
    <x v="0"/>
    <n v="28"/>
  </r>
  <r>
    <x v="532"/>
    <s v="Ezekiel Contreras"/>
    <x v="10"/>
    <x v="3"/>
    <x v="2"/>
    <x v="0"/>
    <x v="1"/>
    <n v="45"/>
    <d v="2001-08-10T00:00:00"/>
    <x v="4"/>
    <x v="6"/>
    <x v="19"/>
    <n v="143146"/>
    <n v="0.14000000000000001"/>
    <n v="20040.440000000002"/>
    <n v="163186"/>
    <x v="0"/>
    <s v="Chicago"/>
    <x v="0"/>
    <n v="24"/>
  </r>
  <r>
    <x v="533"/>
    <s v="Amelia Do"/>
    <x v="6"/>
    <x v="5"/>
    <x v="0"/>
    <x v="1"/>
    <x v="0"/>
    <n v="45"/>
    <d v="2018-12-24T00:00:00"/>
    <x v="5"/>
    <x v="10"/>
    <x v="3"/>
    <n v="74776"/>
    <n v="0"/>
    <n v="0"/>
    <n v="74776"/>
    <x v="0"/>
    <s v="Seattle"/>
    <x v="0"/>
    <n v="6"/>
  </r>
  <r>
    <x v="534"/>
    <s v="Anthony Perez"/>
    <x v="29"/>
    <x v="1"/>
    <x v="3"/>
    <x v="0"/>
    <x v="1"/>
    <n v="51"/>
    <d v="2021-09-13T00:00:00"/>
    <x v="5"/>
    <x v="5"/>
    <x v="13"/>
    <n v="92305"/>
    <n v="0"/>
    <n v="0"/>
    <n v="92305"/>
    <x v="0"/>
    <s v="Chicago"/>
    <x v="0"/>
    <n v="4"/>
  </r>
  <r>
    <x v="535"/>
    <s v="Elias Maldonado"/>
    <x v="3"/>
    <x v="2"/>
    <x v="0"/>
    <x v="0"/>
    <x v="1"/>
    <n v="56"/>
    <d v="2005-04-01T00:00:00"/>
    <x v="4"/>
    <x v="3"/>
    <x v="4"/>
    <n v="94724"/>
    <n v="0"/>
    <n v="0"/>
    <n v="94724"/>
    <x v="0"/>
    <s v="Chicago"/>
    <x v="0"/>
    <n v="20"/>
  </r>
  <r>
    <x v="536"/>
    <s v="Liam Luong"/>
    <x v="13"/>
    <x v="2"/>
    <x v="3"/>
    <x v="0"/>
    <x v="0"/>
    <n v="58"/>
    <d v="1995-11-13T00:00:00"/>
    <x v="5"/>
    <x v="7"/>
    <x v="28"/>
    <n v="88019"/>
    <n v="0"/>
    <n v="0"/>
    <n v="88019"/>
    <x v="0"/>
    <s v="Austin"/>
    <x v="0"/>
    <n v="29"/>
  </r>
  <r>
    <x v="537"/>
    <s v="Jordan Ford"/>
    <x v="8"/>
    <x v="6"/>
    <x v="1"/>
    <x v="0"/>
    <x v="3"/>
    <n v="43"/>
    <d v="2016-09-19T00:00:00"/>
    <x v="5"/>
    <x v="5"/>
    <x v="20"/>
    <n v="108000"/>
    <n v="0.1"/>
    <n v="10800"/>
    <n v="118800"/>
    <x v="0"/>
    <s v="Columbus"/>
    <x v="0"/>
    <n v="9"/>
  </r>
  <r>
    <x v="538"/>
    <s v="Mateo Chung"/>
    <x v="28"/>
    <x v="2"/>
    <x v="1"/>
    <x v="0"/>
    <x v="0"/>
    <n v="52"/>
    <d v="2018-07-27T00:00:00"/>
    <x v="4"/>
    <x v="8"/>
    <x v="3"/>
    <n v="81438"/>
    <n v="0"/>
    <n v="0"/>
    <n v="81438"/>
    <x v="1"/>
    <s v="Beijing"/>
    <x v="0"/>
    <n v="7"/>
  </r>
  <r>
    <x v="539"/>
    <s v="Jameson Vang"/>
    <x v="20"/>
    <x v="2"/>
    <x v="1"/>
    <x v="0"/>
    <x v="0"/>
    <n v="41"/>
    <d v="2018-05-23T00:00:00"/>
    <x v="1"/>
    <x v="9"/>
    <x v="3"/>
    <n v="95669"/>
    <n v="0.1"/>
    <n v="9566.9"/>
    <n v="105236"/>
    <x v="1"/>
    <s v="Shanghai"/>
    <x v="57"/>
    <n v="3"/>
  </r>
  <r>
    <x v="540"/>
    <s v="Samuel Thomas"/>
    <x v="11"/>
    <x v="3"/>
    <x v="3"/>
    <x v="0"/>
    <x v="2"/>
    <n v="43"/>
    <d v="2016-02-15T00:00:00"/>
    <x v="5"/>
    <x v="0"/>
    <x v="20"/>
    <n v="180385"/>
    <n v="0.33"/>
    <n v="59527.05"/>
    <n v="239912"/>
    <x v="0"/>
    <s v="Columbus"/>
    <x v="0"/>
    <n v="9"/>
  </r>
  <r>
    <x v="541"/>
    <s v="Gabriel Rodriguez"/>
    <x v="17"/>
    <x v="2"/>
    <x v="2"/>
    <x v="0"/>
    <x v="1"/>
    <n v="36"/>
    <d v="2016-01-30T00:00:00"/>
    <x v="0"/>
    <x v="11"/>
    <x v="20"/>
    <n v="45184"/>
    <n v="0"/>
    <n v="0"/>
    <n v="45184"/>
    <x v="2"/>
    <s v="Sao Paulo"/>
    <x v="0"/>
    <n v="9"/>
  </r>
  <r>
    <x v="542"/>
    <s v="Wyatt Robinson"/>
    <x v="30"/>
    <x v="0"/>
    <x v="2"/>
    <x v="0"/>
    <x v="2"/>
    <n v="55"/>
    <d v="2007-08-08T00:00:00"/>
    <x v="1"/>
    <x v="6"/>
    <x v="25"/>
    <n v="70451"/>
    <n v="0"/>
    <n v="0"/>
    <n v="70451"/>
    <x v="0"/>
    <s v="Seattle"/>
    <x v="0"/>
    <n v="18"/>
  </r>
  <r>
    <x v="543"/>
    <s v="Anna Huynh"/>
    <x v="13"/>
    <x v="2"/>
    <x v="3"/>
    <x v="1"/>
    <x v="0"/>
    <n v="39"/>
    <d v="2009-04-05T00:00:00"/>
    <x v="2"/>
    <x v="3"/>
    <x v="6"/>
    <n v="63259"/>
    <n v="0"/>
    <n v="0"/>
    <n v="63259"/>
    <x v="0"/>
    <s v="Chicago"/>
    <x v="0"/>
    <n v="16"/>
  </r>
  <r>
    <x v="544"/>
    <s v="Lucy Simmons"/>
    <x v="6"/>
    <x v="3"/>
    <x v="1"/>
    <x v="1"/>
    <x v="2"/>
    <n v="56"/>
    <d v="2001-03-01T00:00:00"/>
    <x v="3"/>
    <x v="2"/>
    <x v="19"/>
    <n v="73778"/>
    <n v="0"/>
    <n v="0"/>
    <n v="73778"/>
    <x v="0"/>
    <s v="Miami"/>
    <x v="0"/>
    <n v="24"/>
  </r>
  <r>
    <x v="545"/>
    <s v="Austin Ng"/>
    <x v="10"/>
    <x v="1"/>
    <x v="2"/>
    <x v="0"/>
    <x v="0"/>
    <n v="45"/>
    <d v="2009-03-03T00:00:00"/>
    <x v="6"/>
    <x v="2"/>
    <x v="6"/>
    <n v="126697"/>
    <n v="0.13"/>
    <n v="16470.61"/>
    <n v="143168"/>
    <x v="1"/>
    <s v="Beijing"/>
    <x v="0"/>
    <n v="16"/>
  </r>
  <r>
    <x v="546"/>
    <s v="Madeline Cruz"/>
    <x v="7"/>
    <x v="2"/>
    <x v="3"/>
    <x v="1"/>
    <x v="1"/>
    <n v="63"/>
    <d v="2008-05-19T00:00:00"/>
    <x v="5"/>
    <x v="9"/>
    <x v="24"/>
    <n v="75396"/>
    <n v="0"/>
    <n v="0"/>
    <n v="75396"/>
    <x v="2"/>
    <s v="Rio de Janeiro"/>
    <x v="0"/>
    <n v="17"/>
  </r>
  <r>
    <x v="547"/>
    <s v="Layla Munoz"/>
    <x v="4"/>
    <x v="6"/>
    <x v="1"/>
    <x v="1"/>
    <x v="1"/>
    <n v="39"/>
    <d v="2014-09-24T00:00:00"/>
    <x v="1"/>
    <x v="5"/>
    <x v="11"/>
    <n v="182595"/>
    <n v="0.28999999999999998"/>
    <n v="52952.549999999996"/>
    <n v="235548"/>
    <x v="2"/>
    <s v="Rio de Janeiro"/>
    <x v="58"/>
    <n v="2"/>
  </r>
  <r>
    <x v="548"/>
    <s v="Alexander Tang"/>
    <x v="1"/>
    <x v="4"/>
    <x v="1"/>
    <x v="0"/>
    <x v="0"/>
    <n v="32"/>
    <d v="2015-01-29T00:00:00"/>
    <x v="3"/>
    <x v="11"/>
    <x v="9"/>
    <n v="45424"/>
    <n v="0"/>
    <n v="0"/>
    <n v="45424"/>
    <x v="0"/>
    <s v="Austin"/>
    <x v="0"/>
    <n v="10"/>
  </r>
  <r>
    <x v="549"/>
    <s v="Carson Chen"/>
    <x v="6"/>
    <x v="4"/>
    <x v="0"/>
    <x v="0"/>
    <x v="0"/>
    <n v="45"/>
    <d v="2012-12-03T00:00:00"/>
    <x v="5"/>
    <x v="10"/>
    <x v="21"/>
    <n v="70661"/>
    <n v="0"/>
    <n v="0"/>
    <n v="70661"/>
    <x v="1"/>
    <s v="Chongqing"/>
    <x v="0"/>
    <n v="12"/>
  </r>
  <r>
    <x v="550"/>
    <s v="Kai Duong"/>
    <x v="17"/>
    <x v="2"/>
    <x v="2"/>
    <x v="0"/>
    <x v="0"/>
    <n v="41"/>
    <d v="2018-11-16T00:00:00"/>
    <x v="4"/>
    <x v="7"/>
    <x v="3"/>
    <n v="57166"/>
    <n v="0"/>
    <n v="0"/>
    <n v="57166"/>
    <x v="1"/>
    <s v="Shanghai"/>
    <x v="0"/>
    <n v="6"/>
  </r>
  <r>
    <x v="551"/>
    <s v="Ayla Cooper"/>
    <x v="32"/>
    <x v="0"/>
    <x v="1"/>
    <x v="1"/>
    <x v="2"/>
    <n v="56"/>
    <d v="2017-02-15T00:00:00"/>
    <x v="1"/>
    <x v="0"/>
    <x v="12"/>
    <n v="101637"/>
    <n v="0"/>
    <n v="0"/>
    <n v="101637"/>
    <x v="0"/>
    <s v="Chicago"/>
    <x v="59"/>
    <n v="2"/>
  </r>
  <r>
    <x v="552"/>
    <s v="Eliza Espinoza"/>
    <x v="8"/>
    <x v="5"/>
    <x v="3"/>
    <x v="1"/>
    <x v="1"/>
    <n v="30"/>
    <d v="2017-12-28T00:00:00"/>
    <x v="3"/>
    <x v="10"/>
    <x v="12"/>
    <n v="103646"/>
    <n v="7.0000000000000007E-2"/>
    <n v="7255.22"/>
    <n v="110901"/>
    <x v="0"/>
    <s v="Phoenix"/>
    <x v="0"/>
    <n v="7"/>
  </r>
  <r>
    <x v="553"/>
    <s v="Axel King"/>
    <x v="21"/>
    <x v="0"/>
    <x v="0"/>
    <x v="0"/>
    <x v="2"/>
    <n v="46"/>
    <d v="2010-02-21T00:00:00"/>
    <x v="2"/>
    <x v="0"/>
    <x v="15"/>
    <n v="100757"/>
    <n v="0"/>
    <n v="0"/>
    <n v="100757"/>
    <x v="0"/>
    <s v="Chicago"/>
    <x v="0"/>
    <n v="15"/>
  </r>
  <r>
    <x v="554"/>
    <s v="Alexander Carter"/>
    <x v="2"/>
    <x v="2"/>
    <x v="3"/>
    <x v="0"/>
    <x v="2"/>
    <n v="47"/>
    <d v="2008-10-04T00:00:00"/>
    <x v="0"/>
    <x v="1"/>
    <x v="24"/>
    <n v="60963"/>
    <n v="0"/>
    <n v="0"/>
    <n v="60963"/>
    <x v="0"/>
    <s v="Seattle"/>
    <x v="0"/>
    <n v="17"/>
  </r>
  <r>
    <x v="555"/>
    <s v="Robert Rogers"/>
    <x v="11"/>
    <x v="0"/>
    <x v="0"/>
    <x v="0"/>
    <x v="2"/>
    <n v="53"/>
    <d v="2011-08-26T00:00:00"/>
    <x v="4"/>
    <x v="6"/>
    <x v="8"/>
    <n v="258734"/>
    <n v="0.34"/>
    <n v="87969.560000000012"/>
    <n v="346704"/>
    <x v="0"/>
    <s v="Seattle"/>
    <x v="0"/>
    <n v="14"/>
  </r>
  <r>
    <x v="556"/>
    <s v="Anthony Gupta"/>
    <x v="18"/>
    <x v="2"/>
    <x v="3"/>
    <x v="0"/>
    <x v="0"/>
    <n v="38"/>
    <d v="2021-09-23T00:00:00"/>
    <x v="3"/>
    <x v="5"/>
    <x v="13"/>
    <n v="70612"/>
    <n v="0"/>
    <n v="0"/>
    <n v="70612"/>
    <x v="1"/>
    <s v="Chongqing"/>
    <x v="0"/>
    <n v="4"/>
  </r>
  <r>
    <x v="557"/>
    <s v="Jackson Gupta"/>
    <x v="12"/>
    <x v="2"/>
    <x v="2"/>
    <x v="0"/>
    <x v="0"/>
    <n v="65"/>
    <d v="1993-06-27T00:00:00"/>
    <x v="2"/>
    <x v="4"/>
    <x v="23"/>
    <n v="77065"/>
    <n v="0"/>
    <n v="0"/>
    <n v="77065"/>
    <x v="0"/>
    <s v="Seattle"/>
    <x v="0"/>
    <n v="32"/>
  </r>
  <r>
    <x v="558"/>
    <s v="Sophia Rodriguez"/>
    <x v="30"/>
    <x v="0"/>
    <x v="3"/>
    <x v="1"/>
    <x v="1"/>
    <n v="58"/>
    <d v="2007-10-31T00:00:00"/>
    <x v="1"/>
    <x v="1"/>
    <x v="25"/>
    <n v="96256"/>
    <n v="0"/>
    <n v="0"/>
    <n v="96256"/>
    <x v="0"/>
    <s v="Chicago"/>
    <x v="0"/>
    <n v="17"/>
  </r>
  <r>
    <x v="559"/>
    <s v="Cora Patel"/>
    <x v="6"/>
    <x v="3"/>
    <x v="0"/>
    <x v="1"/>
    <x v="0"/>
    <n v="36"/>
    <d v="2011-05-13T00:00:00"/>
    <x v="4"/>
    <x v="9"/>
    <x v="8"/>
    <n v="65794"/>
    <n v="0"/>
    <n v="0"/>
    <n v="65794"/>
    <x v="0"/>
    <s v="Austin"/>
    <x v="0"/>
    <n v="14"/>
  </r>
  <r>
    <x v="560"/>
    <s v="Piper Hsu"/>
    <x v="1"/>
    <x v="3"/>
    <x v="2"/>
    <x v="1"/>
    <x v="0"/>
    <n v="45"/>
    <d v="2015-08-23T00:00:00"/>
    <x v="2"/>
    <x v="6"/>
    <x v="9"/>
    <n v="48491"/>
    <n v="0"/>
    <n v="0"/>
    <n v="48491"/>
    <x v="0"/>
    <s v="Austin"/>
    <x v="60"/>
    <n v="0"/>
  </r>
  <r>
    <x v="561"/>
    <s v="Hunter Marquez"/>
    <x v="32"/>
    <x v="0"/>
    <x v="2"/>
    <x v="0"/>
    <x v="1"/>
    <n v="34"/>
    <d v="2019-08-07T00:00:00"/>
    <x v="1"/>
    <x v="6"/>
    <x v="2"/>
    <n v="83220"/>
    <n v="0"/>
    <n v="0"/>
    <n v="83220"/>
    <x v="0"/>
    <s v="Chicago"/>
    <x v="0"/>
    <n v="6"/>
  </r>
  <r>
    <x v="562"/>
    <s v="Addison Li"/>
    <x v="24"/>
    <x v="6"/>
    <x v="2"/>
    <x v="1"/>
    <x v="0"/>
    <n v="37"/>
    <d v="2010-03-04T00:00:00"/>
    <x v="3"/>
    <x v="2"/>
    <x v="15"/>
    <n v="61680"/>
    <n v="0"/>
    <n v="0"/>
    <n v="61680"/>
    <x v="1"/>
    <s v="Beijing"/>
    <x v="61"/>
    <n v="5"/>
  </r>
  <r>
    <x v="563"/>
    <s v="Carson Hoang"/>
    <x v="5"/>
    <x v="1"/>
    <x v="0"/>
    <x v="0"/>
    <x v="0"/>
    <n v="43"/>
    <d v="2021-10-09T00:00:00"/>
    <x v="0"/>
    <x v="1"/>
    <x v="13"/>
    <n v="72482"/>
    <n v="0"/>
    <n v="0"/>
    <n v="72482"/>
    <x v="0"/>
    <s v="Chicago"/>
    <x v="0"/>
    <n v="3"/>
  </r>
  <r>
    <x v="564"/>
    <s v="Julian Fernandez"/>
    <x v="30"/>
    <x v="0"/>
    <x v="2"/>
    <x v="0"/>
    <x v="1"/>
    <n v="27"/>
    <d v="2022-02-07T00:00:00"/>
    <x v="5"/>
    <x v="0"/>
    <x v="0"/>
    <n v="81713"/>
    <n v="0"/>
    <n v="0"/>
    <n v="81713"/>
    <x v="2"/>
    <s v="Rio de Janeiro"/>
    <x v="0"/>
    <n v="3"/>
  </r>
  <r>
    <x v="565"/>
    <s v="Caleb Rojas"/>
    <x v="6"/>
    <x v="1"/>
    <x v="0"/>
    <x v="0"/>
    <x v="1"/>
    <n v="38"/>
    <d v="2021-12-04T00:00:00"/>
    <x v="0"/>
    <x v="10"/>
    <x v="13"/>
    <n v="68281"/>
    <n v="0"/>
    <n v="0"/>
    <n v="68281"/>
    <x v="0"/>
    <s v="Miami"/>
    <x v="62"/>
    <n v="0"/>
  </r>
  <r>
    <x v="566"/>
    <s v="Elizabeth Griffin"/>
    <x v="18"/>
    <x v="2"/>
    <x v="1"/>
    <x v="1"/>
    <x v="2"/>
    <n v="60"/>
    <d v="1993-09-10T00:00:00"/>
    <x v="4"/>
    <x v="5"/>
    <x v="23"/>
    <n v="63979"/>
    <n v="0"/>
    <n v="0"/>
    <n v="63979"/>
    <x v="0"/>
    <s v="Miami"/>
    <x v="0"/>
    <n v="32"/>
  </r>
  <r>
    <x v="567"/>
    <s v="Nolan Han"/>
    <x v="15"/>
    <x v="6"/>
    <x v="1"/>
    <x v="0"/>
    <x v="0"/>
    <n v="29"/>
    <d v="2017-11-19T00:00:00"/>
    <x v="2"/>
    <x v="7"/>
    <x v="12"/>
    <n v="53090"/>
    <n v="0"/>
    <n v="0"/>
    <n v="53090"/>
    <x v="0"/>
    <s v="Miami"/>
    <x v="0"/>
    <n v="7"/>
  </r>
  <r>
    <x v="568"/>
    <s v="Cameron Romero"/>
    <x v="8"/>
    <x v="1"/>
    <x v="3"/>
    <x v="0"/>
    <x v="1"/>
    <n v="49"/>
    <d v="1997-09-15T00:00:00"/>
    <x v="5"/>
    <x v="5"/>
    <x v="14"/>
    <n v="108325"/>
    <n v="0.1"/>
    <n v="10832.5"/>
    <n v="119158"/>
    <x v="2"/>
    <s v="Manaus"/>
    <x v="0"/>
    <n v="28"/>
  </r>
  <r>
    <x v="569"/>
    <s v="Angel Patterson"/>
    <x v="5"/>
    <x v="5"/>
    <x v="1"/>
    <x v="0"/>
    <x v="3"/>
    <n v="45"/>
    <d v="2018-01-07T00:00:00"/>
    <x v="2"/>
    <x v="11"/>
    <x v="3"/>
    <n v="98289"/>
    <n v="0"/>
    <n v="0"/>
    <n v="98289"/>
    <x v="0"/>
    <s v="Columbus"/>
    <x v="0"/>
    <n v="7"/>
  </r>
  <r>
    <x v="570"/>
    <s v="Ryan Foster"/>
    <x v="17"/>
    <x v="2"/>
    <x v="3"/>
    <x v="0"/>
    <x v="2"/>
    <n v="44"/>
    <d v="2004-02-22T00:00:00"/>
    <x v="2"/>
    <x v="0"/>
    <x v="5"/>
    <n v="41275"/>
    <n v="0"/>
    <n v="0"/>
    <n v="41275"/>
    <x v="0"/>
    <s v="Austin"/>
    <x v="63"/>
    <n v="3"/>
  </r>
  <r>
    <x v="571"/>
    <s v="Leonardo Patterson"/>
    <x v="5"/>
    <x v="4"/>
    <x v="3"/>
    <x v="0"/>
    <x v="2"/>
    <n v="46"/>
    <d v="2012-02-06T00:00:00"/>
    <x v="5"/>
    <x v="0"/>
    <x v="21"/>
    <n v="93642"/>
    <n v="0"/>
    <n v="0"/>
    <n v="93642"/>
    <x v="0"/>
    <s v="Columbus"/>
    <x v="0"/>
    <n v="13"/>
  </r>
  <r>
    <x v="572"/>
    <s v="William Song"/>
    <x v="4"/>
    <x v="6"/>
    <x v="2"/>
    <x v="0"/>
    <x v="0"/>
    <n v="36"/>
    <d v="2010-10-25T00:00:00"/>
    <x v="5"/>
    <x v="1"/>
    <x v="15"/>
    <n v="162957"/>
    <n v="0.18"/>
    <n v="29332.26"/>
    <n v="192289"/>
    <x v="1"/>
    <s v="Chongqing"/>
    <x v="0"/>
    <n v="14"/>
  </r>
  <r>
    <x v="573"/>
    <s v="Axel Aguilar"/>
    <x v="5"/>
    <x v="3"/>
    <x v="0"/>
    <x v="0"/>
    <x v="1"/>
    <n v="45"/>
    <d v="2022-04-10T00:00:00"/>
    <x v="2"/>
    <x v="3"/>
    <x v="0"/>
    <n v="96029"/>
    <n v="0"/>
    <n v="0"/>
    <n v="96029"/>
    <x v="2"/>
    <s v="Rio de Janeiro"/>
    <x v="0"/>
    <n v="3"/>
  </r>
  <r>
    <x v="574"/>
    <s v="Liam Valdez"/>
    <x v="11"/>
    <x v="6"/>
    <x v="2"/>
    <x v="0"/>
    <x v="1"/>
    <n v="55"/>
    <d v="1999-03-01T00:00:00"/>
    <x v="5"/>
    <x v="2"/>
    <x v="7"/>
    <n v="227148"/>
    <n v="0.33"/>
    <n v="74958.84"/>
    <n v="302107"/>
    <x v="2"/>
    <s v="Sao Paulo"/>
    <x v="0"/>
    <n v="26"/>
  </r>
  <r>
    <x v="575"/>
    <s v="Hudson Washington"/>
    <x v="18"/>
    <x v="2"/>
    <x v="3"/>
    <x v="0"/>
    <x v="2"/>
    <n v="43"/>
    <d v="2008-09-17T00:00:00"/>
    <x v="1"/>
    <x v="5"/>
    <x v="24"/>
    <n v="76819"/>
    <n v="0"/>
    <n v="0"/>
    <n v="76819"/>
    <x v="0"/>
    <s v="Phoenix"/>
    <x v="64"/>
    <n v="14"/>
  </r>
  <r>
    <x v="576"/>
    <s v="Owen Han"/>
    <x v="6"/>
    <x v="1"/>
    <x v="3"/>
    <x v="0"/>
    <x v="0"/>
    <n v="30"/>
    <d v="2022-09-01T00:00:00"/>
    <x v="3"/>
    <x v="5"/>
    <x v="0"/>
    <n v="66892"/>
    <n v="0"/>
    <n v="0"/>
    <n v="66892"/>
    <x v="0"/>
    <s v="Seattle"/>
    <x v="0"/>
    <n v="3"/>
  </r>
  <r>
    <x v="577"/>
    <s v="Harper Washington"/>
    <x v="11"/>
    <x v="5"/>
    <x v="0"/>
    <x v="1"/>
    <x v="2"/>
    <n v="48"/>
    <d v="1999-06-24T00:00:00"/>
    <x v="3"/>
    <x v="4"/>
    <x v="7"/>
    <n v="256084"/>
    <n v="0.34"/>
    <n v="87068.560000000012"/>
    <n v="343153"/>
    <x v="0"/>
    <s v="Columbus"/>
    <x v="0"/>
    <n v="26"/>
  </r>
  <r>
    <x v="578"/>
    <s v="Brooklyn Parker"/>
    <x v="5"/>
    <x v="5"/>
    <x v="3"/>
    <x v="1"/>
    <x v="3"/>
    <n v="60"/>
    <d v="2005-03-19T00:00:00"/>
    <x v="0"/>
    <x v="2"/>
    <x v="4"/>
    <n v="85669"/>
    <n v="0"/>
    <n v="0"/>
    <n v="85669"/>
    <x v="0"/>
    <s v="Phoenix"/>
    <x v="0"/>
    <n v="20"/>
  </r>
  <r>
    <x v="579"/>
    <s v="Hudson Oh"/>
    <x v="17"/>
    <x v="2"/>
    <x v="2"/>
    <x v="0"/>
    <x v="0"/>
    <n v="30"/>
    <d v="2021-09-09T00:00:00"/>
    <x v="3"/>
    <x v="5"/>
    <x v="13"/>
    <n v="44454"/>
    <n v="0"/>
    <n v="0"/>
    <n v="44454"/>
    <x v="1"/>
    <s v="Beijing"/>
    <x v="0"/>
    <n v="4"/>
  </r>
  <r>
    <x v="580"/>
    <s v="Maverick Howard"/>
    <x v="17"/>
    <x v="2"/>
    <x v="3"/>
    <x v="0"/>
    <x v="2"/>
    <n v="25"/>
    <d v="2021-04-13T00:00:00"/>
    <x v="6"/>
    <x v="3"/>
    <x v="13"/>
    <n v="54353"/>
    <n v="0"/>
    <n v="0"/>
    <n v="54353"/>
    <x v="0"/>
    <s v="Chicago"/>
    <x v="0"/>
    <n v="4"/>
  </r>
  <r>
    <x v="581"/>
    <s v="Alexander Dominguez"/>
    <x v="6"/>
    <x v="1"/>
    <x v="3"/>
    <x v="0"/>
    <x v="1"/>
    <n v="58"/>
    <d v="2014-11-27T00:00:00"/>
    <x v="3"/>
    <x v="7"/>
    <x v="11"/>
    <n v="58867"/>
    <n v="0"/>
    <n v="0"/>
    <n v="58867"/>
    <x v="2"/>
    <s v="Rio de Janeiro"/>
    <x v="0"/>
    <n v="10"/>
  </r>
  <r>
    <x v="582"/>
    <s v="Jack Garcia"/>
    <x v="8"/>
    <x v="6"/>
    <x v="1"/>
    <x v="0"/>
    <x v="1"/>
    <n v="37"/>
    <d v="2022-03-21T00:00:00"/>
    <x v="5"/>
    <x v="2"/>
    <x v="0"/>
    <n v="123918"/>
    <n v="0.08"/>
    <n v="9913.44"/>
    <n v="133831"/>
    <x v="2"/>
    <s v="Rio de Janeiro"/>
    <x v="0"/>
    <n v="3"/>
  </r>
  <r>
    <x v="583"/>
    <s v="Aiden Hu"/>
    <x v="17"/>
    <x v="2"/>
    <x v="2"/>
    <x v="0"/>
    <x v="0"/>
    <n v="44"/>
    <d v="2010-05-07T00:00:00"/>
    <x v="4"/>
    <x v="9"/>
    <x v="15"/>
    <n v="56680"/>
    <n v="0"/>
    <n v="0"/>
    <n v="56680"/>
    <x v="0"/>
    <s v="Chicago"/>
    <x v="0"/>
    <n v="15"/>
  </r>
  <r>
    <x v="584"/>
    <s v="Cora Espinoza"/>
    <x v="15"/>
    <x v="6"/>
    <x v="2"/>
    <x v="1"/>
    <x v="1"/>
    <n v="53"/>
    <d v="2019-10-09T00:00:00"/>
    <x v="1"/>
    <x v="1"/>
    <x v="2"/>
    <n v="55206"/>
    <n v="0"/>
    <n v="0"/>
    <n v="55206"/>
    <x v="0"/>
    <s v="Miami"/>
    <x v="0"/>
    <n v="5"/>
  </r>
  <r>
    <x v="585"/>
    <s v="Naomi Moua"/>
    <x v="4"/>
    <x v="1"/>
    <x v="3"/>
    <x v="1"/>
    <x v="0"/>
    <n v="58"/>
    <d v="2010-01-13T00:00:00"/>
    <x v="1"/>
    <x v="11"/>
    <x v="15"/>
    <n v="150633"/>
    <n v="0.19"/>
    <n v="28620.27"/>
    <n v="179253"/>
    <x v="0"/>
    <s v="Phoenix"/>
    <x v="0"/>
    <n v="15"/>
  </r>
  <r>
    <x v="586"/>
    <s v="Liam Baker"/>
    <x v="2"/>
    <x v="2"/>
    <x v="3"/>
    <x v="0"/>
    <x v="2"/>
    <n v="65"/>
    <d v="2020-01-26T00:00:00"/>
    <x v="2"/>
    <x v="11"/>
    <x v="17"/>
    <n v="97379"/>
    <n v="0"/>
    <n v="0"/>
    <n v="97379"/>
    <x v="0"/>
    <s v="Seattle"/>
    <x v="0"/>
    <n v="5"/>
  </r>
  <r>
    <x v="587"/>
    <s v="Christian Liu"/>
    <x v="4"/>
    <x v="3"/>
    <x v="2"/>
    <x v="0"/>
    <x v="0"/>
    <n v="57"/>
    <d v="2000-03-29T00:00:00"/>
    <x v="1"/>
    <x v="2"/>
    <x v="27"/>
    <n v="178447"/>
    <n v="0.22"/>
    <n v="39258.340000000004"/>
    <n v="217705"/>
    <x v="1"/>
    <s v="Chengdu"/>
    <x v="0"/>
    <n v="25"/>
  </r>
  <r>
    <x v="588"/>
    <s v="Aaron Munoz"/>
    <x v="2"/>
    <x v="2"/>
    <x v="0"/>
    <x v="0"/>
    <x v="1"/>
    <n v="31"/>
    <d v="2021-06-13T00:00:00"/>
    <x v="2"/>
    <x v="4"/>
    <x v="13"/>
    <n v="60827"/>
    <n v="0"/>
    <n v="0"/>
    <n v="60827"/>
    <x v="0"/>
    <s v="Phoenix"/>
    <x v="0"/>
    <n v="4"/>
  </r>
  <r>
    <x v="589"/>
    <s v="Levi Kang"/>
    <x v="25"/>
    <x v="0"/>
    <x v="0"/>
    <x v="0"/>
    <x v="0"/>
    <n v="32"/>
    <d v="2019-04-28T00:00:00"/>
    <x v="2"/>
    <x v="3"/>
    <x v="2"/>
    <n v="96951"/>
    <n v="0.13"/>
    <n v="12603.630000000001"/>
    <n v="109555"/>
    <x v="1"/>
    <s v="Chengdu"/>
    <x v="0"/>
    <n v="6"/>
  </r>
  <r>
    <x v="590"/>
    <s v="Isaac Foster"/>
    <x v="8"/>
    <x v="3"/>
    <x v="3"/>
    <x v="0"/>
    <x v="2"/>
    <n v="48"/>
    <d v="2001-01-06T00:00:00"/>
    <x v="0"/>
    <x v="11"/>
    <x v="19"/>
    <n v="103051"/>
    <n v="0.09"/>
    <n v="9274.59"/>
    <n v="112326"/>
    <x v="0"/>
    <s v="Phoenix"/>
    <x v="0"/>
    <n v="24"/>
  </r>
  <r>
    <x v="591"/>
    <s v="Samantha Zhu"/>
    <x v="11"/>
    <x v="2"/>
    <x v="3"/>
    <x v="1"/>
    <x v="0"/>
    <n v="55"/>
    <d v="2001-10-27T00:00:00"/>
    <x v="0"/>
    <x v="1"/>
    <x v="19"/>
    <n v="256592"/>
    <n v="0.3"/>
    <n v="76977.599999999991"/>
    <n v="333570"/>
    <x v="1"/>
    <s v="Beijing"/>
    <x v="65"/>
    <n v="8"/>
  </r>
  <r>
    <x v="592"/>
    <s v="Vivian Watson"/>
    <x v="30"/>
    <x v="0"/>
    <x v="3"/>
    <x v="1"/>
    <x v="2"/>
    <n v="52"/>
    <d v="2017-07-07T00:00:00"/>
    <x v="4"/>
    <x v="8"/>
    <x v="12"/>
    <n v="79323"/>
    <n v="0"/>
    <n v="0"/>
    <n v="79323"/>
    <x v="0"/>
    <s v="Chicago"/>
    <x v="0"/>
    <n v="8"/>
  </r>
  <r>
    <x v="593"/>
    <s v="Emery Hernandez"/>
    <x v="30"/>
    <x v="0"/>
    <x v="2"/>
    <x v="1"/>
    <x v="1"/>
    <n v="27"/>
    <d v="2021-07-12T00:00:00"/>
    <x v="5"/>
    <x v="8"/>
    <x v="13"/>
    <n v="75583"/>
    <n v="0"/>
    <n v="0"/>
    <n v="75583"/>
    <x v="2"/>
    <s v="Manaus"/>
    <x v="0"/>
    <n v="4"/>
  </r>
  <r>
    <x v="594"/>
    <s v="Camila Baker"/>
    <x v="14"/>
    <x v="1"/>
    <x v="3"/>
    <x v="1"/>
    <x v="2"/>
    <n v="36"/>
    <d v="2012-09-08T00:00:00"/>
    <x v="0"/>
    <x v="5"/>
    <x v="21"/>
    <n v="73646"/>
    <n v="0"/>
    <n v="0"/>
    <n v="73646"/>
    <x v="0"/>
    <s v="Austin"/>
    <x v="0"/>
    <n v="13"/>
  </r>
  <r>
    <x v="595"/>
    <s v="David Bryant"/>
    <x v="22"/>
    <x v="2"/>
    <x v="3"/>
    <x v="0"/>
    <x v="2"/>
    <n v="36"/>
    <d v="2022-08-07T00:00:00"/>
    <x v="2"/>
    <x v="6"/>
    <x v="0"/>
    <n v="64937"/>
    <n v="0"/>
    <n v="0"/>
    <n v="64937"/>
    <x v="0"/>
    <s v="Miami"/>
    <x v="0"/>
    <n v="3"/>
  </r>
  <r>
    <x v="596"/>
    <s v="Miles Perez"/>
    <x v="8"/>
    <x v="1"/>
    <x v="0"/>
    <x v="0"/>
    <x v="1"/>
    <n v="42"/>
    <d v="2019-06-11T00:00:00"/>
    <x v="6"/>
    <x v="4"/>
    <x v="2"/>
    <n v="112146"/>
    <n v="0.06"/>
    <n v="6728.7599999999993"/>
    <n v="118875"/>
    <x v="0"/>
    <s v="Miami"/>
    <x v="0"/>
    <n v="6"/>
  </r>
  <r>
    <x v="597"/>
    <s v="Elijah Hill"/>
    <x v="5"/>
    <x v="5"/>
    <x v="2"/>
    <x v="0"/>
    <x v="2"/>
    <n v="48"/>
    <d v="2018-12-16T00:00:00"/>
    <x v="2"/>
    <x v="10"/>
    <x v="3"/>
    <n v="83332"/>
    <n v="0"/>
    <n v="0"/>
    <n v="83332"/>
    <x v="0"/>
    <s v="Austin"/>
    <x v="0"/>
    <n v="6"/>
  </r>
  <r>
    <x v="598"/>
    <s v="Sofia Shin"/>
    <x v="20"/>
    <x v="2"/>
    <x v="3"/>
    <x v="1"/>
    <x v="0"/>
    <n v="42"/>
    <d v="2008-04-11T00:00:00"/>
    <x v="4"/>
    <x v="3"/>
    <x v="24"/>
    <n v="66248"/>
    <n v="7.0000000000000007E-2"/>
    <n v="4637.3600000000006"/>
    <n v="70885"/>
    <x v="1"/>
    <s v="Chongqing"/>
    <x v="0"/>
    <n v="17"/>
  </r>
  <r>
    <x v="599"/>
    <s v="Ezekiel Lee"/>
    <x v="10"/>
    <x v="6"/>
    <x v="2"/>
    <x v="0"/>
    <x v="0"/>
    <n v="37"/>
    <d v="2019-08-22T00:00:00"/>
    <x v="3"/>
    <x v="6"/>
    <x v="2"/>
    <n v="127238"/>
    <n v="0.15"/>
    <n v="19085.7"/>
    <n v="146324"/>
    <x v="1"/>
    <s v="Shanghai"/>
    <x v="0"/>
    <n v="6"/>
  </r>
  <r>
    <x v="600"/>
    <s v="Nevaeh Truong"/>
    <x v="28"/>
    <x v="2"/>
    <x v="3"/>
    <x v="1"/>
    <x v="0"/>
    <n v="55"/>
    <d v="2012-05-23T00:00:00"/>
    <x v="1"/>
    <x v="9"/>
    <x v="21"/>
    <n v="87857"/>
    <n v="0"/>
    <n v="0"/>
    <n v="87857"/>
    <x v="0"/>
    <s v="Austin"/>
    <x v="0"/>
    <n v="13"/>
  </r>
  <r>
    <x v="601"/>
    <s v="Leah Ali"/>
    <x v="24"/>
    <x v="6"/>
    <x v="3"/>
    <x v="1"/>
    <x v="0"/>
    <n v="62"/>
    <d v="1999-08-20T00:00:00"/>
    <x v="4"/>
    <x v="6"/>
    <x v="7"/>
    <n v="51454"/>
    <n v="0"/>
    <n v="0"/>
    <n v="51454"/>
    <x v="0"/>
    <s v="Seattle"/>
    <x v="0"/>
    <n v="26"/>
  </r>
  <r>
    <x v="602"/>
    <s v="Emma Soto"/>
    <x v="10"/>
    <x v="3"/>
    <x v="3"/>
    <x v="1"/>
    <x v="1"/>
    <n v="29"/>
    <d v="2020-09-13T00:00:00"/>
    <x v="2"/>
    <x v="5"/>
    <x v="17"/>
    <n v="128066"/>
    <n v="0.11"/>
    <n v="14087.26"/>
    <n v="142153"/>
    <x v="0"/>
    <s v="Seattle"/>
    <x v="0"/>
    <n v="5"/>
  </r>
  <r>
    <x v="603"/>
    <s v="Lydia Marquez"/>
    <x v="10"/>
    <x v="6"/>
    <x v="1"/>
    <x v="1"/>
    <x v="1"/>
    <n v="29"/>
    <d v="2018-09-28T00:00:00"/>
    <x v="4"/>
    <x v="5"/>
    <x v="3"/>
    <n v="130790"/>
    <n v="0.1"/>
    <n v="13079"/>
    <n v="143869"/>
    <x v="2"/>
    <s v="Rio de Janeiro"/>
    <x v="0"/>
    <n v="7"/>
  </r>
  <r>
    <x v="604"/>
    <s v="Cora Munoz"/>
    <x v="11"/>
    <x v="6"/>
    <x v="0"/>
    <x v="1"/>
    <x v="1"/>
    <n v="45"/>
    <d v="2004-05-17T00:00:00"/>
    <x v="5"/>
    <x v="9"/>
    <x v="5"/>
    <n v="233342"/>
    <n v="0.37"/>
    <n v="86336.54"/>
    <n v="319679"/>
    <x v="0"/>
    <s v="Austin"/>
    <x v="0"/>
    <n v="21"/>
  </r>
  <r>
    <x v="605"/>
    <s v="Hudson Ross"/>
    <x v="1"/>
    <x v="5"/>
    <x v="0"/>
    <x v="0"/>
    <x v="2"/>
    <n v="57"/>
    <d v="2009-10-04T00:00:00"/>
    <x v="2"/>
    <x v="1"/>
    <x v="6"/>
    <n v="54155"/>
    <n v="0"/>
    <n v="0"/>
    <n v="54155"/>
    <x v="0"/>
    <s v="Austin"/>
    <x v="0"/>
    <n v="16"/>
  </r>
  <r>
    <x v="606"/>
    <s v="Aiden Cheng"/>
    <x v="11"/>
    <x v="5"/>
    <x v="0"/>
    <x v="0"/>
    <x v="0"/>
    <n v="31"/>
    <d v="2019-09-06T00:00:00"/>
    <x v="4"/>
    <x v="5"/>
    <x v="2"/>
    <n v="189403"/>
    <n v="0.36"/>
    <n v="68185.08"/>
    <n v="257588"/>
    <x v="1"/>
    <s v="Shanghai"/>
    <x v="66"/>
    <n v="1"/>
  </r>
  <r>
    <x v="607"/>
    <s v="Willow Vang"/>
    <x v="5"/>
    <x v="3"/>
    <x v="0"/>
    <x v="1"/>
    <x v="0"/>
    <n v="31"/>
    <d v="2018-05-18T00:00:00"/>
    <x v="4"/>
    <x v="9"/>
    <x v="3"/>
    <n v="78732"/>
    <n v="0"/>
    <n v="0"/>
    <n v="78732"/>
    <x v="1"/>
    <s v="Shanghai"/>
    <x v="67"/>
    <n v="0"/>
  </r>
  <r>
    <x v="608"/>
    <s v="Jonathan Young"/>
    <x v="1"/>
    <x v="3"/>
    <x v="0"/>
    <x v="0"/>
    <x v="2"/>
    <n v="47"/>
    <d v="2015-04-28T00:00:00"/>
    <x v="6"/>
    <x v="3"/>
    <x v="9"/>
    <n v="55401"/>
    <n v="0"/>
    <n v="0"/>
    <n v="55401"/>
    <x v="0"/>
    <s v="Columbus"/>
    <x v="0"/>
    <n v="10"/>
  </r>
  <r>
    <x v="609"/>
    <s v="Isaac Rojas"/>
    <x v="7"/>
    <x v="2"/>
    <x v="0"/>
    <x v="0"/>
    <x v="1"/>
    <n v="60"/>
    <d v="2006-07-12T00:00:00"/>
    <x v="1"/>
    <x v="8"/>
    <x v="16"/>
    <n v="82343"/>
    <n v="0"/>
    <n v="0"/>
    <n v="82343"/>
    <x v="0"/>
    <s v="Austin"/>
    <x v="0"/>
    <n v="19"/>
  </r>
  <r>
    <x v="610"/>
    <s v="Dylan Guzman"/>
    <x v="31"/>
    <x v="0"/>
    <x v="2"/>
    <x v="0"/>
    <x v="1"/>
    <n v="42"/>
    <d v="2017-03-16T00:00:00"/>
    <x v="3"/>
    <x v="2"/>
    <x v="12"/>
    <n v="66226"/>
    <n v="0"/>
    <n v="0"/>
    <n v="66226"/>
    <x v="2"/>
    <s v="Sao Paulo"/>
    <x v="0"/>
    <n v="8"/>
  </r>
  <r>
    <x v="611"/>
    <s v="Sarah Shin"/>
    <x v="11"/>
    <x v="2"/>
    <x v="0"/>
    <x v="1"/>
    <x v="0"/>
    <n v="26"/>
    <d v="2021-12-03T00:00:00"/>
    <x v="4"/>
    <x v="10"/>
    <x v="13"/>
    <n v="193435"/>
    <n v="0.31"/>
    <n v="59964.85"/>
    <n v="253400"/>
    <x v="0"/>
    <s v="Chicago"/>
    <x v="0"/>
    <n v="3"/>
  </r>
  <r>
    <x v="612"/>
    <s v="Michael Johnson"/>
    <x v="8"/>
    <x v="4"/>
    <x v="1"/>
    <x v="0"/>
    <x v="2"/>
    <n v="57"/>
    <d v="2011-04-18T00:00:00"/>
    <x v="5"/>
    <x v="3"/>
    <x v="8"/>
    <n v="114241"/>
    <n v="0.1"/>
    <n v="11424.1"/>
    <n v="125665"/>
    <x v="0"/>
    <s v="Miami"/>
    <x v="0"/>
    <n v="14"/>
  </r>
  <r>
    <x v="613"/>
    <s v="Riley Vega"/>
    <x v="4"/>
    <x v="0"/>
    <x v="2"/>
    <x v="1"/>
    <x v="1"/>
    <n v="25"/>
    <d v="2022-11-11T00:00:00"/>
    <x v="4"/>
    <x v="7"/>
    <x v="0"/>
    <n v="177264"/>
    <n v="0.16"/>
    <n v="28362.240000000002"/>
    <n v="205626"/>
    <x v="2"/>
    <s v="Manaus"/>
    <x v="0"/>
    <n v="2"/>
  </r>
  <r>
    <x v="614"/>
    <s v="Benjamin Ali"/>
    <x v="15"/>
    <x v="6"/>
    <x v="1"/>
    <x v="0"/>
    <x v="0"/>
    <n v="53"/>
    <d v="2016-04-12T00:00:00"/>
    <x v="6"/>
    <x v="3"/>
    <x v="20"/>
    <n v="58010"/>
    <n v="0"/>
    <n v="0"/>
    <n v="58010"/>
    <x v="0"/>
    <s v="Seattle"/>
    <x v="0"/>
    <n v="9"/>
  </r>
  <r>
    <x v="615"/>
    <s v="Ezekiel Cooper"/>
    <x v="4"/>
    <x v="2"/>
    <x v="3"/>
    <x v="0"/>
    <x v="3"/>
    <n v="43"/>
    <d v="2003-03-15T00:00:00"/>
    <x v="0"/>
    <x v="2"/>
    <x v="10"/>
    <n v="154284"/>
    <n v="0.25"/>
    <n v="38571"/>
    <n v="192855"/>
    <x v="0"/>
    <s v="Chicago"/>
    <x v="0"/>
    <n v="22"/>
  </r>
  <r>
    <x v="616"/>
    <s v="Lyla Walker"/>
    <x v="1"/>
    <x v="3"/>
    <x v="1"/>
    <x v="1"/>
    <x v="2"/>
    <n v="49"/>
    <d v="2002-02-18T00:00:00"/>
    <x v="5"/>
    <x v="0"/>
    <x v="18"/>
    <n v="54633"/>
    <n v="0"/>
    <n v="0"/>
    <n v="54633"/>
    <x v="0"/>
    <s v="Chicago"/>
    <x v="0"/>
    <n v="23"/>
  </r>
  <r>
    <x v="617"/>
    <s v="Aria Cheng"/>
    <x v="15"/>
    <x v="6"/>
    <x v="2"/>
    <x v="1"/>
    <x v="0"/>
    <n v="61"/>
    <d v="1996-08-26T00:00:00"/>
    <x v="5"/>
    <x v="6"/>
    <x v="26"/>
    <n v="42829"/>
    <n v="0"/>
    <n v="0"/>
    <n v="42829"/>
    <x v="0"/>
    <s v="Columbus"/>
    <x v="0"/>
    <n v="29"/>
  </r>
  <r>
    <x v="618"/>
    <s v="Christopher Ramirez"/>
    <x v="25"/>
    <x v="0"/>
    <x v="2"/>
    <x v="0"/>
    <x v="1"/>
    <n v="41"/>
    <d v="2010-03-15T00:00:00"/>
    <x v="5"/>
    <x v="2"/>
    <x v="15"/>
    <n v="118973"/>
    <n v="0.1"/>
    <n v="11897.300000000001"/>
    <n v="130870"/>
    <x v="0"/>
    <s v="Phoenix"/>
    <x v="0"/>
    <n v="15"/>
  </r>
  <r>
    <x v="619"/>
    <s v="Emily Roberts"/>
    <x v="28"/>
    <x v="2"/>
    <x v="0"/>
    <x v="1"/>
    <x v="2"/>
    <n v="56"/>
    <d v="2018-12-29T00:00:00"/>
    <x v="0"/>
    <x v="10"/>
    <x v="3"/>
    <n v="61251"/>
    <n v="0"/>
    <n v="0"/>
    <n v="61251"/>
    <x v="0"/>
    <s v="Miami"/>
    <x v="0"/>
    <n v="6"/>
  </r>
  <r>
    <x v="620"/>
    <s v="Nathan Parker"/>
    <x v="25"/>
    <x v="0"/>
    <x v="3"/>
    <x v="0"/>
    <x v="2"/>
    <n v="49"/>
    <d v="2002-04-24T00:00:00"/>
    <x v="1"/>
    <x v="3"/>
    <x v="18"/>
    <n v="108636"/>
    <n v="0.1"/>
    <n v="10863.6"/>
    <n v="119500"/>
    <x v="0"/>
    <s v="Columbus"/>
    <x v="0"/>
    <n v="23"/>
  </r>
  <r>
    <x v="621"/>
    <s v="Nora Her"/>
    <x v="26"/>
    <x v="0"/>
    <x v="3"/>
    <x v="1"/>
    <x v="0"/>
    <n v="32"/>
    <d v="2014-04-24T00:00:00"/>
    <x v="3"/>
    <x v="3"/>
    <x v="11"/>
    <n v="68780"/>
    <n v="0"/>
    <n v="0"/>
    <n v="68780"/>
    <x v="1"/>
    <s v="Beijing"/>
    <x v="0"/>
    <n v="11"/>
  </r>
  <r>
    <x v="622"/>
    <s v="Mia Brown"/>
    <x v="6"/>
    <x v="3"/>
    <x v="1"/>
    <x v="1"/>
    <x v="2"/>
    <n v="30"/>
    <d v="2016-08-10T00:00:00"/>
    <x v="1"/>
    <x v="6"/>
    <x v="20"/>
    <n v="60261"/>
    <n v="0"/>
    <n v="0"/>
    <n v="60261"/>
    <x v="0"/>
    <s v="Seattle"/>
    <x v="0"/>
    <n v="9"/>
  </r>
  <r>
    <x v="623"/>
    <s v="Hunter Hu"/>
    <x v="8"/>
    <x v="4"/>
    <x v="3"/>
    <x v="0"/>
    <x v="0"/>
    <n v="64"/>
    <d v="2003-07-13T00:00:00"/>
    <x v="2"/>
    <x v="8"/>
    <x v="10"/>
    <n v="100951"/>
    <n v="0.05"/>
    <n v="5047.55"/>
    <n v="105999"/>
    <x v="0"/>
    <s v="Miami"/>
    <x v="0"/>
    <n v="22"/>
  </r>
  <r>
    <x v="624"/>
    <s v="Luke Acosta"/>
    <x v="28"/>
    <x v="2"/>
    <x v="3"/>
    <x v="0"/>
    <x v="1"/>
    <n v="57"/>
    <d v="2022-07-20T00:00:00"/>
    <x v="1"/>
    <x v="8"/>
    <x v="0"/>
    <n v="93872"/>
    <n v="0"/>
    <n v="0"/>
    <n v="93872"/>
    <x v="2"/>
    <s v="Sao Paulo"/>
    <x v="68"/>
    <n v="0"/>
  </r>
  <r>
    <x v="625"/>
    <s v="Sophia Griffin"/>
    <x v="11"/>
    <x v="5"/>
    <x v="3"/>
    <x v="1"/>
    <x v="2"/>
    <n v="50"/>
    <d v="2018-06-29T00:00:00"/>
    <x v="4"/>
    <x v="4"/>
    <x v="3"/>
    <n v="181570"/>
    <n v="0.35"/>
    <n v="63549.499999999993"/>
    <n v="245120"/>
    <x v="0"/>
    <s v="Miami"/>
    <x v="69"/>
    <n v="3"/>
  </r>
  <r>
    <x v="626"/>
    <s v="Anthony Chu"/>
    <x v="8"/>
    <x v="1"/>
    <x v="0"/>
    <x v="0"/>
    <x v="0"/>
    <n v="61"/>
    <d v="2003-09-30T00:00:00"/>
    <x v="6"/>
    <x v="5"/>
    <x v="10"/>
    <n v="101517"/>
    <n v="0.09"/>
    <n v="9136.5299999999988"/>
    <n v="110654"/>
    <x v="0"/>
    <s v="Seattle"/>
    <x v="0"/>
    <n v="22"/>
  </r>
  <r>
    <x v="627"/>
    <s v="Landon Ha"/>
    <x v="8"/>
    <x v="4"/>
    <x v="0"/>
    <x v="0"/>
    <x v="0"/>
    <n v="43"/>
    <d v="2006-01-30T00:00:00"/>
    <x v="5"/>
    <x v="11"/>
    <x v="16"/>
    <n v="100822"/>
    <n v="0.1"/>
    <n v="10082.200000000001"/>
    <n v="110904"/>
    <x v="1"/>
    <s v="Chongqing"/>
    <x v="0"/>
    <n v="19"/>
  </r>
  <r>
    <x v="628"/>
    <s v="Layla Kang"/>
    <x v="8"/>
    <x v="5"/>
    <x v="2"/>
    <x v="1"/>
    <x v="0"/>
    <n v="26"/>
    <d v="2022-03-02T00:00:00"/>
    <x v="1"/>
    <x v="2"/>
    <x v="0"/>
    <n v="128965"/>
    <n v="0.09"/>
    <n v="11606.85"/>
    <n v="140572"/>
    <x v="0"/>
    <s v="Columbus"/>
    <x v="0"/>
    <n v="3"/>
  </r>
  <r>
    <x v="629"/>
    <s v="Cora Xu"/>
    <x v="2"/>
    <x v="2"/>
    <x v="0"/>
    <x v="1"/>
    <x v="0"/>
    <n v="54"/>
    <d v="2011-11-17T00:00:00"/>
    <x v="3"/>
    <x v="7"/>
    <x v="8"/>
    <n v="60513"/>
    <n v="0"/>
    <n v="0"/>
    <n v="60513"/>
    <x v="0"/>
    <s v="Austin"/>
    <x v="0"/>
    <n v="13"/>
  </r>
  <r>
    <x v="630"/>
    <s v="Rylee Campos"/>
    <x v="8"/>
    <x v="4"/>
    <x v="2"/>
    <x v="1"/>
    <x v="1"/>
    <n v="49"/>
    <d v="2005-02-09T00:00:00"/>
    <x v="1"/>
    <x v="0"/>
    <x v="4"/>
    <n v="107461"/>
    <n v="0.08"/>
    <n v="8596.880000000001"/>
    <n v="116058"/>
    <x v="0"/>
    <s v="Seattle"/>
    <x v="0"/>
    <n v="20"/>
  </r>
  <r>
    <x v="631"/>
    <s v="Amelia Foster"/>
    <x v="6"/>
    <x v="1"/>
    <x v="2"/>
    <x v="1"/>
    <x v="2"/>
    <n v="32"/>
    <d v="2018-02-24T00:00:00"/>
    <x v="0"/>
    <x v="0"/>
    <x v="3"/>
    <n v="66294"/>
    <n v="0"/>
    <n v="0"/>
    <n v="66294"/>
    <x v="0"/>
    <s v="Columbus"/>
    <x v="0"/>
    <n v="7"/>
  </r>
  <r>
    <x v="632"/>
    <s v="Hadley Rios"/>
    <x v="10"/>
    <x v="1"/>
    <x v="2"/>
    <x v="1"/>
    <x v="1"/>
    <n v="62"/>
    <d v="2009-01-11T00:00:00"/>
    <x v="2"/>
    <x v="11"/>
    <x v="6"/>
    <n v="157500"/>
    <n v="0.15"/>
    <n v="23625"/>
    <n v="181125"/>
    <x v="0"/>
    <s v="Columbus"/>
    <x v="0"/>
    <n v="16"/>
  </r>
  <r>
    <x v="633"/>
    <s v="Luna Chang"/>
    <x v="17"/>
    <x v="2"/>
    <x v="3"/>
    <x v="1"/>
    <x v="0"/>
    <n v="64"/>
    <d v="2022-10-20T00:00:00"/>
    <x v="3"/>
    <x v="1"/>
    <x v="0"/>
    <n v="43271"/>
    <n v="0"/>
    <n v="0"/>
    <n v="43271"/>
    <x v="1"/>
    <s v="Chengdu"/>
    <x v="0"/>
    <n v="2"/>
  </r>
  <r>
    <x v="634"/>
    <s v="Mia Navarro"/>
    <x v="13"/>
    <x v="2"/>
    <x v="2"/>
    <x v="1"/>
    <x v="1"/>
    <n v="52"/>
    <d v="2011-06-19T00:00:00"/>
    <x v="2"/>
    <x v="4"/>
    <x v="8"/>
    <n v="91518"/>
    <n v="0"/>
    <n v="0"/>
    <n v="91518"/>
    <x v="2"/>
    <s v="Sao Paulo"/>
    <x v="0"/>
    <n v="14"/>
  </r>
  <r>
    <x v="635"/>
    <s v="Nova Rios"/>
    <x v="10"/>
    <x v="6"/>
    <x v="3"/>
    <x v="1"/>
    <x v="1"/>
    <n v="42"/>
    <d v="2019-04-15T00:00:00"/>
    <x v="5"/>
    <x v="3"/>
    <x v="2"/>
    <n v="130874"/>
    <n v="0.12"/>
    <n v="15704.88"/>
    <n v="146579"/>
    <x v="0"/>
    <s v="Austin"/>
    <x v="0"/>
    <n v="6"/>
  </r>
  <r>
    <x v="636"/>
    <s v="Theodore Truong"/>
    <x v="24"/>
    <x v="6"/>
    <x v="1"/>
    <x v="0"/>
    <x v="0"/>
    <n v="45"/>
    <d v="2017-05-23T00:00:00"/>
    <x v="6"/>
    <x v="9"/>
    <x v="12"/>
    <n v="66324"/>
    <n v="0"/>
    <n v="0"/>
    <n v="66324"/>
    <x v="1"/>
    <s v="Beijing"/>
    <x v="70"/>
    <n v="4"/>
  </r>
  <r>
    <x v="637"/>
    <s v="Asher Ly"/>
    <x v="6"/>
    <x v="1"/>
    <x v="1"/>
    <x v="0"/>
    <x v="0"/>
    <n v="65"/>
    <d v="1998-01-29T00:00:00"/>
    <x v="3"/>
    <x v="11"/>
    <x v="22"/>
    <n v="63853"/>
    <n v="0"/>
    <n v="0"/>
    <n v="63853"/>
    <x v="0"/>
    <s v="Austin"/>
    <x v="0"/>
    <n v="27"/>
  </r>
  <r>
    <x v="638"/>
    <s v="Madeline Doan"/>
    <x v="8"/>
    <x v="6"/>
    <x v="1"/>
    <x v="1"/>
    <x v="0"/>
    <n v="46"/>
    <d v="2021-01-10T00:00:00"/>
    <x v="2"/>
    <x v="11"/>
    <x v="13"/>
    <n v="104692"/>
    <n v="0.08"/>
    <n v="8375.36"/>
    <n v="113067"/>
    <x v="1"/>
    <s v="Chengdu"/>
    <x v="0"/>
    <n v="4"/>
  </r>
  <r>
    <x v="639"/>
    <s v="Scarlett Rodriguez"/>
    <x v="22"/>
    <x v="2"/>
    <x v="1"/>
    <x v="1"/>
    <x v="1"/>
    <n v="64"/>
    <d v="2022-11-03T00:00:00"/>
    <x v="3"/>
    <x v="7"/>
    <x v="0"/>
    <n v="71864"/>
    <n v="0"/>
    <n v="0"/>
    <n v="71864"/>
    <x v="2"/>
    <s v="Manaus"/>
    <x v="0"/>
    <n v="2"/>
  </r>
  <r>
    <x v="640"/>
    <s v="Zoey Lu"/>
    <x v="11"/>
    <x v="5"/>
    <x v="0"/>
    <x v="1"/>
    <x v="0"/>
    <n v="45"/>
    <d v="2007-10-31T00:00:00"/>
    <x v="1"/>
    <x v="1"/>
    <x v="25"/>
    <n v="216269"/>
    <n v="0.37"/>
    <n v="80019.53"/>
    <n v="296289"/>
    <x v="0"/>
    <s v="Chicago"/>
    <x v="71"/>
    <n v="3"/>
  </r>
  <r>
    <x v="641"/>
    <s v="Mila Cheung"/>
    <x v="19"/>
    <x v="2"/>
    <x v="3"/>
    <x v="1"/>
    <x v="0"/>
    <n v="32"/>
    <d v="2021-12-17T00:00:00"/>
    <x v="4"/>
    <x v="10"/>
    <x v="13"/>
    <n v="73135"/>
    <n v="0"/>
    <n v="0"/>
    <n v="73135"/>
    <x v="0"/>
    <s v="Phoenix"/>
    <x v="0"/>
    <n v="3"/>
  </r>
  <r>
    <x v="642"/>
    <s v="Lucy Mai"/>
    <x v="4"/>
    <x v="0"/>
    <x v="1"/>
    <x v="1"/>
    <x v="0"/>
    <n v="56"/>
    <d v="2022-06-27T00:00:00"/>
    <x v="5"/>
    <x v="4"/>
    <x v="0"/>
    <n v="197579"/>
    <n v="0.18"/>
    <n v="35564.22"/>
    <n v="233143"/>
    <x v="0"/>
    <s v="Chicago"/>
    <x v="0"/>
    <n v="3"/>
  </r>
  <r>
    <x v="643"/>
    <s v="Benjamin Luu"/>
    <x v="9"/>
    <x v="2"/>
    <x v="1"/>
    <x v="0"/>
    <x v="0"/>
    <n v="46"/>
    <d v="2011-12-15T00:00:00"/>
    <x v="3"/>
    <x v="10"/>
    <x v="8"/>
    <n v="59733"/>
    <n v="0"/>
    <n v="0"/>
    <n v="59733"/>
    <x v="0"/>
    <s v="Austin"/>
    <x v="0"/>
    <n v="13"/>
  </r>
  <r>
    <x v="644"/>
    <s v="Mia Navarro"/>
    <x v="11"/>
    <x v="6"/>
    <x v="1"/>
    <x v="1"/>
    <x v="1"/>
    <n v="26"/>
    <d v="2020-05-22T00:00:00"/>
    <x v="4"/>
    <x v="9"/>
    <x v="17"/>
    <n v="187792"/>
    <n v="0.4"/>
    <n v="75116.800000000003"/>
    <n v="262909"/>
    <x v="0"/>
    <s v="Chicago"/>
    <x v="0"/>
    <n v="5"/>
  </r>
  <r>
    <x v="645"/>
    <s v="Maya Watson"/>
    <x v="8"/>
    <x v="6"/>
    <x v="3"/>
    <x v="1"/>
    <x v="2"/>
    <n v="59"/>
    <d v="2017-01-07T00:00:00"/>
    <x v="0"/>
    <x v="11"/>
    <x v="12"/>
    <n v="108612"/>
    <n v="0.06"/>
    <n v="6516.7199999999993"/>
    <n v="115129"/>
    <x v="0"/>
    <s v="Phoenix"/>
    <x v="0"/>
    <n v="8"/>
  </r>
  <r>
    <x v="646"/>
    <s v="Jack Adams"/>
    <x v="7"/>
    <x v="2"/>
    <x v="1"/>
    <x v="0"/>
    <x v="3"/>
    <n v="50"/>
    <d v="2018-07-18T00:00:00"/>
    <x v="1"/>
    <x v="8"/>
    <x v="3"/>
    <n v="80350"/>
    <n v="0"/>
    <n v="0"/>
    <n v="80350"/>
    <x v="0"/>
    <s v="Miami"/>
    <x v="0"/>
    <n v="7"/>
  </r>
  <r>
    <x v="647"/>
    <s v="Gabriella Jordan"/>
    <x v="16"/>
    <x v="0"/>
    <x v="2"/>
    <x v="1"/>
    <x v="2"/>
    <n v="32"/>
    <d v="2019-09-21T00:00:00"/>
    <x v="0"/>
    <x v="5"/>
    <x v="2"/>
    <n v="61243"/>
    <n v="0"/>
    <n v="0"/>
    <n v="61243"/>
    <x v="0"/>
    <s v="Miami"/>
    <x v="0"/>
    <n v="6"/>
  </r>
  <r>
    <x v="648"/>
    <s v="Jonathan Torres"/>
    <x v="1"/>
    <x v="4"/>
    <x v="0"/>
    <x v="0"/>
    <x v="1"/>
    <n v="56"/>
    <d v="2002-04-12T00:00:00"/>
    <x v="4"/>
    <x v="3"/>
    <x v="18"/>
    <n v="48896"/>
    <n v="0"/>
    <n v="0"/>
    <n v="48896"/>
    <x v="2"/>
    <s v="Manaus"/>
    <x v="72"/>
    <n v="14"/>
  </r>
  <r>
    <x v="649"/>
    <s v="Samuel Xu"/>
    <x v="31"/>
    <x v="0"/>
    <x v="2"/>
    <x v="0"/>
    <x v="0"/>
    <n v="32"/>
    <d v="2019-09-20T00:00:00"/>
    <x v="4"/>
    <x v="5"/>
    <x v="2"/>
    <n v="82887"/>
    <n v="0"/>
    <n v="0"/>
    <n v="82887"/>
    <x v="1"/>
    <s v="Chengdu"/>
    <x v="73"/>
    <n v="0"/>
  </r>
  <r>
    <x v="650"/>
    <s v="Ezekiel Lai"/>
    <x v="1"/>
    <x v="5"/>
    <x v="0"/>
    <x v="0"/>
    <x v="0"/>
    <n v="45"/>
    <d v="2005-11-26T00:00:00"/>
    <x v="0"/>
    <x v="7"/>
    <x v="4"/>
    <n v="54742"/>
    <n v="0"/>
    <n v="0"/>
    <n v="54742"/>
    <x v="1"/>
    <s v="Chengdu"/>
    <x v="0"/>
    <n v="19"/>
  </r>
  <r>
    <x v="651"/>
    <s v="Levi Rahman"/>
    <x v="10"/>
    <x v="5"/>
    <x v="1"/>
    <x v="0"/>
    <x v="0"/>
    <n v="43"/>
    <d v="2007-07-19T00:00:00"/>
    <x v="3"/>
    <x v="8"/>
    <x v="25"/>
    <n v="134544"/>
    <n v="0.13"/>
    <n v="17490.72"/>
    <n v="152035"/>
    <x v="0"/>
    <s v="Austin"/>
    <x v="0"/>
    <n v="18"/>
  </r>
  <r>
    <x v="652"/>
    <s v="Madison Phan"/>
    <x v="8"/>
    <x v="2"/>
    <x v="3"/>
    <x v="1"/>
    <x v="0"/>
    <n v="45"/>
    <d v="2003-05-10T00:00:00"/>
    <x v="0"/>
    <x v="9"/>
    <x v="10"/>
    <n v="128115"/>
    <n v="0.06"/>
    <n v="7686.9"/>
    <n v="135802"/>
    <x v="0"/>
    <s v="Austin"/>
    <x v="0"/>
    <n v="22"/>
  </r>
  <r>
    <x v="653"/>
    <s v="Andrew Pham"/>
    <x v="1"/>
    <x v="3"/>
    <x v="3"/>
    <x v="0"/>
    <x v="0"/>
    <n v="38"/>
    <d v="2013-06-29T00:00:00"/>
    <x v="0"/>
    <x v="4"/>
    <x v="1"/>
    <n v="54713"/>
    <n v="0"/>
    <n v="0"/>
    <n v="54713"/>
    <x v="0"/>
    <s v="Columbus"/>
    <x v="0"/>
    <n v="12"/>
  </r>
  <r>
    <x v="654"/>
    <s v="Clara Ford"/>
    <x v="6"/>
    <x v="1"/>
    <x v="2"/>
    <x v="1"/>
    <x v="2"/>
    <n v="46"/>
    <d v="2014-08-09T00:00:00"/>
    <x v="0"/>
    <x v="6"/>
    <x v="11"/>
    <n v="63987"/>
    <n v="0"/>
    <n v="0"/>
    <n v="63987"/>
    <x v="0"/>
    <s v="Seattle"/>
    <x v="0"/>
    <n v="11"/>
  </r>
  <r>
    <x v="655"/>
    <s v="Christopher Chau"/>
    <x v="3"/>
    <x v="2"/>
    <x v="2"/>
    <x v="0"/>
    <x v="0"/>
    <n v="26"/>
    <d v="2021-12-28T00:00:00"/>
    <x v="6"/>
    <x v="10"/>
    <x v="13"/>
    <n v="86288"/>
    <n v="0"/>
    <n v="0"/>
    <n v="86288"/>
    <x v="0"/>
    <s v="Columbus"/>
    <x v="0"/>
    <n v="3"/>
  </r>
  <r>
    <x v="656"/>
    <s v="Madeline Guerrero"/>
    <x v="31"/>
    <x v="0"/>
    <x v="1"/>
    <x v="1"/>
    <x v="1"/>
    <n v="27"/>
    <d v="2020-08-16T00:00:00"/>
    <x v="2"/>
    <x v="6"/>
    <x v="17"/>
    <n v="61693"/>
    <n v="0"/>
    <n v="0"/>
    <n v="61693"/>
    <x v="2"/>
    <s v="Sao Paulo"/>
    <x v="74"/>
    <n v="0"/>
  </r>
  <r>
    <x v="657"/>
    <s v="Harper Yee"/>
    <x v="7"/>
    <x v="2"/>
    <x v="0"/>
    <x v="1"/>
    <x v="0"/>
    <n v="48"/>
    <d v="2021-11-01T00:00:00"/>
    <x v="5"/>
    <x v="7"/>
    <x v="13"/>
    <n v="75624"/>
    <n v="0"/>
    <n v="0"/>
    <n v="75624"/>
    <x v="1"/>
    <s v="Chengdu"/>
    <x v="0"/>
    <n v="3"/>
  </r>
  <r>
    <x v="658"/>
    <s v="Mia Thomas"/>
    <x v="8"/>
    <x v="6"/>
    <x v="1"/>
    <x v="1"/>
    <x v="2"/>
    <n v="57"/>
    <d v="2013-05-17T00:00:00"/>
    <x v="4"/>
    <x v="9"/>
    <x v="1"/>
    <n v="122979"/>
    <n v="0.06"/>
    <n v="7378.74"/>
    <n v="130358"/>
    <x v="0"/>
    <s v="Phoenix"/>
    <x v="0"/>
    <n v="12"/>
  </r>
  <r>
    <x v="659"/>
    <s v="Owen Nelson"/>
    <x v="25"/>
    <x v="0"/>
    <x v="3"/>
    <x v="0"/>
    <x v="2"/>
    <n v="58"/>
    <d v="2003-01-06T00:00:00"/>
    <x v="5"/>
    <x v="11"/>
    <x v="10"/>
    <n v="91729"/>
    <n v="0.13"/>
    <n v="11924.77"/>
    <n v="103654"/>
    <x v="0"/>
    <s v="Chicago"/>
    <x v="0"/>
    <n v="22"/>
  </r>
  <r>
    <x v="660"/>
    <s v="Aiden Evans"/>
    <x v="8"/>
    <x v="4"/>
    <x v="1"/>
    <x v="0"/>
    <x v="2"/>
    <n v="48"/>
    <d v="2010-05-16T00:00:00"/>
    <x v="2"/>
    <x v="9"/>
    <x v="15"/>
    <n v="117736"/>
    <n v="0.05"/>
    <n v="5886.8"/>
    <n v="123623"/>
    <x v="0"/>
    <s v="Columbus"/>
    <x v="0"/>
    <n v="15"/>
  </r>
  <r>
    <x v="661"/>
    <s v="Josiah Lai"/>
    <x v="10"/>
    <x v="6"/>
    <x v="2"/>
    <x v="0"/>
    <x v="0"/>
    <n v="54"/>
    <d v="1995-03-21T00:00:00"/>
    <x v="6"/>
    <x v="2"/>
    <x v="28"/>
    <n v="154658"/>
    <n v="0.12"/>
    <n v="18558.96"/>
    <n v="173217"/>
    <x v="1"/>
    <s v="Chongqing"/>
    <x v="0"/>
    <n v="30"/>
  </r>
  <r>
    <x v="662"/>
    <s v="Jameson Yee"/>
    <x v="19"/>
    <x v="2"/>
    <x v="2"/>
    <x v="0"/>
    <x v="0"/>
    <n v="29"/>
    <d v="2020-08-03T00:00:00"/>
    <x v="5"/>
    <x v="6"/>
    <x v="17"/>
    <n v="84397"/>
    <n v="0"/>
    <n v="0"/>
    <n v="84397"/>
    <x v="0"/>
    <s v="Seattle"/>
    <x v="0"/>
    <n v="5"/>
  </r>
  <r>
    <x v="663"/>
    <s v="Serenity Her"/>
    <x v="4"/>
    <x v="3"/>
    <x v="3"/>
    <x v="1"/>
    <x v="0"/>
    <n v="50"/>
    <d v="1997-08-22T00:00:00"/>
    <x v="4"/>
    <x v="6"/>
    <x v="14"/>
    <n v="159285"/>
    <n v="0.15"/>
    <n v="23892.75"/>
    <n v="183178"/>
    <x v="0"/>
    <s v="Austin"/>
    <x v="0"/>
    <n v="28"/>
  </r>
  <r>
    <x v="664"/>
    <s v="Ariana Turner"/>
    <x v="6"/>
    <x v="3"/>
    <x v="2"/>
    <x v="1"/>
    <x v="2"/>
    <n v="49"/>
    <d v="2004-06-06T00:00:00"/>
    <x v="2"/>
    <x v="4"/>
    <x v="5"/>
    <n v="59854"/>
    <n v="0"/>
    <n v="0"/>
    <n v="59854"/>
    <x v="0"/>
    <s v="Miami"/>
    <x v="0"/>
    <n v="21"/>
  </r>
  <r>
    <x v="665"/>
    <s v="Jacob Cooper"/>
    <x v="22"/>
    <x v="2"/>
    <x v="2"/>
    <x v="0"/>
    <x v="2"/>
    <n v="64"/>
    <d v="2018-05-18T00:00:00"/>
    <x v="4"/>
    <x v="9"/>
    <x v="3"/>
    <n v="87521"/>
    <n v="0"/>
    <n v="0"/>
    <n v="87521"/>
    <x v="0"/>
    <s v="Seattle"/>
    <x v="75"/>
    <n v="3"/>
  </r>
  <r>
    <x v="666"/>
    <s v="Christopher Dominguez"/>
    <x v="4"/>
    <x v="5"/>
    <x v="2"/>
    <x v="0"/>
    <x v="1"/>
    <n v="36"/>
    <d v="2015-09-17T00:00:00"/>
    <x v="3"/>
    <x v="5"/>
    <x v="9"/>
    <n v="179166"/>
    <n v="0.17"/>
    <n v="30458.22"/>
    <n v="209624"/>
    <x v="2"/>
    <s v="Manaus"/>
    <x v="0"/>
    <n v="10"/>
  </r>
  <r>
    <x v="667"/>
    <s v="Nevaeh Lim"/>
    <x v="0"/>
    <x v="0"/>
    <x v="1"/>
    <x v="1"/>
    <x v="0"/>
    <n v="55"/>
    <d v="1999-03-29T00:00:00"/>
    <x v="5"/>
    <x v="2"/>
    <x v="7"/>
    <n v="120092"/>
    <n v="0"/>
    <n v="0"/>
    <n v="120092"/>
    <x v="1"/>
    <s v="Chongqing"/>
    <x v="0"/>
    <n v="26"/>
  </r>
  <r>
    <x v="668"/>
    <s v="Dominic Cheng"/>
    <x v="4"/>
    <x v="0"/>
    <x v="1"/>
    <x v="0"/>
    <x v="0"/>
    <n v="53"/>
    <d v="2015-06-19T00:00:00"/>
    <x v="4"/>
    <x v="4"/>
    <x v="9"/>
    <n v="168142"/>
    <n v="0.27"/>
    <n v="45398.340000000004"/>
    <n v="213540"/>
    <x v="1"/>
    <s v="Beijing"/>
    <x v="0"/>
    <n v="10"/>
  </r>
  <r>
    <x v="669"/>
    <s v="Serenity Rodriguez"/>
    <x v="4"/>
    <x v="4"/>
    <x v="1"/>
    <x v="1"/>
    <x v="1"/>
    <n v="54"/>
    <d v="1995-04-10T00:00:00"/>
    <x v="5"/>
    <x v="3"/>
    <x v="28"/>
    <n v="195662"/>
    <n v="0.15"/>
    <n v="29349.3"/>
    <n v="225011"/>
    <x v="0"/>
    <s v="Columbus"/>
    <x v="0"/>
    <n v="30"/>
  </r>
  <r>
    <x v="670"/>
    <s v="Caleb Thompson"/>
    <x v="9"/>
    <x v="2"/>
    <x v="0"/>
    <x v="0"/>
    <x v="2"/>
    <n v="41"/>
    <d v="2012-12-17T00:00:00"/>
    <x v="5"/>
    <x v="10"/>
    <x v="21"/>
    <n v="49986"/>
    <n v="0"/>
    <n v="0"/>
    <n v="49986"/>
    <x v="0"/>
    <s v="Miami"/>
    <x v="0"/>
    <n v="12"/>
  </r>
  <r>
    <x v="671"/>
    <s v="Luke Avila"/>
    <x v="11"/>
    <x v="3"/>
    <x v="1"/>
    <x v="0"/>
    <x v="1"/>
    <n v="27"/>
    <d v="2020-08-21T00:00:00"/>
    <x v="4"/>
    <x v="6"/>
    <x v="17"/>
    <n v="181587"/>
    <n v="0.38"/>
    <n v="69003.06"/>
    <n v="250590"/>
    <x v="2"/>
    <s v="Manaus"/>
    <x v="0"/>
    <n v="5"/>
  </r>
  <r>
    <x v="672"/>
    <s v="Sadie Chin"/>
    <x v="11"/>
    <x v="6"/>
    <x v="3"/>
    <x v="1"/>
    <x v="0"/>
    <n v="51"/>
    <d v="2000-07-26T00:00:00"/>
    <x v="1"/>
    <x v="8"/>
    <x v="27"/>
    <n v="199736"/>
    <n v="0.35"/>
    <n v="69907.599999999991"/>
    <n v="269644"/>
    <x v="0"/>
    <s v="Austin"/>
    <x v="0"/>
    <n v="25"/>
  </r>
  <r>
    <x v="673"/>
    <s v="Everett Le"/>
    <x v="11"/>
    <x v="3"/>
    <x v="1"/>
    <x v="0"/>
    <x v="0"/>
    <n v="45"/>
    <d v="2014-01-07T00:00:00"/>
    <x v="6"/>
    <x v="11"/>
    <x v="11"/>
    <n v="250639"/>
    <n v="0.34"/>
    <n v="85217.260000000009"/>
    <n v="335856"/>
    <x v="1"/>
    <s v="Shanghai"/>
    <x v="0"/>
    <n v="11"/>
  </r>
  <r>
    <x v="674"/>
    <s v="Carson Santos"/>
    <x v="29"/>
    <x v="1"/>
    <x v="1"/>
    <x v="0"/>
    <x v="1"/>
    <n v="34"/>
    <d v="2022-02-15T00:00:00"/>
    <x v="6"/>
    <x v="0"/>
    <x v="0"/>
    <n v="80655"/>
    <n v="0"/>
    <n v="0"/>
    <n v="80655"/>
    <x v="2"/>
    <s v="Sao Paulo"/>
    <x v="0"/>
    <n v="3"/>
  </r>
  <r>
    <x v="675"/>
    <s v="Natalie Ho"/>
    <x v="6"/>
    <x v="4"/>
    <x v="2"/>
    <x v="1"/>
    <x v="0"/>
    <n v="33"/>
    <d v="2020-11-22T00:00:00"/>
    <x v="2"/>
    <x v="7"/>
    <x v="17"/>
    <n v="64327"/>
    <n v="0"/>
    <n v="0"/>
    <n v="64327"/>
    <x v="1"/>
    <s v="Chongqing"/>
    <x v="0"/>
    <n v="4"/>
  </r>
  <r>
    <x v="676"/>
    <s v="Natalia Hall"/>
    <x v="6"/>
    <x v="3"/>
    <x v="2"/>
    <x v="1"/>
    <x v="2"/>
    <n v="37"/>
    <d v="2018-11-08T00:00:00"/>
    <x v="3"/>
    <x v="7"/>
    <x v="3"/>
    <n v="72005"/>
    <n v="0"/>
    <n v="0"/>
    <n v="72005"/>
    <x v="0"/>
    <s v="Austin"/>
    <x v="76"/>
    <n v="2"/>
  </r>
  <r>
    <x v="677"/>
    <s v="Zoey Ahmed"/>
    <x v="31"/>
    <x v="0"/>
    <x v="3"/>
    <x v="1"/>
    <x v="0"/>
    <n v="56"/>
    <d v="2012-04-25T00:00:00"/>
    <x v="1"/>
    <x v="3"/>
    <x v="21"/>
    <n v="62497"/>
    <n v="0"/>
    <n v="0"/>
    <n v="62497"/>
    <x v="0"/>
    <s v="Seattle"/>
    <x v="0"/>
    <n v="13"/>
  </r>
  <r>
    <x v="678"/>
    <s v="Santiago f Turner"/>
    <x v="29"/>
    <x v="1"/>
    <x v="2"/>
    <x v="0"/>
    <x v="2"/>
    <n v="46"/>
    <d v="2003-02-24T00:00:00"/>
    <x v="5"/>
    <x v="0"/>
    <x v="10"/>
    <n v="74912"/>
    <n v="0"/>
    <n v="0"/>
    <n v="74912"/>
    <x v="0"/>
    <s v="Phoenix"/>
    <x v="0"/>
    <n v="22"/>
  </r>
  <r>
    <x v="679"/>
    <s v="Jacob Alexander"/>
    <x v="15"/>
    <x v="6"/>
    <x v="3"/>
    <x v="0"/>
    <x v="2"/>
    <n v="45"/>
    <d v="2001-03-19T00:00:00"/>
    <x v="5"/>
    <x v="2"/>
    <x v="19"/>
    <n v="50393"/>
    <n v="0"/>
    <n v="0"/>
    <n v="50393"/>
    <x v="0"/>
    <s v="Miami"/>
    <x v="77"/>
    <n v="10"/>
  </r>
  <r>
    <x v="680"/>
    <s v="Christopher Aguilar"/>
    <x v="19"/>
    <x v="2"/>
    <x v="0"/>
    <x v="0"/>
    <x v="1"/>
    <n v="32"/>
    <d v="2021-05-14T00:00:00"/>
    <x v="4"/>
    <x v="9"/>
    <x v="13"/>
    <n v="79670"/>
    <n v="0"/>
    <n v="0"/>
    <n v="79670"/>
    <x v="0"/>
    <s v="Columbus"/>
    <x v="0"/>
    <n v="4"/>
  </r>
  <r>
    <x v="681"/>
    <s v="Vivian Jackson"/>
    <x v="10"/>
    <x v="3"/>
    <x v="1"/>
    <x v="1"/>
    <x v="3"/>
    <n v="51"/>
    <d v="1999-02-23T00:00:00"/>
    <x v="6"/>
    <x v="0"/>
    <x v="7"/>
    <n v="148942"/>
    <n v="0.13"/>
    <n v="19362.46"/>
    <n v="168304"/>
    <x v="0"/>
    <s v="Columbus"/>
    <x v="78"/>
    <n v="8"/>
  </r>
  <r>
    <x v="682"/>
    <s v="Leonardo Jenkins"/>
    <x v="12"/>
    <x v="2"/>
    <x v="2"/>
    <x v="0"/>
    <x v="2"/>
    <n v="29"/>
    <d v="2018-04-09T00:00:00"/>
    <x v="5"/>
    <x v="3"/>
    <x v="3"/>
    <n v="98504"/>
    <n v="0"/>
    <n v="0"/>
    <n v="98504"/>
    <x v="0"/>
    <s v="Miami"/>
    <x v="79"/>
    <n v="4"/>
  </r>
  <r>
    <x v="683"/>
    <s v="Oliver Hunter"/>
    <x v="12"/>
    <x v="2"/>
    <x v="0"/>
    <x v="0"/>
    <x v="2"/>
    <n v="38"/>
    <d v="2015-12-20T00:00:00"/>
    <x v="2"/>
    <x v="10"/>
    <x v="9"/>
    <n v="70588"/>
    <n v="0"/>
    <n v="0"/>
    <n v="70588"/>
    <x v="0"/>
    <s v="Miami"/>
    <x v="0"/>
    <n v="9"/>
  </r>
  <r>
    <x v="684"/>
    <s v="Ayla Brooks"/>
    <x v="1"/>
    <x v="3"/>
    <x v="1"/>
    <x v="1"/>
    <x v="2"/>
    <n v="58"/>
    <d v="2001-11-21T00:00:00"/>
    <x v="1"/>
    <x v="7"/>
    <x v="19"/>
    <n v="58336"/>
    <n v="0"/>
    <n v="0"/>
    <n v="58336"/>
    <x v="0"/>
    <s v="Miami"/>
    <x v="0"/>
    <n v="23"/>
  </r>
  <r>
    <x v="685"/>
    <s v="Willow Chau"/>
    <x v="30"/>
    <x v="0"/>
    <x v="1"/>
    <x v="1"/>
    <x v="0"/>
    <n v="45"/>
    <d v="2011-09-09T00:00:00"/>
    <x v="4"/>
    <x v="5"/>
    <x v="8"/>
    <n v="86001"/>
    <n v="0"/>
    <n v="0"/>
    <n v="86001"/>
    <x v="0"/>
    <s v="Austin"/>
    <x v="0"/>
    <n v="14"/>
  </r>
  <r>
    <x v="686"/>
    <s v="Kai Shin"/>
    <x v="5"/>
    <x v="1"/>
    <x v="3"/>
    <x v="0"/>
    <x v="0"/>
    <n v="49"/>
    <d v="2015-09-13T00:00:00"/>
    <x v="2"/>
    <x v="5"/>
    <x v="9"/>
    <n v="91121"/>
    <n v="0"/>
    <n v="0"/>
    <n v="91121"/>
    <x v="0"/>
    <s v="Seattle"/>
    <x v="80"/>
    <n v="4"/>
  </r>
  <r>
    <x v="687"/>
    <s v="Liliana Zhao"/>
    <x v="4"/>
    <x v="6"/>
    <x v="1"/>
    <x v="1"/>
    <x v="0"/>
    <n v="50"/>
    <d v="2011-08-30T00:00:00"/>
    <x v="6"/>
    <x v="6"/>
    <x v="8"/>
    <n v="183308"/>
    <n v="0.24"/>
    <n v="43993.919999999998"/>
    <n v="227302"/>
    <x v="0"/>
    <s v="Miami"/>
    <x v="0"/>
    <n v="14"/>
  </r>
  <r>
    <x v="688"/>
    <s v="Aiden Carter"/>
    <x v="28"/>
    <x v="2"/>
    <x v="0"/>
    <x v="0"/>
    <x v="2"/>
    <n v="32"/>
    <d v="2021-03-05T00:00:00"/>
    <x v="4"/>
    <x v="2"/>
    <x v="13"/>
    <n v="71674"/>
    <n v="0"/>
    <n v="0"/>
    <n v="71674"/>
    <x v="0"/>
    <s v="Chicago"/>
    <x v="81"/>
    <n v="0"/>
  </r>
  <r>
    <x v="689"/>
    <s v="Christopher Song"/>
    <x v="21"/>
    <x v="0"/>
    <x v="0"/>
    <x v="0"/>
    <x v="0"/>
    <n v="29"/>
    <d v="2017-01-03T00:00:00"/>
    <x v="6"/>
    <x v="11"/>
    <x v="12"/>
    <n v="118639"/>
    <n v="0"/>
    <n v="0"/>
    <n v="118639"/>
    <x v="0"/>
    <s v="Phoenix"/>
    <x v="0"/>
    <n v="8"/>
  </r>
  <r>
    <x v="690"/>
    <s v="Charles Luu"/>
    <x v="19"/>
    <x v="2"/>
    <x v="1"/>
    <x v="0"/>
    <x v="0"/>
    <n v="34"/>
    <d v="2018-11-10T00:00:00"/>
    <x v="0"/>
    <x v="7"/>
    <x v="3"/>
    <n v="71808"/>
    <n v="0"/>
    <n v="0"/>
    <n v="71808"/>
    <x v="1"/>
    <s v="Chengdu"/>
    <x v="0"/>
    <n v="6"/>
  </r>
  <r>
    <x v="691"/>
    <s v="Kayden Dinh"/>
    <x v="10"/>
    <x v="6"/>
    <x v="0"/>
    <x v="0"/>
    <x v="0"/>
    <n v="50"/>
    <d v="2019-05-26T00:00:00"/>
    <x v="2"/>
    <x v="9"/>
    <x v="2"/>
    <n v="156374"/>
    <n v="0.15"/>
    <n v="23456.1"/>
    <n v="179830"/>
    <x v="1"/>
    <s v="Beijing"/>
    <x v="0"/>
    <n v="6"/>
  </r>
  <r>
    <x v="692"/>
    <s v="Valentina Zhang"/>
    <x v="9"/>
    <x v="2"/>
    <x v="0"/>
    <x v="1"/>
    <x v="0"/>
    <n v="27"/>
    <d v="2021-03-10T00:00:00"/>
    <x v="1"/>
    <x v="2"/>
    <x v="13"/>
    <n v="51133"/>
    <n v="0"/>
    <n v="0"/>
    <n v="51133"/>
    <x v="0"/>
    <s v="Chicago"/>
    <x v="0"/>
    <n v="4"/>
  </r>
  <r>
    <x v="693"/>
    <s v="Alexander Perez"/>
    <x v="31"/>
    <x v="0"/>
    <x v="3"/>
    <x v="0"/>
    <x v="1"/>
    <n v="60"/>
    <d v="2008-06-25T00:00:00"/>
    <x v="1"/>
    <x v="4"/>
    <x v="24"/>
    <n v="86761"/>
    <n v="0"/>
    <n v="0"/>
    <n v="86761"/>
    <x v="2"/>
    <s v="Rio de Janeiro"/>
    <x v="0"/>
    <n v="17"/>
  </r>
  <r>
    <x v="694"/>
    <s v="Everleigh Kumar"/>
    <x v="8"/>
    <x v="2"/>
    <x v="0"/>
    <x v="1"/>
    <x v="0"/>
    <n v="65"/>
    <d v="1994-07-05T00:00:00"/>
    <x v="6"/>
    <x v="8"/>
    <x v="29"/>
    <n v="125213"/>
    <n v="7.0000000000000007E-2"/>
    <n v="8764.9100000000017"/>
    <n v="133978"/>
    <x v="0"/>
    <s v="Seattle"/>
    <x v="0"/>
    <n v="31"/>
  </r>
  <r>
    <x v="695"/>
    <s v="Santiago f Xiong"/>
    <x v="8"/>
    <x v="1"/>
    <x v="0"/>
    <x v="0"/>
    <x v="0"/>
    <n v="43"/>
    <d v="2008-09-26T00:00:00"/>
    <x v="4"/>
    <x v="5"/>
    <x v="24"/>
    <n v="120305"/>
    <n v="7.0000000000000007E-2"/>
    <n v="8421.35"/>
    <n v="128726"/>
    <x v="1"/>
    <s v="Shanghai"/>
    <x v="0"/>
    <n v="17"/>
  </r>
  <r>
    <x v="696"/>
    <s v="Elizabeth Powell"/>
    <x v="10"/>
    <x v="5"/>
    <x v="2"/>
    <x v="1"/>
    <x v="2"/>
    <n v="45"/>
    <d v="2013-09-17T00:00:00"/>
    <x v="6"/>
    <x v="5"/>
    <x v="1"/>
    <n v="138355"/>
    <n v="0.14000000000000001"/>
    <n v="19369.7"/>
    <n v="157725"/>
    <x v="0"/>
    <s v="Columbus"/>
    <x v="0"/>
    <n v="12"/>
  </r>
  <r>
    <x v="697"/>
    <s v="Lucas Yang"/>
    <x v="27"/>
    <x v="2"/>
    <x v="1"/>
    <x v="0"/>
    <x v="0"/>
    <n v="28"/>
    <d v="2021-07-04T00:00:00"/>
    <x v="2"/>
    <x v="8"/>
    <x v="13"/>
    <n v="70996"/>
    <n v="0"/>
    <n v="0"/>
    <n v="70996"/>
    <x v="0"/>
    <s v="Austin"/>
    <x v="0"/>
    <n v="4"/>
  </r>
  <r>
    <x v="698"/>
    <s v="John Richardson"/>
    <x v="20"/>
    <x v="2"/>
    <x v="0"/>
    <x v="0"/>
    <x v="2"/>
    <n v="34"/>
    <d v="2014-12-29T00:00:00"/>
    <x v="5"/>
    <x v="10"/>
    <x v="11"/>
    <n v="77024"/>
    <n v="0.09"/>
    <n v="6932.16"/>
    <n v="83956"/>
    <x v="0"/>
    <s v="Phoenix"/>
    <x v="82"/>
    <n v="6"/>
  </r>
  <r>
    <x v="699"/>
    <s v="Miles Ross"/>
    <x v="17"/>
    <x v="2"/>
    <x v="3"/>
    <x v="0"/>
    <x v="3"/>
    <n v="31"/>
    <d v="2017-04-18T00:00:00"/>
    <x v="6"/>
    <x v="3"/>
    <x v="12"/>
    <n v="50022"/>
    <n v="0"/>
    <n v="0"/>
    <n v="50022"/>
    <x v="0"/>
    <s v="Miami"/>
    <x v="0"/>
    <n v="8"/>
  </r>
  <r>
    <x v="700"/>
    <s v="Jonathan Santos"/>
    <x v="11"/>
    <x v="1"/>
    <x v="3"/>
    <x v="0"/>
    <x v="1"/>
    <n v="29"/>
    <d v="2017-01-06T00:00:00"/>
    <x v="4"/>
    <x v="11"/>
    <x v="12"/>
    <n v="204534"/>
    <n v="0.38"/>
    <n v="77722.92"/>
    <n v="282257"/>
    <x v="0"/>
    <s v="Chicago"/>
    <x v="0"/>
    <n v="8"/>
  </r>
  <r>
    <x v="701"/>
    <s v="Joshua Maldonado"/>
    <x v="29"/>
    <x v="1"/>
    <x v="2"/>
    <x v="0"/>
    <x v="1"/>
    <n v="49"/>
    <d v="2005-12-22T00:00:00"/>
    <x v="3"/>
    <x v="10"/>
    <x v="4"/>
    <n v="75814"/>
    <n v="0"/>
    <n v="0"/>
    <n v="75814"/>
    <x v="0"/>
    <s v="Chicago"/>
    <x v="0"/>
    <n v="19"/>
  </r>
  <r>
    <x v="702"/>
    <s v="Santiago f Vo"/>
    <x v="4"/>
    <x v="1"/>
    <x v="0"/>
    <x v="0"/>
    <x v="0"/>
    <n v="47"/>
    <d v="2019-07-15T00:00:00"/>
    <x v="5"/>
    <x v="8"/>
    <x v="2"/>
    <n v="169487"/>
    <n v="0.23"/>
    <n v="38982.01"/>
    <n v="208469"/>
    <x v="0"/>
    <s v="Columbus"/>
    <x v="0"/>
    <n v="6"/>
  </r>
  <r>
    <x v="703"/>
    <s v="Leilani Martin"/>
    <x v="10"/>
    <x v="2"/>
    <x v="1"/>
    <x v="1"/>
    <x v="2"/>
    <n v="56"/>
    <d v="2002-05-06T00:00:00"/>
    <x v="5"/>
    <x v="9"/>
    <x v="18"/>
    <n v="156435"/>
    <n v="0.1"/>
    <n v="15643.5"/>
    <n v="172079"/>
    <x v="0"/>
    <s v="Chicago"/>
    <x v="0"/>
    <n v="23"/>
  </r>
  <r>
    <x v="704"/>
    <s v="Luca Xiong"/>
    <x v="14"/>
    <x v="1"/>
    <x v="3"/>
    <x v="0"/>
    <x v="0"/>
    <n v="52"/>
    <d v="2006-12-20T00:00:00"/>
    <x v="1"/>
    <x v="10"/>
    <x v="16"/>
    <n v="59845"/>
    <n v="0"/>
    <n v="0"/>
    <n v="59845"/>
    <x v="1"/>
    <s v="Beijing"/>
    <x v="0"/>
    <n v="18"/>
  </r>
  <r>
    <x v="705"/>
    <s v="Valentina Campos"/>
    <x v="7"/>
    <x v="2"/>
    <x v="0"/>
    <x v="1"/>
    <x v="1"/>
    <n v="37"/>
    <d v="2020-03-06T00:00:00"/>
    <x v="4"/>
    <x v="2"/>
    <x v="17"/>
    <n v="93656"/>
    <n v="0"/>
    <n v="0"/>
    <n v="93656"/>
    <x v="0"/>
    <s v="Columbus"/>
    <x v="0"/>
    <n v="5"/>
  </r>
  <r>
    <x v="706"/>
    <s v="Grayson Jenkins"/>
    <x v="16"/>
    <x v="0"/>
    <x v="0"/>
    <x v="0"/>
    <x v="2"/>
    <n v="55"/>
    <d v="1998-03-06T00:00:00"/>
    <x v="4"/>
    <x v="2"/>
    <x v="22"/>
    <n v="99035"/>
    <n v="0"/>
    <n v="0"/>
    <n v="99035"/>
    <x v="0"/>
    <s v="Miami"/>
    <x v="0"/>
    <n v="27"/>
  </r>
  <r>
    <x v="707"/>
    <s v="Jeremiah Ross"/>
    <x v="10"/>
    <x v="5"/>
    <x v="1"/>
    <x v="0"/>
    <x v="2"/>
    <n v="27"/>
    <d v="2021-06-17T00:00:00"/>
    <x v="3"/>
    <x v="4"/>
    <x v="13"/>
    <n v="137997"/>
    <n v="0.12"/>
    <n v="16559.64"/>
    <n v="154557"/>
    <x v="0"/>
    <s v="Phoenix"/>
    <x v="0"/>
    <n v="4"/>
  </r>
  <r>
    <x v="708"/>
    <s v="Natalie Zheng"/>
    <x v="27"/>
    <x v="2"/>
    <x v="0"/>
    <x v="1"/>
    <x v="0"/>
    <n v="28"/>
    <d v="2019-06-21T00:00:00"/>
    <x v="4"/>
    <x v="4"/>
    <x v="2"/>
    <n v="61573"/>
    <n v="0"/>
    <n v="0"/>
    <n v="61573"/>
    <x v="0"/>
    <s v="Chicago"/>
    <x v="0"/>
    <n v="6"/>
  </r>
  <r>
    <x v="709"/>
    <s v="Jace Mehta"/>
    <x v="1"/>
    <x v="1"/>
    <x v="0"/>
    <x v="0"/>
    <x v="0"/>
    <n v="55"/>
    <d v="2015-05-06T00:00:00"/>
    <x v="1"/>
    <x v="9"/>
    <x v="9"/>
    <n v="41102"/>
    <n v="0"/>
    <n v="0"/>
    <n v="41102"/>
    <x v="0"/>
    <s v="Seattle"/>
    <x v="0"/>
    <n v="10"/>
  </r>
  <r>
    <x v="710"/>
    <s v="Hannah Doan"/>
    <x v="8"/>
    <x v="6"/>
    <x v="2"/>
    <x v="1"/>
    <x v="0"/>
    <n v="44"/>
    <d v="2011-09-16T00:00:00"/>
    <x v="4"/>
    <x v="5"/>
    <x v="8"/>
    <n v="129866"/>
    <n v="0.06"/>
    <n v="7791.96"/>
    <n v="137658"/>
    <x v="1"/>
    <s v="Beijing"/>
    <x v="0"/>
    <n v="14"/>
  </r>
  <r>
    <x v="711"/>
    <s v="Caroline Robinson"/>
    <x v="4"/>
    <x v="6"/>
    <x v="3"/>
    <x v="1"/>
    <x v="2"/>
    <n v="28"/>
    <d v="2020-01-22T00:00:00"/>
    <x v="1"/>
    <x v="11"/>
    <x v="17"/>
    <n v="161868"/>
    <n v="0.21"/>
    <n v="33992.28"/>
    <n v="195860"/>
    <x v="0"/>
    <s v="Austin"/>
    <x v="0"/>
    <n v="5"/>
  </r>
  <r>
    <x v="712"/>
    <s v="Naomi Ma"/>
    <x v="26"/>
    <x v="0"/>
    <x v="1"/>
    <x v="1"/>
    <x v="0"/>
    <n v="55"/>
    <d v="1995-05-16T00:00:00"/>
    <x v="6"/>
    <x v="9"/>
    <x v="28"/>
    <n v="67131"/>
    <n v="0"/>
    <n v="0"/>
    <n v="67131"/>
    <x v="0"/>
    <s v="Austin"/>
    <x v="0"/>
    <n v="30"/>
  </r>
  <r>
    <x v="713"/>
    <s v="Adam Davis"/>
    <x v="31"/>
    <x v="0"/>
    <x v="2"/>
    <x v="0"/>
    <x v="3"/>
    <n v="44"/>
    <d v="2019-10-15T00:00:00"/>
    <x v="6"/>
    <x v="1"/>
    <x v="2"/>
    <n v="71345"/>
    <n v="0"/>
    <n v="0"/>
    <n v="71345"/>
    <x v="0"/>
    <s v="Miami"/>
    <x v="0"/>
    <n v="5"/>
  </r>
  <r>
    <x v="714"/>
    <s v="Ellie Ho"/>
    <x v="11"/>
    <x v="1"/>
    <x v="1"/>
    <x v="1"/>
    <x v="0"/>
    <n v="30"/>
    <d v="2019-10-09T00:00:00"/>
    <x v="1"/>
    <x v="1"/>
    <x v="2"/>
    <n v="246757"/>
    <n v="0.4"/>
    <n v="98702.8"/>
    <n v="345460"/>
    <x v="0"/>
    <s v="Miami"/>
    <x v="0"/>
    <n v="5"/>
  </r>
  <r>
    <x v="715"/>
    <s v="Mila Liang"/>
    <x v="8"/>
    <x v="5"/>
    <x v="2"/>
    <x v="1"/>
    <x v="0"/>
    <n v="63"/>
    <d v="2005-03-28T00:00:00"/>
    <x v="5"/>
    <x v="2"/>
    <x v="4"/>
    <n v="106880"/>
    <n v="0.08"/>
    <n v="8550.4"/>
    <n v="115430"/>
    <x v="0"/>
    <s v="Austin"/>
    <x v="0"/>
    <n v="20"/>
  </r>
  <r>
    <x v="716"/>
    <s v="Nova Doan"/>
    <x v="3"/>
    <x v="2"/>
    <x v="0"/>
    <x v="1"/>
    <x v="0"/>
    <n v="36"/>
    <d v="2018-08-28T00:00:00"/>
    <x v="6"/>
    <x v="6"/>
    <x v="3"/>
    <n v="98733"/>
    <n v="0"/>
    <n v="0"/>
    <n v="98733"/>
    <x v="1"/>
    <s v="Beijing"/>
    <x v="0"/>
    <n v="7"/>
  </r>
  <r>
    <x v="717"/>
    <s v="Colton Mejia"/>
    <x v="10"/>
    <x v="3"/>
    <x v="2"/>
    <x v="0"/>
    <x v="1"/>
    <n v="28"/>
    <d v="2019-04-26T00:00:00"/>
    <x v="4"/>
    <x v="3"/>
    <x v="2"/>
    <n v="141675"/>
    <n v="0.12"/>
    <n v="17001"/>
    <n v="158676"/>
    <x v="2"/>
    <s v="Rio de Janeiro"/>
    <x v="83"/>
    <n v="1"/>
  </r>
  <r>
    <x v="718"/>
    <s v="Joseph Kim"/>
    <x v="6"/>
    <x v="3"/>
    <x v="2"/>
    <x v="0"/>
    <x v="0"/>
    <n v="28"/>
    <d v="2018-06-23T00:00:00"/>
    <x v="0"/>
    <x v="4"/>
    <x v="3"/>
    <n v="53210"/>
    <n v="0"/>
    <n v="0"/>
    <n v="53210"/>
    <x v="0"/>
    <s v="Seattle"/>
    <x v="0"/>
    <n v="7"/>
  </r>
  <r>
    <x v="719"/>
    <s v="Audrey Campos"/>
    <x v="8"/>
    <x v="4"/>
    <x v="3"/>
    <x v="1"/>
    <x v="1"/>
    <n v="27"/>
    <d v="2021-09-02T00:00:00"/>
    <x v="3"/>
    <x v="5"/>
    <x v="13"/>
    <n v="107114"/>
    <n v="0.1"/>
    <n v="10711.400000000001"/>
    <n v="117825"/>
    <x v="2"/>
    <s v="Rio de Janeiro"/>
    <x v="0"/>
    <n v="4"/>
  </r>
  <r>
    <x v="720"/>
    <s v="Vivian Brooks"/>
    <x v="15"/>
    <x v="6"/>
    <x v="3"/>
    <x v="1"/>
    <x v="3"/>
    <n v="34"/>
    <d v="2022-09-12T00:00:00"/>
    <x v="5"/>
    <x v="5"/>
    <x v="0"/>
    <n v="57483"/>
    <n v="0"/>
    <n v="0"/>
    <n v="57483"/>
    <x v="0"/>
    <s v="Seattle"/>
    <x v="84"/>
    <n v="0"/>
  </r>
  <r>
    <x v="721"/>
    <s v="Mateo Vargas"/>
    <x v="28"/>
    <x v="2"/>
    <x v="3"/>
    <x v="0"/>
    <x v="1"/>
    <n v="53"/>
    <d v="1994-04-20T00:00:00"/>
    <x v="1"/>
    <x v="3"/>
    <x v="29"/>
    <n v="75226"/>
    <n v="0"/>
    <n v="0"/>
    <n v="75226"/>
    <x v="2"/>
    <s v="Rio de Janeiro"/>
    <x v="0"/>
    <n v="31"/>
  </r>
  <r>
    <x v="722"/>
    <s v="David Foster"/>
    <x v="0"/>
    <x v="0"/>
    <x v="1"/>
    <x v="0"/>
    <x v="2"/>
    <n v="50"/>
    <d v="2012-01-15T00:00:00"/>
    <x v="2"/>
    <x v="11"/>
    <x v="21"/>
    <n v="87727"/>
    <n v="0"/>
    <n v="0"/>
    <n v="87727"/>
    <x v="0"/>
    <s v="Miami"/>
    <x v="0"/>
    <n v="13"/>
  </r>
  <r>
    <x v="723"/>
    <s v="Isaiah Ramos"/>
    <x v="22"/>
    <x v="2"/>
    <x v="0"/>
    <x v="0"/>
    <x v="1"/>
    <n v="51"/>
    <d v="2018-06-21T00:00:00"/>
    <x v="3"/>
    <x v="4"/>
    <x v="3"/>
    <n v="87897"/>
    <n v="0"/>
    <n v="0"/>
    <n v="87897"/>
    <x v="0"/>
    <s v="Phoenix"/>
    <x v="0"/>
    <n v="7"/>
  </r>
  <r>
    <x v="724"/>
    <s v="Samantha Do"/>
    <x v="3"/>
    <x v="2"/>
    <x v="2"/>
    <x v="1"/>
    <x v="0"/>
    <n v="27"/>
    <d v="2021-11-19T00:00:00"/>
    <x v="4"/>
    <x v="7"/>
    <x v="13"/>
    <n v="99612"/>
    <n v="0"/>
    <n v="0"/>
    <n v="99612"/>
    <x v="1"/>
    <s v="Shanghai"/>
    <x v="0"/>
    <n v="3"/>
  </r>
  <r>
    <x v="725"/>
    <s v="Emery Fernandez"/>
    <x v="1"/>
    <x v="3"/>
    <x v="2"/>
    <x v="1"/>
    <x v="1"/>
    <n v="33"/>
    <d v="2019-03-27T00:00:00"/>
    <x v="1"/>
    <x v="2"/>
    <x v="2"/>
    <n v="56938"/>
    <n v="0"/>
    <n v="0"/>
    <n v="56938"/>
    <x v="2"/>
    <s v="Sao Paulo"/>
    <x v="0"/>
    <n v="6"/>
  </r>
  <r>
    <x v="726"/>
    <s v="Santiago f Brooks"/>
    <x v="23"/>
    <x v="6"/>
    <x v="1"/>
    <x v="0"/>
    <x v="2"/>
    <n v="46"/>
    <d v="2012-01-20T00:00:00"/>
    <x v="4"/>
    <x v="11"/>
    <x v="21"/>
    <n v="92247"/>
    <n v="0"/>
    <n v="0"/>
    <n v="92247"/>
    <x v="0"/>
    <s v="Miami"/>
    <x v="0"/>
    <n v="13"/>
  </r>
  <r>
    <x v="727"/>
    <s v="Aubrey Lin"/>
    <x v="11"/>
    <x v="6"/>
    <x v="1"/>
    <x v="1"/>
    <x v="0"/>
    <n v="51"/>
    <d v="2005-10-17T00:00:00"/>
    <x v="5"/>
    <x v="1"/>
    <x v="4"/>
    <n v="193672"/>
    <n v="0.36"/>
    <n v="69721.919999999998"/>
    <n v="263394"/>
    <x v="0"/>
    <s v="Columbus"/>
    <x v="0"/>
    <n v="19"/>
  </r>
  <r>
    <x v="728"/>
    <s v="Jace Hsu"/>
    <x v="9"/>
    <x v="2"/>
    <x v="0"/>
    <x v="0"/>
    <x v="0"/>
    <n v="31"/>
    <d v="2018-10-06T00:00:00"/>
    <x v="0"/>
    <x v="1"/>
    <x v="3"/>
    <n v="46098"/>
    <n v="0"/>
    <n v="0"/>
    <n v="46098"/>
    <x v="1"/>
    <s v="Shanghai"/>
    <x v="0"/>
    <n v="7"/>
  </r>
  <r>
    <x v="729"/>
    <s v="Nicholas Sanders"/>
    <x v="11"/>
    <x v="1"/>
    <x v="0"/>
    <x v="0"/>
    <x v="2"/>
    <n v="45"/>
    <d v="2014-11-23T00:00:00"/>
    <x v="2"/>
    <x v="7"/>
    <x v="11"/>
    <n v="239980"/>
    <n v="0.31"/>
    <n v="74393.8"/>
    <n v="314374"/>
    <x v="0"/>
    <s v="Austin"/>
    <x v="0"/>
    <n v="10"/>
  </r>
  <r>
    <x v="730"/>
    <s v="Joshua Sun"/>
    <x v="8"/>
    <x v="4"/>
    <x v="1"/>
    <x v="0"/>
    <x v="0"/>
    <n v="38"/>
    <d v="2011-07-13T00:00:00"/>
    <x v="1"/>
    <x v="8"/>
    <x v="8"/>
    <n v="121546"/>
    <n v="0.1"/>
    <n v="12154.6"/>
    <n v="133701"/>
    <x v="1"/>
    <s v="Shanghai"/>
    <x v="0"/>
    <n v="14"/>
  </r>
  <r>
    <x v="731"/>
    <s v="Riley Ayala"/>
    <x v="8"/>
    <x v="3"/>
    <x v="3"/>
    <x v="1"/>
    <x v="1"/>
    <n v="42"/>
    <d v="2010-02-20T00:00:00"/>
    <x v="0"/>
    <x v="0"/>
    <x v="15"/>
    <n v="128714"/>
    <n v="7.0000000000000007E-2"/>
    <n v="9009.9800000000014"/>
    <n v="137724"/>
    <x v="2"/>
    <s v="Sao Paulo"/>
    <x v="0"/>
    <n v="15"/>
  </r>
  <r>
    <x v="732"/>
    <s v="Isaac Santos"/>
    <x v="30"/>
    <x v="0"/>
    <x v="0"/>
    <x v="0"/>
    <x v="1"/>
    <n v="43"/>
    <d v="2018-09-13T00:00:00"/>
    <x v="3"/>
    <x v="5"/>
    <x v="3"/>
    <n v="91537"/>
    <n v="0"/>
    <n v="0"/>
    <n v="91537"/>
    <x v="0"/>
    <s v="Chicago"/>
    <x v="0"/>
    <n v="7"/>
  </r>
  <r>
    <x v="733"/>
    <s v="Logan Brooks"/>
    <x v="4"/>
    <x v="2"/>
    <x v="1"/>
    <x v="0"/>
    <x v="2"/>
    <n v="28"/>
    <d v="2020-05-07T00:00:00"/>
    <x v="3"/>
    <x v="9"/>
    <x v="17"/>
    <n v="178300"/>
    <n v="0.24"/>
    <n v="42792"/>
    <n v="221092"/>
    <x v="0"/>
    <s v="Austin"/>
    <x v="85"/>
    <n v="2"/>
  </r>
  <r>
    <x v="734"/>
    <s v="Leilani Hu"/>
    <x v="6"/>
    <x v="4"/>
    <x v="2"/>
    <x v="1"/>
    <x v="0"/>
    <n v="57"/>
    <d v="2018-05-21T00:00:00"/>
    <x v="5"/>
    <x v="9"/>
    <x v="3"/>
    <n v="50260"/>
    <n v="0"/>
    <n v="0"/>
    <n v="50260"/>
    <x v="1"/>
    <s v="Chengdu"/>
    <x v="0"/>
    <n v="7"/>
  </r>
  <r>
    <x v="735"/>
    <s v="Jace Cho"/>
    <x v="4"/>
    <x v="0"/>
    <x v="2"/>
    <x v="0"/>
    <x v="0"/>
    <n v="33"/>
    <d v="2016-08-06T00:00:00"/>
    <x v="0"/>
    <x v="6"/>
    <x v="20"/>
    <n v="161800"/>
    <n v="0.19"/>
    <n v="30742"/>
    <n v="192542"/>
    <x v="1"/>
    <s v="Chongqing"/>
    <x v="0"/>
    <n v="9"/>
  </r>
  <r>
    <x v="736"/>
    <s v="Jaxson Fong"/>
    <x v="10"/>
    <x v="4"/>
    <x v="1"/>
    <x v="0"/>
    <x v="0"/>
    <n v="32"/>
    <d v="2020-10-09T00:00:00"/>
    <x v="4"/>
    <x v="1"/>
    <x v="17"/>
    <n v="157616"/>
    <n v="0.1"/>
    <n v="15761.6"/>
    <n v="173378"/>
    <x v="1"/>
    <s v="Shanghai"/>
    <x v="0"/>
    <n v="4"/>
  </r>
  <r>
    <x v="737"/>
    <s v="Wyatt Ly"/>
    <x v="31"/>
    <x v="0"/>
    <x v="1"/>
    <x v="0"/>
    <x v="0"/>
    <n v="45"/>
    <d v="2008-12-19T00:00:00"/>
    <x v="4"/>
    <x v="10"/>
    <x v="24"/>
    <n v="82697"/>
    <n v="0"/>
    <n v="0"/>
    <n v="82697"/>
    <x v="1"/>
    <s v="Beijing"/>
    <x v="0"/>
    <n v="16"/>
  </r>
  <r>
    <x v="738"/>
    <s v="Mia Huang"/>
    <x v="10"/>
    <x v="2"/>
    <x v="1"/>
    <x v="1"/>
    <x v="0"/>
    <n v="33"/>
    <d v="2018-09-21T00:00:00"/>
    <x v="4"/>
    <x v="5"/>
    <x v="3"/>
    <n v="124404"/>
    <n v="0.12"/>
    <n v="14928.48"/>
    <n v="139332"/>
    <x v="1"/>
    <s v="Chongqing"/>
    <x v="0"/>
    <n v="7"/>
  </r>
  <r>
    <x v="739"/>
    <s v="Levi Her"/>
    <x v="10"/>
    <x v="2"/>
    <x v="3"/>
    <x v="0"/>
    <x v="0"/>
    <n v="43"/>
    <d v="2012-03-30T00:00:00"/>
    <x v="4"/>
    <x v="2"/>
    <x v="21"/>
    <n v="158750"/>
    <n v="0.12"/>
    <n v="19050"/>
    <n v="177800"/>
    <x v="1"/>
    <s v="Chongqing"/>
    <x v="0"/>
    <n v="13"/>
  </r>
  <r>
    <x v="740"/>
    <s v="Everleigh Phillips"/>
    <x v="6"/>
    <x v="1"/>
    <x v="0"/>
    <x v="1"/>
    <x v="2"/>
    <n v="62"/>
    <d v="2015-11-08T00:00:00"/>
    <x v="2"/>
    <x v="7"/>
    <x v="9"/>
    <n v="69057"/>
    <n v="0"/>
    <n v="0"/>
    <n v="69057"/>
    <x v="0"/>
    <s v="Chicago"/>
    <x v="0"/>
    <n v="9"/>
  </r>
  <r>
    <x v="741"/>
    <s v="Natalie Acosta"/>
    <x v="10"/>
    <x v="5"/>
    <x v="3"/>
    <x v="1"/>
    <x v="1"/>
    <n v="36"/>
    <d v="2019-01-08T00:00:00"/>
    <x v="6"/>
    <x v="11"/>
    <x v="2"/>
    <n v="157976"/>
    <n v="0.1"/>
    <n v="15797.6"/>
    <n v="173774"/>
    <x v="2"/>
    <s v="Rio de Janeiro"/>
    <x v="0"/>
    <n v="6"/>
  </r>
  <r>
    <x v="742"/>
    <s v="Hadley Chavez"/>
    <x v="1"/>
    <x v="1"/>
    <x v="1"/>
    <x v="1"/>
    <x v="1"/>
    <n v="36"/>
    <d v="2020-06-28T00:00:00"/>
    <x v="2"/>
    <x v="4"/>
    <x v="17"/>
    <n v="54355"/>
    <n v="0"/>
    <n v="0"/>
    <n v="54355"/>
    <x v="0"/>
    <s v="Phoenix"/>
    <x v="0"/>
    <n v="5"/>
  </r>
  <r>
    <x v="743"/>
    <s v="Hailey Liu"/>
    <x v="26"/>
    <x v="0"/>
    <x v="0"/>
    <x v="1"/>
    <x v="0"/>
    <n v="31"/>
    <d v="2022-07-09T00:00:00"/>
    <x v="0"/>
    <x v="8"/>
    <x v="0"/>
    <n v="72475"/>
    <n v="0"/>
    <n v="0"/>
    <n v="72475"/>
    <x v="0"/>
    <s v="Phoenix"/>
    <x v="0"/>
    <n v="3"/>
  </r>
  <r>
    <x v="744"/>
    <s v="Nicholas Jiang"/>
    <x v="25"/>
    <x v="0"/>
    <x v="0"/>
    <x v="0"/>
    <x v="0"/>
    <n v="62"/>
    <d v="2003-12-13T00:00:00"/>
    <x v="0"/>
    <x v="10"/>
    <x v="10"/>
    <n v="80132"/>
    <n v="0.14000000000000001"/>
    <n v="11218.480000000001"/>
    <n v="91350"/>
    <x v="1"/>
    <s v="Chongqing"/>
    <x v="0"/>
    <n v="21"/>
  </r>
  <r>
    <x v="745"/>
    <s v="Gabriel Xu"/>
    <x v="1"/>
    <x v="3"/>
    <x v="2"/>
    <x v="0"/>
    <x v="0"/>
    <n v="30"/>
    <d v="2018-10-13T00:00:00"/>
    <x v="0"/>
    <x v="1"/>
    <x v="3"/>
    <n v="52292"/>
    <n v="0"/>
    <n v="0"/>
    <n v="52292"/>
    <x v="1"/>
    <s v="Chengdu"/>
    <x v="0"/>
    <n v="6"/>
  </r>
  <r>
    <x v="746"/>
    <s v="Sophia Collins"/>
    <x v="18"/>
    <x v="2"/>
    <x v="3"/>
    <x v="1"/>
    <x v="2"/>
    <n v="46"/>
    <d v="2022-01-08T00:00:00"/>
    <x v="0"/>
    <x v="11"/>
    <x v="0"/>
    <n v="69110"/>
    <n v="0"/>
    <n v="0"/>
    <n v="69110"/>
    <x v="0"/>
    <s v="Seattle"/>
    <x v="0"/>
    <n v="3"/>
  </r>
  <r>
    <x v="747"/>
    <s v="Evelyn Vasquez"/>
    <x v="13"/>
    <x v="2"/>
    <x v="0"/>
    <x v="1"/>
    <x v="1"/>
    <n v="38"/>
    <d v="2013-02-24T00:00:00"/>
    <x v="2"/>
    <x v="0"/>
    <x v="1"/>
    <n v="68676"/>
    <n v="0"/>
    <n v="0"/>
    <n v="68676"/>
    <x v="2"/>
    <s v="Sao Paulo"/>
    <x v="0"/>
    <n v="12"/>
  </r>
  <r>
    <x v="748"/>
    <s v="Paisley Baker"/>
    <x v="16"/>
    <x v="0"/>
    <x v="0"/>
    <x v="1"/>
    <x v="2"/>
    <n v="58"/>
    <d v="2002-12-23T00:00:00"/>
    <x v="5"/>
    <x v="10"/>
    <x v="18"/>
    <n v="86094"/>
    <n v="0"/>
    <n v="0"/>
    <n v="86094"/>
    <x v="0"/>
    <s v="Columbus"/>
    <x v="0"/>
    <n v="22"/>
  </r>
  <r>
    <x v="749"/>
    <s v="Eloise Griffin"/>
    <x v="19"/>
    <x v="2"/>
    <x v="3"/>
    <x v="1"/>
    <x v="2"/>
    <n v="27"/>
    <d v="2022-05-06T00:00:00"/>
    <x v="4"/>
    <x v="9"/>
    <x v="0"/>
    <n v="77607"/>
    <n v="0"/>
    <n v="0"/>
    <n v="77607"/>
    <x v="0"/>
    <s v="Miami"/>
    <x v="0"/>
    <n v="3"/>
  </r>
  <r>
    <x v="750"/>
    <s v="Samuel Cruz"/>
    <x v="10"/>
    <x v="6"/>
    <x v="3"/>
    <x v="0"/>
    <x v="1"/>
    <n v="61"/>
    <d v="1993-04-30T00:00:00"/>
    <x v="4"/>
    <x v="3"/>
    <x v="23"/>
    <n v="157672"/>
    <n v="0.11"/>
    <n v="17343.920000000002"/>
    <n v="175016"/>
    <x v="0"/>
    <s v="Miami"/>
    <x v="0"/>
    <n v="32"/>
  </r>
  <r>
    <x v="751"/>
    <s v="Gabriel Cheung"/>
    <x v="1"/>
    <x v="4"/>
    <x v="3"/>
    <x v="0"/>
    <x v="0"/>
    <n v="64"/>
    <d v="2016-11-29T00:00:00"/>
    <x v="6"/>
    <x v="7"/>
    <x v="20"/>
    <n v="43785"/>
    <n v="0"/>
    <n v="0"/>
    <n v="43785"/>
    <x v="1"/>
    <s v="Chongqing"/>
    <x v="86"/>
    <n v="1"/>
  </r>
  <r>
    <x v="752"/>
    <s v="Kai Green"/>
    <x v="7"/>
    <x v="2"/>
    <x v="1"/>
    <x v="0"/>
    <x v="2"/>
    <n v="65"/>
    <d v="2015-06-15T00:00:00"/>
    <x v="5"/>
    <x v="4"/>
    <x v="9"/>
    <n v="75439"/>
    <n v="0"/>
    <n v="0"/>
    <n v="75439"/>
    <x v="0"/>
    <s v="Seattle"/>
    <x v="0"/>
    <n v="10"/>
  </r>
  <r>
    <x v="753"/>
    <s v="Julia Moore"/>
    <x v="10"/>
    <x v="2"/>
    <x v="0"/>
    <x v="1"/>
    <x v="2"/>
    <n v="37"/>
    <d v="2021-11-18T00:00:00"/>
    <x v="3"/>
    <x v="7"/>
    <x v="13"/>
    <n v="139987"/>
    <n v="0.13"/>
    <n v="18198.310000000001"/>
    <n v="158185"/>
    <x v="0"/>
    <s v="Seattle"/>
    <x v="0"/>
    <n v="3"/>
  </r>
  <r>
    <x v="754"/>
    <s v="Roman Mendoza"/>
    <x v="11"/>
    <x v="3"/>
    <x v="3"/>
    <x v="0"/>
    <x v="1"/>
    <n v="54"/>
    <d v="1994-09-04T00:00:00"/>
    <x v="2"/>
    <x v="5"/>
    <x v="29"/>
    <n v="257489"/>
    <n v="0.34"/>
    <n v="87546.260000000009"/>
    <n v="345035"/>
    <x v="2"/>
    <s v="Rio de Janeiro"/>
    <x v="0"/>
    <n v="31"/>
  </r>
  <r>
    <x v="755"/>
    <s v="Levi Rahman"/>
    <x v="7"/>
    <x v="2"/>
    <x v="3"/>
    <x v="0"/>
    <x v="0"/>
    <n v="54"/>
    <d v="2009-01-30T00:00:00"/>
    <x v="4"/>
    <x v="11"/>
    <x v="6"/>
    <n v="91639"/>
    <n v="0"/>
    <n v="0"/>
    <n v="91639"/>
    <x v="0"/>
    <s v="Seattle"/>
    <x v="0"/>
    <n v="16"/>
  </r>
  <r>
    <x v="756"/>
    <s v="Sadie Pham"/>
    <x v="6"/>
    <x v="4"/>
    <x v="3"/>
    <x v="1"/>
    <x v="0"/>
    <n v="26"/>
    <d v="2022-12-25T00:00:00"/>
    <x v="2"/>
    <x v="10"/>
    <x v="0"/>
    <n v="66563"/>
    <n v="0"/>
    <n v="0"/>
    <n v="66563"/>
    <x v="1"/>
    <s v="Chengdu"/>
    <x v="85"/>
    <n v="0"/>
  </r>
  <r>
    <x v="757"/>
    <s v="Chloe Contreras"/>
    <x v="11"/>
    <x v="5"/>
    <x v="1"/>
    <x v="1"/>
    <x v="1"/>
    <n v="29"/>
    <d v="2021-02-10T00:00:00"/>
    <x v="1"/>
    <x v="0"/>
    <x v="13"/>
    <n v="235047"/>
    <n v="0.36"/>
    <n v="84616.92"/>
    <n v="319664"/>
    <x v="0"/>
    <s v="Phoenix"/>
    <x v="0"/>
    <n v="4"/>
  </r>
  <r>
    <x v="758"/>
    <s v="Owen Ford"/>
    <x v="11"/>
    <x v="6"/>
    <x v="1"/>
    <x v="0"/>
    <x v="2"/>
    <n v="37"/>
    <d v="2015-02-10T00:00:00"/>
    <x v="6"/>
    <x v="0"/>
    <x v="9"/>
    <n v="214782"/>
    <n v="0.32"/>
    <n v="68730.240000000005"/>
    <n v="283512"/>
    <x v="0"/>
    <s v="Chicago"/>
    <x v="0"/>
    <n v="10"/>
  </r>
  <r>
    <x v="759"/>
    <s v="Audrey Powell"/>
    <x v="4"/>
    <x v="3"/>
    <x v="2"/>
    <x v="1"/>
    <x v="3"/>
    <n v="37"/>
    <d v="2011-05-01T00:00:00"/>
    <x v="2"/>
    <x v="9"/>
    <x v="8"/>
    <n v="180544"/>
    <n v="0.27"/>
    <n v="48746.880000000005"/>
    <n v="229291"/>
    <x v="0"/>
    <s v="Chicago"/>
    <x v="0"/>
    <n v="14"/>
  </r>
  <r>
    <x v="760"/>
    <s v="Greyson Munoz"/>
    <x v="10"/>
    <x v="5"/>
    <x v="2"/>
    <x v="0"/>
    <x v="1"/>
    <n v="62"/>
    <d v="2000-06-23T00:00:00"/>
    <x v="4"/>
    <x v="4"/>
    <x v="27"/>
    <n v="158614"/>
    <n v="0.14000000000000001"/>
    <n v="22205.960000000003"/>
    <n v="180820"/>
    <x v="2"/>
    <s v="Rio de Janeiro"/>
    <x v="0"/>
    <n v="25"/>
  </r>
  <r>
    <x v="761"/>
    <s v="Isaiah Vang"/>
    <x v="31"/>
    <x v="0"/>
    <x v="1"/>
    <x v="0"/>
    <x v="0"/>
    <n v="53"/>
    <d v="1998-11-30T00:00:00"/>
    <x v="5"/>
    <x v="7"/>
    <x v="22"/>
    <n v="63187"/>
    <n v="0"/>
    <n v="0"/>
    <n v="63187"/>
    <x v="0"/>
    <s v="Chicago"/>
    <x v="0"/>
    <n v="26"/>
  </r>
  <r>
    <x v="762"/>
    <s v="Lincoln Alvarado"/>
    <x v="5"/>
    <x v="5"/>
    <x v="0"/>
    <x v="0"/>
    <x v="1"/>
    <n v="65"/>
    <d v="2004-12-08T00:00:00"/>
    <x v="1"/>
    <x v="10"/>
    <x v="5"/>
    <n v="93857"/>
    <n v="0"/>
    <n v="0"/>
    <n v="93857"/>
    <x v="0"/>
    <s v="Phoenix"/>
    <x v="0"/>
    <n v="20"/>
  </r>
  <r>
    <x v="763"/>
    <s v="Carter Sandoval"/>
    <x v="11"/>
    <x v="2"/>
    <x v="0"/>
    <x v="0"/>
    <x v="1"/>
    <n v="36"/>
    <d v="2021-03-11T00:00:00"/>
    <x v="3"/>
    <x v="2"/>
    <x v="13"/>
    <n v="253741"/>
    <n v="0.34"/>
    <n v="86271.94"/>
    <n v="340013"/>
    <x v="2"/>
    <s v="Rio de Janeiro"/>
    <x v="0"/>
    <n v="4"/>
  </r>
  <r>
    <x v="764"/>
    <s v="Julia Jimenez"/>
    <x v="5"/>
    <x v="5"/>
    <x v="3"/>
    <x v="1"/>
    <x v="1"/>
    <n v="46"/>
    <d v="2010-11-17T00:00:00"/>
    <x v="1"/>
    <x v="7"/>
    <x v="15"/>
    <n v="92833"/>
    <n v="0"/>
    <n v="0"/>
    <n v="92833"/>
    <x v="2"/>
    <s v="Rio de Janeiro"/>
    <x v="0"/>
    <n v="14"/>
  </r>
  <r>
    <x v="765"/>
    <s v="Savannah Cortez"/>
    <x v="12"/>
    <x v="2"/>
    <x v="3"/>
    <x v="1"/>
    <x v="1"/>
    <n v="55"/>
    <d v="2018-12-15T00:00:00"/>
    <x v="0"/>
    <x v="10"/>
    <x v="3"/>
    <n v="95400"/>
    <n v="0"/>
    <n v="0"/>
    <n v="95400"/>
    <x v="2"/>
    <s v="Manaus"/>
    <x v="0"/>
    <n v="6"/>
  </r>
  <r>
    <x v="766"/>
    <s v="Everly Brown"/>
    <x v="31"/>
    <x v="0"/>
    <x v="3"/>
    <x v="1"/>
    <x v="3"/>
    <n v="63"/>
    <d v="2013-10-04T00:00:00"/>
    <x v="4"/>
    <x v="1"/>
    <x v="1"/>
    <n v="88230"/>
    <n v="0"/>
    <n v="0"/>
    <n v="88230"/>
    <x v="0"/>
    <s v="Miami"/>
    <x v="0"/>
    <n v="12"/>
  </r>
  <r>
    <x v="767"/>
    <s v="Charlotte Pham"/>
    <x v="26"/>
    <x v="0"/>
    <x v="2"/>
    <x v="1"/>
    <x v="0"/>
    <n v="54"/>
    <d v="2003-02-25T00:00:00"/>
    <x v="6"/>
    <x v="0"/>
    <x v="10"/>
    <n v="62179"/>
    <n v="0"/>
    <n v="0"/>
    <n v="62179"/>
    <x v="1"/>
    <s v="Shanghai"/>
    <x v="0"/>
    <n v="22"/>
  </r>
  <r>
    <x v="768"/>
    <s v="Iris Bailey"/>
    <x v="17"/>
    <x v="2"/>
    <x v="2"/>
    <x v="1"/>
    <x v="2"/>
    <n v="26"/>
    <d v="2020-02-18T00:00:00"/>
    <x v="6"/>
    <x v="0"/>
    <x v="17"/>
    <n v="42343"/>
    <n v="0"/>
    <n v="0"/>
    <n v="42343"/>
    <x v="0"/>
    <s v="Miami"/>
    <x v="87"/>
    <n v="0"/>
  </r>
  <r>
    <x v="769"/>
    <s v="Logan Daniels"/>
    <x v="5"/>
    <x v="3"/>
    <x v="1"/>
    <x v="0"/>
    <x v="2"/>
    <n v="26"/>
    <d v="2022-05-07T00:00:00"/>
    <x v="0"/>
    <x v="9"/>
    <x v="0"/>
    <n v="70275"/>
    <n v="0"/>
    <n v="0"/>
    <n v="70275"/>
    <x v="0"/>
    <s v="Columbus"/>
    <x v="0"/>
    <n v="3"/>
  </r>
  <r>
    <x v="770"/>
    <s v="Autumn Molina"/>
    <x v="6"/>
    <x v="1"/>
    <x v="1"/>
    <x v="1"/>
    <x v="1"/>
    <n v="34"/>
    <d v="2012-04-08T00:00:00"/>
    <x v="2"/>
    <x v="3"/>
    <x v="21"/>
    <n v="51448"/>
    <n v="0"/>
    <n v="0"/>
    <n v="51448"/>
    <x v="2"/>
    <s v="Manaus"/>
    <x v="0"/>
    <n v="13"/>
  </r>
  <r>
    <x v="771"/>
    <s v="Emma Mehta"/>
    <x v="11"/>
    <x v="0"/>
    <x v="0"/>
    <x v="1"/>
    <x v="0"/>
    <n v="48"/>
    <d v="2009-04-09T00:00:00"/>
    <x v="3"/>
    <x v="3"/>
    <x v="6"/>
    <n v="185363"/>
    <n v="0.33"/>
    <n v="61169.79"/>
    <n v="246533"/>
    <x v="1"/>
    <s v="Shanghai"/>
    <x v="0"/>
    <n v="16"/>
  </r>
  <r>
    <x v="772"/>
    <s v="Julian Joseph"/>
    <x v="19"/>
    <x v="2"/>
    <x v="0"/>
    <x v="0"/>
    <x v="2"/>
    <n v="52"/>
    <d v="2018-09-20T00:00:00"/>
    <x v="3"/>
    <x v="5"/>
    <x v="3"/>
    <n v="60784"/>
    <n v="0"/>
    <n v="0"/>
    <n v="60784"/>
    <x v="0"/>
    <s v="Austin"/>
    <x v="0"/>
    <n v="7"/>
  </r>
  <r>
    <x v="773"/>
    <s v="Eleanor Munoz"/>
    <x v="1"/>
    <x v="3"/>
    <x v="3"/>
    <x v="1"/>
    <x v="1"/>
    <n v="45"/>
    <d v="2004-04-07T00:00:00"/>
    <x v="1"/>
    <x v="3"/>
    <x v="5"/>
    <n v="45323"/>
    <n v="0"/>
    <n v="0"/>
    <n v="45323"/>
    <x v="2"/>
    <s v="Rio de Janeiro"/>
    <x v="0"/>
    <n v="21"/>
  </r>
  <r>
    <x v="774"/>
    <s v="Caroline Sandoval"/>
    <x v="8"/>
    <x v="4"/>
    <x v="3"/>
    <x v="1"/>
    <x v="1"/>
    <n v="51"/>
    <d v="2012-09-10T00:00:00"/>
    <x v="5"/>
    <x v="5"/>
    <x v="21"/>
    <n v="129727"/>
    <n v="0.08"/>
    <n v="10378.16"/>
    <n v="140105"/>
    <x v="0"/>
    <s v="Phoenix"/>
    <x v="88"/>
    <n v="9"/>
  </r>
  <r>
    <x v="775"/>
    <s v="Eliza Zhu"/>
    <x v="14"/>
    <x v="1"/>
    <x v="3"/>
    <x v="1"/>
    <x v="0"/>
    <n v="43"/>
    <d v="2006-09-30T00:00:00"/>
    <x v="0"/>
    <x v="5"/>
    <x v="16"/>
    <n v="63229"/>
    <n v="0"/>
    <n v="0"/>
    <n v="63229"/>
    <x v="0"/>
    <s v="Miami"/>
    <x v="0"/>
    <n v="19"/>
  </r>
  <r>
    <x v="776"/>
    <s v="Greyson Moore"/>
    <x v="4"/>
    <x v="3"/>
    <x v="1"/>
    <x v="0"/>
    <x v="2"/>
    <n v="54"/>
    <d v="2004-02-12T00:00:00"/>
    <x v="3"/>
    <x v="0"/>
    <x v="5"/>
    <n v="194221"/>
    <n v="0.16"/>
    <n v="31075.360000000001"/>
    <n v="225296"/>
    <x v="0"/>
    <s v="Austin"/>
    <x v="0"/>
    <n v="21"/>
  </r>
  <r>
    <x v="777"/>
    <s v="Lyla Clark"/>
    <x v="5"/>
    <x v="1"/>
    <x v="2"/>
    <x v="1"/>
    <x v="2"/>
    <n v="54"/>
    <d v="2018-12-12T00:00:00"/>
    <x v="1"/>
    <x v="10"/>
    <x v="3"/>
    <n v="78020"/>
    <n v="0"/>
    <n v="0"/>
    <n v="78020"/>
    <x v="0"/>
    <s v="Columbus"/>
    <x v="0"/>
    <n v="6"/>
  </r>
  <r>
    <x v="778"/>
    <s v="Samuel Patterson"/>
    <x v="11"/>
    <x v="3"/>
    <x v="3"/>
    <x v="0"/>
    <x v="2"/>
    <n v="25"/>
    <d v="2022-10-07T00:00:00"/>
    <x v="4"/>
    <x v="1"/>
    <x v="0"/>
    <n v="197331"/>
    <n v="0.33"/>
    <n v="65119.23"/>
    <n v="262450"/>
    <x v="0"/>
    <s v="Seattle"/>
    <x v="0"/>
    <n v="3"/>
  </r>
  <r>
    <x v="779"/>
    <s v="Robert Padilla"/>
    <x v="6"/>
    <x v="3"/>
    <x v="0"/>
    <x v="0"/>
    <x v="1"/>
    <n v="65"/>
    <d v="1998-02-16T00:00:00"/>
    <x v="5"/>
    <x v="0"/>
    <x v="22"/>
    <n v="63346"/>
    <n v="0"/>
    <n v="0"/>
    <n v="63346"/>
    <x v="2"/>
    <s v="Rio de Janeiro"/>
    <x v="0"/>
    <n v="27"/>
  </r>
  <r>
    <x v="780"/>
    <s v="Landon Munoz"/>
    <x v="0"/>
    <x v="0"/>
    <x v="0"/>
    <x v="0"/>
    <x v="1"/>
    <n v="40"/>
    <d v="2014-07-11T00:00:00"/>
    <x v="4"/>
    <x v="8"/>
    <x v="11"/>
    <n v="105574"/>
    <n v="0"/>
    <n v="0"/>
    <n v="105574"/>
    <x v="0"/>
    <s v="Miami"/>
    <x v="0"/>
    <n v="11"/>
  </r>
  <r>
    <x v="781"/>
    <s v="Josiah Yi"/>
    <x v="32"/>
    <x v="0"/>
    <x v="1"/>
    <x v="0"/>
    <x v="0"/>
    <n v="31"/>
    <d v="2015-04-12T00:00:00"/>
    <x v="2"/>
    <x v="3"/>
    <x v="9"/>
    <n v="101941"/>
    <n v="0"/>
    <n v="0"/>
    <n v="101941"/>
    <x v="1"/>
    <s v="Beijing"/>
    <x v="0"/>
    <n v="10"/>
  </r>
  <r>
    <x v="782"/>
    <s v="Owen Scott"/>
    <x v="22"/>
    <x v="2"/>
    <x v="2"/>
    <x v="0"/>
    <x v="3"/>
    <n v="45"/>
    <d v="2005-07-17T00:00:00"/>
    <x v="2"/>
    <x v="8"/>
    <x v="4"/>
    <n v="74777"/>
    <n v="0"/>
    <n v="0"/>
    <n v="74777"/>
    <x v="0"/>
    <s v="Austin"/>
    <x v="0"/>
    <n v="20"/>
  </r>
  <r>
    <x v="783"/>
    <s v="Matthew Parker"/>
    <x v="1"/>
    <x v="1"/>
    <x v="2"/>
    <x v="0"/>
    <x v="2"/>
    <n v="40"/>
    <d v="2021-09-15T00:00:00"/>
    <x v="1"/>
    <x v="5"/>
    <x v="13"/>
    <n v="59447"/>
    <n v="0"/>
    <n v="0"/>
    <n v="59447"/>
    <x v="0"/>
    <s v="Austin"/>
    <x v="0"/>
    <n v="4"/>
  </r>
  <r>
    <x v="784"/>
    <s v="Daniel Huynh"/>
    <x v="8"/>
    <x v="5"/>
    <x v="0"/>
    <x v="0"/>
    <x v="0"/>
    <n v="25"/>
    <d v="2021-12-08T00:00:00"/>
    <x v="1"/>
    <x v="10"/>
    <x v="13"/>
    <n v="105072"/>
    <n v="0.06"/>
    <n v="6304.32"/>
    <n v="111376"/>
    <x v="1"/>
    <s v="Chengdu"/>
    <x v="0"/>
    <n v="3"/>
  </r>
  <r>
    <x v="785"/>
    <s v="Christian Ayala"/>
    <x v="29"/>
    <x v="1"/>
    <x v="2"/>
    <x v="0"/>
    <x v="1"/>
    <n v="55"/>
    <d v="2003-09-28T00:00:00"/>
    <x v="2"/>
    <x v="5"/>
    <x v="10"/>
    <n v="74216"/>
    <n v="0"/>
    <n v="0"/>
    <n v="74216"/>
    <x v="2"/>
    <s v="Manaus"/>
    <x v="0"/>
    <n v="22"/>
  </r>
  <r>
    <x v="786"/>
    <s v="Willow Xiong"/>
    <x v="10"/>
    <x v="5"/>
    <x v="1"/>
    <x v="1"/>
    <x v="0"/>
    <n v="37"/>
    <d v="2021-05-04T00:00:00"/>
    <x v="6"/>
    <x v="9"/>
    <x v="13"/>
    <n v="151363"/>
    <n v="0.12"/>
    <n v="18163.559999999998"/>
    <n v="169527"/>
    <x v="0"/>
    <s v="Miami"/>
    <x v="0"/>
    <n v="4"/>
  </r>
  <r>
    <x v="787"/>
    <s v="Avery Valdez"/>
    <x v="24"/>
    <x v="6"/>
    <x v="2"/>
    <x v="1"/>
    <x v="1"/>
    <n v="58"/>
    <d v="2000-01-29T00:00:00"/>
    <x v="0"/>
    <x v="11"/>
    <x v="27"/>
    <n v="62686"/>
    <n v="0"/>
    <n v="0"/>
    <n v="62686"/>
    <x v="0"/>
    <s v="Phoenix"/>
    <x v="0"/>
    <n v="25"/>
  </r>
  <r>
    <x v="788"/>
    <s v="Abigail Carter"/>
    <x v="4"/>
    <x v="6"/>
    <x v="2"/>
    <x v="1"/>
    <x v="3"/>
    <n v="51"/>
    <d v="2015-01-12T00:00:00"/>
    <x v="5"/>
    <x v="11"/>
    <x v="9"/>
    <n v="178218"/>
    <n v="0.27"/>
    <n v="48118.86"/>
    <n v="226337"/>
    <x v="0"/>
    <s v="Miami"/>
    <x v="0"/>
    <n v="10"/>
  </r>
  <r>
    <x v="789"/>
    <s v="Ariana Hall"/>
    <x v="8"/>
    <x v="6"/>
    <x v="1"/>
    <x v="1"/>
    <x v="2"/>
    <n v="55"/>
    <d v="2005-01-17T00:00:00"/>
    <x v="5"/>
    <x v="11"/>
    <x v="4"/>
    <n v="128954"/>
    <n v="0.05"/>
    <n v="6447.7000000000007"/>
    <n v="135402"/>
    <x v="0"/>
    <s v="Phoenix"/>
    <x v="0"/>
    <n v="20"/>
  </r>
  <r>
    <x v="790"/>
    <s v="Addison Ma"/>
    <x v="9"/>
    <x v="2"/>
    <x v="2"/>
    <x v="1"/>
    <x v="0"/>
    <n v="59"/>
    <d v="2008-05-21T00:00:00"/>
    <x v="1"/>
    <x v="9"/>
    <x v="24"/>
    <n v="46151"/>
    <n v="0"/>
    <n v="0"/>
    <n v="46151"/>
    <x v="0"/>
    <s v="Phoenix"/>
    <x v="0"/>
    <n v="17"/>
  </r>
  <r>
    <x v="791"/>
    <s v="Clara Collins"/>
    <x v="27"/>
    <x v="2"/>
    <x v="0"/>
    <x v="1"/>
    <x v="2"/>
    <n v="40"/>
    <d v="2008-03-03T00:00:00"/>
    <x v="5"/>
    <x v="2"/>
    <x v="24"/>
    <n v="63889"/>
    <n v="0"/>
    <n v="0"/>
    <n v="63889"/>
    <x v="0"/>
    <s v="Seattle"/>
    <x v="13"/>
    <n v="14"/>
  </r>
  <r>
    <x v="792"/>
    <s v="Stella Castro"/>
    <x v="16"/>
    <x v="0"/>
    <x v="1"/>
    <x v="1"/>
    <x v="1"/>
    <n v="53"/>
    <d v="2009-04-17T00:00:00"/>
    <x v="4"/>
    <x v="3"/>
    <x v="6"/>
    <n v="75060"/>
    <n v="0"/>
    <n v="0"/>
    <n v="75060"/>
    <x v="0"/>
    <s v="Columbus"/>
    <x v="0"/>
    <n v="16"/>
  </r>
  <r>
    <x v="793"/>
    <s v="Lucy Chin"/>
    <x v="4"/>
    <x v="2"/>
    <x v="0"/>
    <x v="1"/>
    <x v="0"/>
    <n v="50"/>
    <d v="2011-04-22T00:00:00"/>
    <x v="4"/>
    <x v="3"/>
    <x v="8"/>
    <n v="175033"/>
    <n v="0.2"/>
    <n v="35006.6"/>
    <n v="210040"/>
    <x v="1"/>
    <s v="Beijing"/>
    <x v="0"/>
    <n v="14"/>
  </r>
  <r>
    <x v="794"/>
    <s v="Piper Evans"/>
    <x v="20"/>
    <x v="2"/>
    <x v="3"/>
    <x v="1"/>
    <x v="2"/>
    <n v="52"/>
    <d v="2014-01-28T00:00:00"/>
    <x v="6"/>
    <x v="11"/>
    <x v="11"/>
    <n v="89379"/>
    <n v="0.1"/>
    <n v="8937.9"/>
    <n v="98317"/>
    <x v="0"/>
    <s v="Seattle"/>
    <x v="89"/>
    <n v="8"/>
  </r>
  <r>
    <x v="795"/>
    <s v="Cora Coleman"/>
    <x v="0"/>
    <x v="0"/>
    <x v="1"/>
    <x v="1"/>
    <x v="3"/>
    <n v="40"/>
    <d v="2011-04-09T00:00:00"/>
    <x v="0"/>
    <x v="3"/>
    <x v="8"/>
    <n v="98594"/>
    <n v="0"/>
    <n v="0"/>
    <n v="98594"/>
    <x v="0"/>
    <s v="Phoenix"/>
    <x v="0"/>
    <n v="14"/>
  </r>
  <r>
    <x v="796"/>
    <s v="Cora Holmes"/>
    <x v="11"/>
    <x v="5"/>
    <x v="2"/>
    <x v="1"/>
    <x v="2"/>
    <n v="39"/>
    <d v="2021-10-05T00:00:00"/>
    <x v="6"/>
    <x v="1"/>
    <x v="13"/>
    <n v="224435"/>
    <n v="0.33"/>
    <n v="74063.55"/>
    <n v="298499"/>
    <x v="0"/>
    <s v="Seattle"/>
    <x v="0"/>
    <n v="4"/>
  </r>
  <r>
    <x v="797"/>
    <s v="Leo Figueroa"/>
    <x v="13"/>
    <x v="2"/>
    <x v="1"/>
    <x v="0"/>
    <x v="1"/>
    <n v="31"/>
    <d v="2015-01-21T00:00:00"/>
    <x v="1"/>
    <x v="11"/>
    <x v="9"/>
    <n v="63644"/>
    <n v="0"/>
    <n v="0"/>
    <n v="63644"/>
    <x v="2"/>
    <s v="Manaus"/>
    <x v="0"/>
    <n v="10"/>
  </r>
  <r>
    <x v="798"/>
    <s v="Allison Wang"/>
    <x v="8"/>
    <x v="3"/>
    <x v="0"/>
    <x v="1"/>
    <x v="0"/>
    <n v="30"/>
    <d v="2018-12-16T00:00:00"/>
    <x v="2"/>
    <x v="10"/>
    <x v="3"/>
    <n v="121234"/>
    <n v="0.05"/>
    <n v="6061.7000000000007"/>
    <n v="127296"/>
    <x v="0"/>
    <s v="Austin"/>
    <x v="0"/>
    <n v="6"/>
  </r>
  <r>
    <x v="799"/>
    <s v="Levi Cruz"/>
    <x v="5"/>
    <x v="3"/>
    <x v="2"/>
    <x v="0"/>
    <x v="1"/>
    <n v="47"/>
    <d v="2007-09-22T00:00:00"/>
    <x v="0"/>
    <x v="5"/>
    <x v="25"/>
    <n v="83793"/>
    <n v="0"/>
    <n v="0"/>
    <n v="83793"/>
    <x v="0"/>
    <s v="Miami"/>
    <x v="0"/>
    <n v="18"/>
  </r>
  <r>
    <x v="800"/>
    <s v="Iris Phillips"/>
    <x v="16"/>
    <x v="0"/>
    <x v="2"/>
    <x v="1"/>
    <x v="2"/>
    <n v="46"/>
    <d v="2019-11-28T00:00:00"/>
    <x v="3"/>
    <x v="7"/>
    <x v="2"/>
    <n v="99586"/>
    <n v="0"/>
    <n v="0"/>
    <n v="99586"/>
    <x v="0"/>
    <s v="Miami"/>
    <x v="0"/>
    <n v="5"/>
  </r>
  <r>
    <x v="801"/>
    <s v="Madelyn Chavez"/>
    <x v="15"/>
    <x v="6"/>
    <x v="1"/>
    <x v="1"/>
    <x v="1"/>
    <n v="43"/>
    <d v="2006-09-11T00:00:00"/>
    <x v="5"/>
    <x v="5"/>
    <x v="16"/>
    <n v="59514"/>
    <n v="0"/>
    <n v="0"/>
    <n v="59514"/>
    <x v="2"/>
    <s v="Rio de Janeiro"/>
    <x v="0"/>
    <n v="19"/>
  </r>
  <r>
    <x v="802"/>
    <s v="Caroline Smith"/>
    <x v="8"/>
    <x v="5"/>
    <x v="1"/>
    <x v="1"/>
    <x v="2"/>
    <n v="28"/>
    <d v="2020-04-27T00:00:00"/>
    <x v="5"/>
    <x v="3"/>
    <x v="17"/>
    <n v="106043"/>
    <n v="0.1"/>
    <n v="10604.300000000001"/>
    <n v="116647"/>
    <x v="0"/>
    <s v="Columbus"/>
    <x v="0"/>
    <n v="5"/>
  </r>
  <r>
    <x v="803"/>
    <s v="Hadley Parker"/>
    <x v="8"/>
    <x v="3"/>
    <x v="0"/>
    <x v="1"/>
    <x v="2"/>
    <n v="44"/>
    <d v="2010-01-09T00:00:00"/>
    <x v="0"/>
    <x v="11"/>
    <x v="15"/>
    <n v="129099"/>
    <n v="0.06"/>
    <n v="7745.94"/>
    <n v="136845"/>
    <x v="0"/>
    <s v="Austin"/>
    <x v="0"/>
    <n v="15"/>
  </r>
  <r>
    <x v="804"/>
    <s v="Elizabeth Estrada"/>
    <x v="17"/>
    <x v="2"/>
    <x v="1"/>
    <x v="1"/>
    <x v="1"/>
    <n v="37"/>
    <d v="2016-12-20T00:00:00"/>
    <x v="6"/>
    <x v="10"/>
    <x v="20"/>
    <n v="59376"/>
    <n v="0"/>
    <n v="0"/>
    <n v="59376"/>
    <x v="0"/>
    <s v="Miami"/>
    <x v="0"/>
    <n v="8"/>
  </r>
  <r>
    <x v="805"/>
    <s v="Sofia Yee"/>
    <x v="7"/>
    <x v="2"/>
    <x v="2"/>
    <x v="1"/>
    <x v="0"/>
    <n v="52"/>
    <d v="2018-12-25T00:00:00"/>
    <x v="6"/>
    <x v="10"/>
    <x v="3"/>
    <n v="98060"/>
    <n v="0"/>
    <n v="0"/>
    <n v="98060"/>
    <x v="0"/>
    <s v="Miami"/>
    <x v="0"/>
    <n v="6"/>
  </r>
  <r>
    <x v="806"/>
    <s v="Asher Mendoza"/>
    <x v="10"/>
    <x v="6"/>
    <x v="1"/>
    <x v="0"/>
    <x v="1"/>
    <n v="49"/>
    <d v="2014-02-21T00:00:00"/>
    <x v="4"/>
    <x v="0"/>
    <x v="11"/>
    <n v="152911"/>
    <n v="0.1"/>
    <n v="15291.1"/>
    <n v="168202"/>
    <x v="2"/>
    <s v="Rio de Janeiro"/>
    <x v="0"/>
    <n v="11"/>
  </r>
  <r>
    <x v="807"/>
    <s v="Jordan Hernandez"/>
    <x v="9"/>
    <x v="2"/>
    <x v="2"/>
    <x v="0"/>
    <x v="1"/>
    <n v="47"/>
    <d v="2003-12-15T00:00:00"/>
    <x v="5"/>
    <x v="10"/>
    <x v="10"/>
    <n v="42994"/>
    <n v="0"/>
    <n v="0"/>
    <n v="42994"/>
    <x v="2"/>
    <s v="Sao Paulo"/>
    <x v="0"/>
    <n v="21"/>
  </r>
  <r>
    <x v="808"/>
    <s v="Everleigh Tan"/>
    <x v="1"/>
    <x v="3"/>
    <x v="0"/>
    <x v="1"/>
    <x v="0"/>
    <n v="42"/>
    <d v="2019-03-28T00:00:00"/>
    <x v="3"/>
    <x v="2"/>
    <x v="2"/>
    <n v="59853"/>
    <n v="0"/>
    <n v="0"/>
    <n v="59853"/>
    <x v="1"/>
    <s v="Chengdu"/>
    <x v="0"/>
    <n v="6"/>
  </r>
  <r>
    <x v="809"/>
    <s v="Joshua Hall"/>
    <x v="9"/>
    <x v="2"/>
    <x v="0"/>
    <x v="0"/>
    <x v="3"/>
    <n v="61"/>
    <d v="2011-12-07T00:00:00"/>
    <x v="1"/>
    <x v="10"/>
    <x v="8"/>
    <n v="41220"/>
    <n v="0"/>
    <n v="0"/>
    <n v="41220"/>
    <x v="0"/>
    <s v="Chicago"/>
    <x v="0"/>
    <n v="13"/>
  </r>
  <r>
    <x v="810"/>
    <s v="Stella Gupta"/>
    <x v="5"/>
    <x v="3"/>
    <x v="1"/>
    <x v="1"/>
    <x v="0"/>
    <n v="33"/>
    <d v="2020-02-18T00:00:00"/>
    <x v="6"/>
    <x v="0"/>
    <x v="17"/>
    <n v="97261"/>
    <n v="0"/>
    <n v="0"/>
    <n v="97261"/>
    <x v="1"/>
    <s v="Beijing"/>
    <x v="0"/>
    <n v="5"/>
  </r>
  <r>
    <x v="811"/>
    <s v="Levi White"/>
    <x v="8"/>
    <x v="6"/>
    <x v="0"/>
    <x v="0"/>
    <x v="3"/>
    <n v="45"/>
    <d v="2018-07-19T00:00:00"/>
    <x v="3"/>
    <x v="8"/>
    <x v="3"/>
    <n v="127363"/>
    <n v="0.09"/>
    <n v="11462.67"/>
    <n v="138826"/>
    <x v="0"/>
    <s v="Columbus"/>
    <x v="0"/>
    <n v="7"/>
  </r>
  <r>
    <x v="812"/>
    <s v="Matthew Jackson"/>
    <x v="8"/>
    <x v="5"/>
    <x v="3"/>
    <x v="0"/>
    <x v="2"/>
    <n v="30"/>
    <d v="2019-10-13T00:00:00"/>
    <x v="2"/>
    <x v="1"/>
    <x v="2"/>
    <n v="111274"/>
    <n v="0.06"/>
    <n v="6676.44"/>
    <n v="117950"/>
    <x v="0"/>
    <s v="Seattle"/>
    <x v="0"/>
    <n v="5"/>
  </r>
  <r>
    <x v="813"/>
    <s v="Dominic Martinez"/>
    <x v="20"/>
    <x v="2"/>
    <x v="1"/>
    <x v="0"/>
    <x v="1"/>
    <n v="53"/>
    <d v="2018-04-17T00:00:00"/>
    <x v="6"/>
    <x v="3"/>
    <x v="3"/>
    <n v="90554"/>
    <n v="7.0000000000000007E-2"/>
    <n v="6338.7800000000007"/>
    <n v="96893"/>
    <x v="2"/>
    <s v="Rio de Janeiro"/>
    <x v="0"/>
    <n v="7"/>
  </r>
  <r>
    <x v="814"/>
    <s v="Aiden Aguilar"/>
    <x v="8"/>
    <x v="4"/>
    <x v="2"/>
    <x v="0"/>
    <x v="1"/>
    <n v="62"/>
    <d v="1997-12-12T00:00:00"/>
    <x v="4"/>
    <x v="10"/>
    <x v="14"/>
    <n v="100226"/>
    <n v="0.1"/>
    <n v="10022.6"/>
    <n v="110249"/>
    <x v="0"/>
    <s v="Seattle"/>
    <x v="0"/>
    <n v="27"/>
  </r>
  <r>
    <x v="815"/>
    <s v="Victoria Hu"/>
    <x v="26"/>
    <x v="0"/>
    <x v="0"/>
    <x v="1"/>
    <x v="0"/>
    <n v="37"/>
    <d v="2017-04-21T00:00:00"/>
    <x v="4"/>
    <x v="3"/>
    <x v="12"/>
    <n v="93348"/>
    <n v="0"/>
    <n v="0"/>
    <n v="93348"/>
    <x v="1"/>
    <s v="Chongqing"/>
    <x v="0"/>
    <n v="8"/>
  </r>
  <r>
    <x v="816"/>
    <s v="Aurora Bailey"/>
    <x v="30"/>
    <x v="0"/>
    <x v="2"/>
    <x v="1"/>
    <x v="2"/>
    <n v="31"/>
    <d v="2020-05-23T00:00:00"/>
    <x v="0"/>
    <x v="9"/>
    <x v="17"/>
    <n v="69108"/>
    <n v="0"/>
    <n v="0"/>
    <n v="69108"/>
    <x v="0"/>
    <s v="Miami"/>
    <x v="0"/>
    <n v="5"/>
  </r>
  <r>
    <x v="817"/>
    <s v="Lucas Sandoval"/>
    <x v="5"/>
    <x v="1"/>
    <x v="0"/>
    <x v="0"/>
    <x v="1"/>
    <n v="41"/>
    <d v="2011-05-19T00:00:00"/>
    <x v="3"/>
    <x v="9"/>
    <x v="8"/>
    <n v="84627"/>
    <n v="0"/>
    <n v="0"/>
    <n v="84627"/>
    <x v="2"/>
    <s v="Manaus"/>
    <x v="0"/>
    <n v="14"/>
  </r>
  <r>
    <x v="818"/>
    <s v="Brooks Ngo"/>
    <x v="11"/>
    <x v="0"/>
    <x v="1"/>
    <x v="0"/>
    <x v="0"/>
    <n v="26"/>
    <d v="2020-03-02T00:00:00"/>
    <x v="5"/>
    <x v="2"/>
    <x v="17"/>
    <n v="211114"/>
    <n v="0.3"/>
    <n v="63334.2"/>
    <n v="274448"/>
    <x v="0"/>
    <s v="Miami"/>
    <x v="0"/>
    <n v="5"/>
  </r>
  <r>
    <x v="819"/>
    <s v="Dominic Thao"/>
    <x v="5"/>
    <x v="5"/>
    <x v="3"/>
    <x v="0"/>
    <x v="0"/>
    <n v="50"/>
    <d v="1996-09-08T00:00:00"/>
    <x v="2"/>
    <x v="5"/>
    <x v="26"/>
    <n v="96297"/>
    <n v="0"/>
    <n v="0"/>
    <n v="96297"/>
    <x v="0"/>
    <s v="Miami"/>
    <x v="0"/>
    <n v="29"/>
  </r>
  <r>
    <x v="820"/>
    <s v="Jaxon Shin"/>
    <x v="17"/>
    <x v="2"/>
    <x v="3"/>
    <x v="0"/>
    <x v="0"/>
    <n v="48"/>
    <d v="2010-12-27T00:00:00"/>
    <x v="5"/>
    <x v="10"/>
    <x v="15"/>
    <n v="53593"/>
    <n v="0"/>
    <n v="0"/>
    <n v="53593"/>
    <x v="1"/>
    <s v="Chengdu"/>
    <x v="0"/>
    <n v="14"/>
  </r>
  <r>
    <x v="821"/>
    <s v="Nevaeh Diaz"/>
    <x v="4"/>
    <x v="5"/>
    <x v="0"/>
    <x v="1"/>
    <x v="1"/>
    <n v="44"/>
    <d v="2018-03-03T00:00:00"/>
    <x v="0"/>
    <x v="2"/>
    <x v="3"/>
    <n v="167660"/>
    <n v="0.28999999999999998"/>
    <n v="48621.399999999994"/>
    <n v="216281"/>
    <x v="2"/>
    <s v="Sao Paulo"/>
    <x v="0"/>
    <n v="7"/>
  </r>
  <r>
    <x v="822"/>
    <s v="Joseph Dang"/>
    <x v="11"/>
    <x v="5"/>
    <x v="2"/>
    <x v="0"/>
    <x v="0"/>
    <n v="61"/>
    <d v="2014-04-20T00:00:00"/>
    <x v="2"/>
    <x v="3"/>
    <x v="11"/>
    <n v="209680"/>
    <n v="0.34"/>
    <n v="71291.200000000012"/>
    <n v="280971"/>
    <x v="1"/>
    <s v="Shanghai"/>
    <x v="0"/>
    <n v="11"/>
  </r>
  <r>
    <x v="823"/>
    <s v="Valentina Nelson"/>
    <x v="2"/>
    <x v="2"/>
    <x v="0"/>
    <x v="1"/>
    <x v="2"/>
    <n v="50"/>
    <d v="2013-12-16T00:00:00"/>
    <x v="5"/>
    <x v="10"/>
    <x v="1"/>
    <n v="63884"/>
    <n v="0"/>
    <n v="0"/>
    <n v="63884"/>
    <x v="0"/>
    <s v="Miami"/>
    <x v="0"/>
    <n v="11"/>
  </r>
  <r>
    <x v="824"/>
    <s v="Logan Ortega"/>
    <x v="6"/>
    <x v="5"/>
    <x v="0"/>
    <x v="0"/>
    <x v="1"/>
    <n v="31"/>
    <d v="2020-05-19T00:00:00"/>
    <x v="6"/>
    <x v="9"/>
    <x v="17"/>
    <n v="64234"/>
    <n v="0"/>
    <n v="0"/>
    <n v="64234"/>
    <x v="0"/>
    <s v="Seattle"/>
    <x v="90"/>
    <n v="1"/>
  </r>
  <r>
    <x v="825"/>
    <s v="Isaac Jung"/>
    <x v="8"/>
    <x v="2"/>
    <x v="3"/>
    <x v="0"/>
    <x v="0"/>
    <n v="55"/>
    <d v="1994-07-12T00:00:00"/>
    <x v="6"/>
    <x v="8"/>
    <x v="29"/>
    <n v="103726"/>
    <n v="0.08"/>
    <n v="8298.08"/>
    <n v="112024"/>
    <x v="1"/>
    <s v="Shanghai"/>
    <x v="0"/>
    <n v="31"/>
  </r>
  <r>
    <x v="826"/>
    <s v="Christopher Desai"/>
    <x v="21"/>
    <x v="0"/>
    <x v="2"/>
    <x v="0"/>
    <x v="0"/>
    <n v="46"/>
    <d v="2000-12-29T00:00:00"/>
    <x v="4"/>
    <x v="10"/>
    <x v="27"/>
    <n v="114260"/>
    <n v="0"/>
    <n v="0"/>
    <n v="114260"/>
    <x v="1"/>
    <s v="Chengdu"/>
    <x v="0"/>
    <n v="24"/>
  </r>
  <r>
    <x v="827"/>
    <s v="Levi Gonzalez"/>
    <x v="0"/>
    <x v="0"/>
    <x v="1"/>
    <x v="0"/>
    <x v="1"/>
    <n v="36"/>
    <d v="2012-04-27T00:00:00"/>
    <x v="4"/>
    <x v="3"/>
    <x v="21"/>
    <n v="116168"/>
    <n v="0"/>
    <n v="0"/>
    <n v="116168"/>
    <x v="0"/>
    <s v="Austin"/>
    <x v="0"/>
    <n v="13"/>
  </r>
  <r>
    <x v="828"/>
    <s v="Santiago f Wang"/>
    <x v="10"/>
    <x v="1"/>
    <x v="2"/>
    <x v="0"/>
    <x v="0"/>
    <n v="27"/>
    <d v="2021-08-09T00:00:00"/>
    <x v="5"/>
    <x v="6"/>
    <x v="13"/>
    <n v="133267"/>
    <n v="0.12"/>
    <n v="15992.039999999999"/>
    <n v="149259"/>
    <x v="0"/>
    <s v="Phoenix"/>
    <x v="0"/>
    <n v="4"/>
  </r>
  <r>
    <x v="829"/>
    <s v="Melody Yoon"/>
    <x v="15"/>
    <x v="6"/>
    <x v="3"/>
    <x v="1"/>
    <x v="0"/>
    <n v="49"/>
    <d v="2014-10-15T00:00:00"/>
    <x v="1"/>
    <x v="1"/>
    <x v="11"/>
    <n v="52292"/>
    <n v="0"/>
    <n v="0"/>
    <n v="52292"/>
    <x v="1"/>
    <s v="Chengdu"/>
    <x v="0"/>
    <n v="10"/>
  </r>
  <r>
    <x v="830"/>
    <s v="Avery Smith"/>
    <x v="10"/>
    <x v="6"/>
    <x v="1"/>
    <x v="1"/>
    <x v="2"/>
    <n v="53"/>
    <d v="2008-06-27T00:00:00"/>
    <x v="4"/>
    <x v="4"/>
    <x v="24"/>
    <n v="69110"/>
    <n v="0"/>
    <n v="0"/>
    <n v="69110"/>
    <x v="0"/>
    <s v="Seattle"/>
    <x v="0"/>
    <n v="1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D62E3E-6A86-4572-B700-8A58E856E059}" name="Count of Employee by Job titl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Job Title">
  <location ref="A2:B36" firstHeaderRow="1" firstDataRow="1" firstDataCol="1"/>
  <pivotFields count="23">
    <pivotField dataField="1" showAll="0">
      <items count="8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29"/>
        <item x="830"/>
        <item x="824"/>
        <item x="825"/>
        <item x="826"/>
        <item x="827"/>
        <item x="828"/>
        <item x="803"/>
        <item x="804"/>
        <item x="805"/>
        <item x="806"/>
        <item x="807"/>
        <item x="808"/>
        <item x="809"/>
        <item x="810"/>
        <item x="811"/>
        <item x="812"/>
        <item x="813"/>
        <item x="814"/>
        <item x="815"/>
        <item x="819"/>
        <item x="820"/>
        <item x="821"/>
        <item x="822"/>
        <item x="823"/>
        <item x="816"/>
        <item x="817"/>
        <item x="818"/>
        <item t="default"/>
      </items>
    </pivotField>
    <pivotField showAll="0"/>
    <pivotField axis="axisRow" showAll="0" sortType="descending">
      <items count="34">
        <item x="14"/>
        <item x="1"/>
        <item x="6"/>
        <item x="21"/>
        <item x="15"/>
        <item x="18"/>
        <item x="20"/>
        <item x="0"/>
        <item x="30"/>
        <item x="4"/>
        <item x="25"/>
        <item x="19"/>
        <item x="26"/>
        <item x="24"/>
        <item x="17"/>
        <item x="3"/>
        <item x="8"/>
        <item x="2"/>
        <item x="28"/>
        <item x="27"/>
        <item x="32"/>
        <item x="31"/>
        <item x="12"/>
        <item x="22"/>
        <item x="29"/>
        <item x="5"/>
        <item x="23"/>
        <item x="10"/>
        <item x="7"/>
        <item x="9"/>
        <item x="13"/>
        <item x="16"/>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5">
        <item x="0"/>
        <item x="3"/>
        <item x="2"/>
        <item x="1"/>
        <item t="default"/>
      </items>
    </pivotField>
    <pivotField showAll="0"/>
    <pivotField numFmtId="14" showAll="0"/>
    <pivotField showAll="0"/>
    <pivotField showAll="0">
      <items count="13">
        <item x="11"/>
        <item x="0"/>
        <item x="2"/>
        <item x="3"/>
        <item x="9"/>
        <item x="4"/>
        <item x="8"/>
        <item x="6"/>
        <item x="5"/>
        <item x="1"/>
        <item x="7"/>
        <item x="10"/>
        <item t="default"/>
      </items>
    </pivotField>
    <pivotField showAll="0"/>
    <pivotField numFmtId="44" showAll="0"/>
    <pivotField numFmtId="9" showAll="0"/>
    <pivotField numFmtId="44" showAll="0"/>
    <pivotField numFmtId="44" showAll="0"/>
    <pivotField showAll="0">
      <items count="4">
        <item x="2"/>
        <item x="1"/>
        <item x="0"/>
        <item t="default"/>
      </items>
    </pivotField>
    <pivotField showAll="0"/>
    <pivotField showAll="0">
      <items count="92">
        <item x="25"/>
        <item x="5"/>
        <item x="63"/>
        <item x="78"/>
        <item x="37"/>
        <item x="50"/>
        <item x="49"/>
        <item x="65"/>
        <item x="43"/>
        <item x="71"/>
        <item x="77"/>
        <item x="36"/>
        <item x="1"/>
        <item x="27"/>
        <item x="61"/>
        <item x="14"/>
        <item x="60"/>
        <item x="17"/>
        <item x="33"/>
        <item x="29"/>
        <item x="4"/>
        <item x="12"/>
        <item x="72"/>
        <item x="32"/>
        <item x="54"/>
        <item x="22"/>
        <item x="58"/>
        <item x="48"/>
        <item x="35"/>
        <item x="28"/>
        <item x="86"/>
        <item x="18"/>
        <item x="40"/>
        <item x="3"/>
        <item x="67"/>
        <item x="2"/>
        <item x="31"/>
        <item x="21"/>
        <item x="10"/>
        <item x="24"/>
        <item x="6"/>
        <item x="80"/>
        <item x="59"/>
        <item x="73"/>
        <item x="16"/>
        <item x="87"/>
        <item x="44"/>
        <item x="83"/>
        <item x="74"/>
        <item x="46"/>
        <item x="26"/>
        <item x="52"/>
        <item x="66"/>
        <item x="57"/>
        <item x="75"/>
        <item x="81"/>
        <item x="76"/>
        <item x="39"/>
        <item x="70"/>
        <item x="19"/>
        <item x="88"/>
        <item x="69"/>
        <item x="82"/>
        <item x="55"/>
        <item x="90"/>
        <item x="30"/>
        <item x="62"/>
        <item x="7"/>
        <item x="89"/>
        <item x="11"/>
        <item x="23"/>
        <item x="15"/>
        <item x="9"/>
        <item x="79"/>
        <item x="8"/>
        <item x="38"/>
        <item x="34"/>
        <item x="20"/>
        <item x="13"/>
        <item x="64"/>
        <item x="42"/>
        <item x="47"/>
        <item x="84"/>
        <item x="68"/>
        <item x="45"/>
        <item x="56"/>
        <item x="85"/>
        <item x="51"/>
        <item x="53"/>
        <item x="41"/>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s>
  <rowFields count="1">
    <field x="2"/>
  </rowFields>
  <rowItems count="34">
    <i>
      <x v="16"/>
    </i>
    <i>
      <x v="32"/>
    </i>
    <i>
      <x v="27"/>
    </i>
    <i>
      <x v="9"/>
    </i>
    <i>
      <x v="1"/>
    </i>
    <i>
      <x v="25"/>
    </i>
    <i>
      <x v="2"/>
    </i>
    <i>
      <x v="28"/>
    </i>
    <i>
      <x v="5"/>
    </i>
    <i>
      <x v="12"/>
    </i>
    <i>
      <x v="14"/>
    </i>
    <i>
      <x v="17"/>
    </i>
    <i>
      <x v="11"/>
    </i>
    <i>
      <x v="31"/>
    </i>
    <i>
      <x v="29"/>
    </i>
    <i>
      <x v="4"/>
    </i>
    <i>
      <x v="18"/>
    </i>
    <i>
      <x v="15"/>
    </i>
    <i>
      <x v="6"/>
    </i>
    <i>
      <x/>
    </i>
    <i>
      <x v="8"/>
    </i>
    <i>
      <x v="13"/>
    </i>
    <i>
      <x v="30"/>
    </i>
    <i>
      <x v="21"/>
    </i>
    <i>
      <x v="24"/>
    </i>
    <i>
      <x v="23"/>
    </i>
    <i>
      <x v="19"/>
    </i>
    <i>
      <x v="22"/>
    </i>
    <i>
      <x v="7"/>
    </i>
    <i>
      <x v="3"/>
    </i>
    <i>
      <x v="10"/>
    </i>
    <i>
      <x v="20"/>
    </i>
    <i>
      <x v="26"/>
    </i>
    <i t="grand">
      <x/>
    </i>
  </rowItems>
  <colItems count="1">
    <i/>
  </colItems>
  <dataFields count="1">
    <dataField name="Number of Employees" fld="0" subtotal="count" baseField="2" baseItem="16"/>
  </dataFields>
  <formats count="3">
    <format dxfId="111">
      <pivotArea field="2" type="button" dataOnly="0" labelOnly="1" outline="0" axis="axisRow" fieldPosition="0"/>
    </format>
    <format dxfId="110">
      <pivotArea dataOnly="0" labelOnly="1" outline="0" axis="axisValues" fieldPosition="0"/>
    </format>
    <format dxfId="109">
      <pivotArea collapsedLevelsAreSubtotals="1" fieldPosition="0">
        <references count="1">
          <reference field="2" count="11">
            <x v="1"/>
            <x v="2"/>
            <x v="5"/>
            <x v="9"/>
            <x v="12"/>
            <x v="14"/>
            <x v="16"/>
            <x v="25"/>
            <x v="27"/>
            <x v="28"/>
            <x v="32"/>
          </reference>
        </references>
      </pivotArea>
    </format>
  </formats>
  <conditionalFormats count="2">
    <conditionalFormat type="all" priority="2">
      <pivotAreas count="1">
        <pivotArea type="data" collapsedLevelsAreSubtotals="1" fieldPosition="0">
          <references count="2">
            <reference field="4294967294" count="1" selected="0">
              <x v="0"/>
            </reference>
            <reference field="2" count="33">
              <x v="0"/>
              <x v="1"/>
              <x v="2"/>
              <x v="3"/>
              <x v="4"/>
              <x v="5"/>
              <x v="6"/>
              <x v="7"/>
              <x v="8"/>
              <x v="9"/>
              <x v="10"/>
              <x v="11"/>
              <x v="12"/>
              <x v="13"/>
              <x v="14"/>
              <x v="15"/>
              <x v="16"/>
              <x v="17"/>
              <x v="18"/>
              <x v="19"/>
              <x v="20"/>
              <x v="21"/>
              <x v="22"/>
              <x v="23"/>
              <x v="24"/>
              <x v="25"/>
              <x v="26"/>
              <x v="27"/>
              <x v="28"/>
              <x v="29"/>
              <x v="30"/>
              <x v="31"/>
              <x v="32"/>
            </reference>
          </references>
        </pivotArea>
      </pivotAreas>
    </conditionalFormat>
    <conditionalFormat type="all" priority="1">
      <pivotAreas count="1">
        <pivotArea type="data" collapsedLevelsAreSubtotals="1" fieldPosition="0">
          <references count="2">
            <reference field="4294967294" count="1" selected="0">
              <x v="0"/>
            </reference>
            <reference field="2" count="33">
              <x v="0"/>
              <x v="1"/>
              <x v="2"/>
              <x v="3"/>
              <x v="4"/>
              <x v="5"/>
              <x v="6"/>
              <x v="7"/>
              <x v="8"/>
              <x v="9"/>
              <x v="10"/>
              <x v="11"/>
              <x v="12"/>
              <x v="13"/>
              <x v="14"/>
              <x v="15"/>
              <x v="16"/>
              <x v="17"/>
              <x v="18"/>
              <x v="19"/>
              <x v="20"/>
              <x v="21"/>
              <x v="22"/>
              <x v="23"/>
              <x v="24"/>
              <x v="25"/>
              <x v="26"/>
              <x v="27"/>
              <x v="28"/>
              <x v="29"/>
              <x v="30"/>
              <x v="31"/>
              <x v="3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3283F3-AF61-498F-AAB1-32E8B01BAA6D}" name="Count of Employees by Dep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Department">
  <location ref="A1:D9" firstHeaderRow="0" firstDataRow="1" firstDataCol="1"/>
  <pivotFields count="23">
    <pivotField dataField="1" showAll="0">
      <items count="8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29"/>
        <item x="830"/>
        <item x="824"/>
        <item x="825"/>
        <item x="826"/>
        <item x="827"/>
        <item x="828"/>
        <item x="803"/>
        <item x="804"/>
        <item x="805"/>
        <item x="806"/>
        <item x="807"/>
        <item x="808"/>
        <item x="809"/>
        <item x="810"/>
        <item x="811"/>
        <item x="812"/>
        <item x="813"/>
        <item x="814"/>
        <item x="815"/>
        <item x="819"/>
        <item x="820"/>
        <item x="821"/>
        <item x="822"/>
        <item x="823"/>
        <item x="816"/>
        <item x="817"/>
        <item x="818"/>
        <item t="default"/>
      </items>
    </pivotField>
    <pivotField showAll="0"/>
    <pivotField showAll="0" sortType="descending">
      <items count="34">
        <item x="14"/>
        <item x="1"/>
        <item x="6"/>
        <item x="21"/>
        <item x="15"/>
        <item x="18"/>
        <item x="20"/>
        <item x="0"/>
        <item x="30"/>
        <item x="4"/>
        <item x="25"/>
        <item x="19"/>
        <item x="26"/>
        <item x="24"/>
        <item x="17"/>
        <item x="3"/>
        <item x="8"/>
        <item x="2"/>
        <item x="28"/>
        <item x="27"/>
        <item x="32"/>
        <item x="31"/>
        <item x="12"/>
        <item x="22"/>
        <item x="29"/>
        <item x="5"/>
        <item x="23"/>
        <item x="10"/>
        <item x="7"/>
        <item x="9"/>
        <item x="13"/>
        <item x="16"/>
        <item x="11"/>
        <item t="default"/>
      </items>
      <autoSortScope>
        <pivotArea dataOnly="0" outline="0" fieldPosition="0">
          <references count="1">
            <reference field="4294967294" count="1" selected="0">
              <x v="0"/>
            </reference>
          </references>
        </pivotArea>
      </autoSortScope>
    </pivotField>
    <pivotField axis="axisRow" showAll="0" sortType="descending">
      <items count="8">
        <item x="3"/>
        <item x="0"/>
        <item x="4"/>
        <item x="6"/>
        <item x="2"/>
        <item x="5"/>
        <item x="1"/>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0"/>
        <item x="3"/>
        <item x="2"/>
        <item x="1"/>
        <item t="default"/>
      </items>
    </pivotField>
    <pivotField showAll="0"/>
    <pivotField numFmtId="14" showAll="0"/>
    <pivotField showAll="0"/>
    <pivotField showAll="0">
      <items count="13">
        <item x="11"/>
        <item x="0"/>
        <item x="2"/>
        <item x="3"/>
        <item x="9"/>
        <item x="4"/>
        <item x="8"/>
        <item x="6"/>
        <item x="5"/>
        <item x="1"/>
        <item x="7"/>
        <item x="10"/>
        <item t="default"/>
      </items>
    </pivotField>
    <pivotField showAll="0"/>
    <pivotField numFmtId="44" showAll="0"/>
    <pivotField numFmtId="9" showAll="0"/>
    <pivotField numFmtId="44" showAll="0"/>
    <pivotField dataField="1" numFmtId="44" showAll="0"/>
    <pivotField showAll="0">
      <items count="4">
        <item x="2"/>
        <item x="1"/>
        <item x="0"/>
        <item t="default"/>
      </items>
    </pivotField>
    <pivotField showAll="0"/>
    <pivotField showAll="0">
      <items count="92">
        <item x="25"/>
        <item x="5"/>
        <item x="63"/>
        <item x="78"/>
        <item x="37"/>
        <item x="50"/>
        <item x="49"/>
        <item x="65"/>
        <item x="43"/>
        <item x="71"/>
        <item x="77"/>
        <item x="36"/>
        <item x="1"/>
        <item x="27"/>
        <item x="61"/>
        <item x="14"/>
        <item x="60"/>
        <item x="17"/>
        <item x="33"/>
        <item x="29"/>
        <item x="4"/>
        <item x="12"/>
        <item x="72"/>
        <item x="32"/>
        <item x="54"/>
        <item x="22"/>
        <item x="58"/>
        <item x="48"/>
        <item x="35"/>
        <item x="28"/>
        <item x="86"/>
        <item x="18"/>
        <item x="40"/>
        <item x="3"/>
        <item x="67"/>
        <item x="2"/>
        <item x="31"/>
        <item x="21"/>
        <item x="10"/>
        <item x="24"/>
        <item x="6"/>
        <item x="80"/>
        <item x="59"/>
        <item x="73"/>
        <item x="16"/>
        <item x="87"/>
        <item x="44"/>
        <item x="83"/>
        <item x="74"/>
        <item x="46"/>
        <item x="26"/>
        <item x="52"/>
        <item x="66"/>
        <item x="57"/>
        <item x="75"/>
        <item x="81"/>
        <item x="76"/>
        <item x="39"/>
        <item x="70"/>
        <item x="19"/>
        <item x="88"/>
        <item x="69"/>
        <item x="82"/>
        <item x="55"/>
        <item x="90"/>
        <item x="30"/>
        <item x="62"/>
        <item x="7"/>
        <item x="89"/>
        <item x="11"/>
        <item x="23"/>
        <item x="15"/>
        <item x="9"/>
        <item x="79"/>
        <item x="8"/>
        <item x="38"/>
        <item x="34"/>
        <item x="20"/>
        <item x="13"/>
        <item x="64"/>
        <item x="42"/>
        <item x="47"/>
        <item x="84"/>
        <item x="68"/>
        <item x="45"/>
        <item x="56"/>
        <item x="85"/>
        <item x="51"/>
        <item x="53"/>
        <item x="41"/>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s>
  <rowFields count="1">
    <field x="3"/>
  </rowFields>
  <rowItems count="8">
    <i>
      <x v="4"/>
    </i>
    <i>
      <x v="6"/>
    </i>
    <i>
      <x v="1"/>
    </i>
    <i>
      <x/>
    </i>
    <i>
      <x v="3"/>
    </i>
    <i>
      <x v="5"/>
    </i>
    <i>
      <x v="2"/>
    </i>
    <i t="grand">
      <x/>
    </i>
  </rowItems>
  <colFields count="1">
    <field x="-2"/>
  </colFields>
  <colItems count="3">
    <i>
      <x/>
    </i>
    <i i="1">
      <x v="1"/>
    </i>
    <i i="2">
      <x v="2"/>
    </i>
  </colItems>
  <dataFields count="3">
    <dataField name="Number of Employees" fld="0" subtotal="count" baseField="2" baseItem="16"/>
    <dataField name="Total Salary" fld="15" baseField="3" baseItem="4" numFmtId="44"/>
    <dataField name="Sum of Gross Salary" fld="15" showDataAs="percentOfTotal" baseField="0" baseItem="0" numFmtId="10"/>
  </dataFields>
  <formats count="8">
    <format dxfId="108">
      <pivotArea field="2" type="button" dataOnly="0" labelOnly="1" outline="0"/>
    </format>
    <format dxfId="107">
      <pivotArea dataOnly="0" labelOnly="1" outline="0" axis="axisValues" fieldPosition="0"/>
    </format>
    <format dxfId="106">
      <pivotArea dataOnly="0" labelOnly="1" outline="0" fieldPosition="0">
        <references count="1">
          <reference field="4294967294" count="1">
            <x v="1"/>
          </reference>
        </references>
      </pivotArea>
    </format>
    <format dxfId="105">
      <pivotArea field="3" type="button" dataOnly="0" labelOnly="1" outline="0" axis="axisRow" fieldPosition="0"/>
    </format>
    <format dxfId="104">
      <pivotArea dataOnly="0" labelOnly="1" outline="0" fieldPosition="0">
        <references count="1">
          <reference field="4294967294" count="1">
            <x v="0"/>
          </reference>
        </references>
      </pivotArea>
    </format>
    <format dxfId="103">
      <pivotArea field="3" type="button" dataOnly="0" labelOnly="1" outline="0" axis="axisRow" fieldPosition="0"/>
    </format>
    <format dxfId="102">
      <pivotArea dataOnly="0" labelOnly="1" outline="0" fieldPosition="0">
        <references count="1">
          <reference field="4294967294" count="2">
            <x v="0"/>
            <x v="1"/>
          </reference>
        </references>
      </pivotArea>
    </format>
    <format dxfId="101">
      <pivotArea outline="0"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6BC2FB1-F4B5-4F66-A2CA-E8435F1C0297}" name="Business Pay by Gender 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Department">
  <location ref="D3:E8" firstHeaderRow="1" firstDataRow="1" firstDataCol="1" rowPageCount="1" colPageCount="1"/>
  <pivotFields count="23">
    <pivotField showAll="0">
      <items count="8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29"/>
        <item x="830"/>
        <item x="824"/>
        <item x="825"/>
        <item x="826"/>
        <item x="827"/>
        <item x="828"/>
        <item x="803"/>
        <item x="804"/>
        <item x="805"/>
        <item x="806"/>
        <item x="807"/>
        <item x="808"/>
        <item x="809"/>
        <item x="810"/>
        <item x="811"/>
        <item x="812"/>
        <item x="813"/>
        <item x="814"/>
        <item x="815"/>
        <item x="819"/>
        <item x="820"/>
        <item x="821"/>
        <item x="822"/>
        <item x="823"/>
        <item x="816"/>
        <item x="817"/>
        <item x="818"/>
        <item t="default"/>
      </items>
    </pivotField>
    <pivotField showAll="0"/>
    <pivotField showAll="0">
      <items count="34">
        <item x="14"/>
        <item x="1"/>
        <item x="6"/>
        <item x="21"/>
        <item x="15"/>
        <item x="18"/>
        <item x="20"/>
        <item x="0"/>
        <item x="30"/>
        <item x="4"/>
        <item x="25"/>
        <item x="19"/>
        <item x="26"/>
        <item x="24"/>
        <item x="17"/>
        <item x="3"/>
        <item x="8"/>
        <item x="2"/>
        <item x="28"/>
        <item x="27"/>
        <item x="32"/>
        <item x="31"/>
        <item x="12"/>
        <item x="22"/>
        <item x="29"/>
        <item x="5"/>
        <item x="23"/>
        <item x="10"/>
        <item x="7"/>
        <item x="9"/>
        <item x="13"/>
        <item x="16"/>
        <item x="11"/>
        <item t="default"/>
      </items>
    </pivotField>
    <pivotField showAll="0">
      <items count="8">
        <item x="3"/>
        <item x="0"/>
        <item x="4"/>
        <item x="6"/>
        <item x="2"/>
        <item x="5"/>
        <item x="1"/>
        <item t="default"/>
      </items>
    </pivotField>
    <pivotField axis="axisRow" showAll="0">
      <items count="5">
        <item x="1"/>
        <item x="0"/>
        <item x="2"/>
        <item x="3"/>
        <item t="default"/>
      </items>
    </pivotField>
    <pivotField axis="axisPage" showAll="0">
      <items count="3">
        <item x="1"/>
        <item x="0"/>
        <item t="default"/>
      </items>
    </pivotField>
    <pivotField showAll="0">
      <items count="5">
        <item x="0"/>
        <item x="3"/>
        <item x="2"/>
        <item x="1"/>
        <item t="default"/>
      </items>
    </pivotField>
    <pivotField showAll="0"/>
    <pivotField numFmtId="14" showAll="0"/>
    <pivotField showAll="0"/>
    <pivotField showAll="0">
      <items count="13">
        <item x="11"/>
        <item x="0"/>
        <item x="2"/>
        <item x="3"/>
        <item x="9"/>
        <item x="4"/>
        <item x="8"/>
        <item x="6"/>
        <item x="5"/>
        <item x="1"/>
        <item x="7"/>
        <item x="10"/>
        <item t="default"/>
      </items>
    </pivotField>
    <pivotField showAll="0"/>
    <pivotField numFmtId="44" showAll="0"/>
    <pivotField numFmtId="9" showAll="0"/>
    <pivotField numFmtId="44" showAll="0"/>
    <pivotField dataField="1" numFmtId="44" showAll="0"/>
    <pivotField showAll="0">
      <items count="4">
        <item x="2"/>
        <item x="1"/>
        <item x="0"/>
        <item t="default"/>
      </items>
    </pivotField>
    <pivotField showAll="0"/>
    <pivotField showAll="0">
      <items count="92">
        <item x="25"/>
        <item x="5"/>
        <item x="63"/>
        <item x="78"/>
        <item x="37"/>
        <item x="50"/>
        <item x="49"/>
        <item x="65"/>
        <item x="43"/>
        <item x="71"/>
        <item x="77"/>
        <item x="36"/>
        <item x="1"/>
        <item x="27"/>
        <item x="61"/>
        <item x="14"/>
        <item x="60"/>
        <item x="17"/>
        <item x="33"/>
        <item x="29"/>
        <item x="4"/>
        <item x="12"/>
        <item x="72"/>
        <item x="32"/>
        <item x="54"/>
        <item x="22"/>
        <item x="58"/>
        <item x="48"/>
        <item x="35"/>
        <item x="28"/>
        <item x="86"/>
        <item x="18"/>
        <item x="40"/>
        <item x="3"/>
        <item x="67"/>
        <item x="2"/>
        <item x="31"/>
        <item x="21"/>
        <item x="10"/>
        <item x="24"/>
        <item x="6"/>
        <item x="80"/>
        <item x="59"/>
        <item x="73"/>
        <item x="16"/>
        <item x="87"/>
        <item x="44"/>
        <item x="83"/>
        <item x="74"/>
        <item x="46"/>
        <item x="26"/>
        <item x="52"/>
        <item x="66"/>
        <item x="57"/>
        <item x="75"/>
        <item x="81"/>
        <item x="76"/>
        <item x="39"/>
        <item x="70"/>
        <item x="19"/>
        <item x="88"/>
        <item x="69"/>
        <item x="82"/>
        <item x="55"/>
        <item x="90"/>
        <item x="30"/>
        <item x="62"/>
        <item x="7"/>
        <item x="89"/>
        <item x="11"/>
        <item x="23"/>
        <item x="15"/>
        <item x="9"/>
        <item x="79"/>
        <item x="8"/>
        <item x="38"/>
        <item x="34"/>
        <item x="20"/>
        <item x="13"/>
        <item x="64"/>
        <item x="42"/>
        <item x="47"/>
        <item x="84"/>
        <item x="68"/>
        <item x="45"/>
        <item x="56"/>
        <item x="85"/>
        <item x="51"/>
        <item x="53"/>
        <item x="41"/>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s>
  <rowFields count="1">
    <field x="4"/>
  </rowFields>
  <rowItems count="5">
    <i>
      <x/>
    </i>
    <i>
      <x v="1"/>
    </i>
    <i>
      <x v="2"/>
    </i>
    <i>
      <x v="3"/>
    </i>
    <i t="grand">
      <x/>
    </i>
  </rowItems>
  <colItems count="1">
    <i/>
  </colItems>
  <pageFields count="1">
    <pageField fld="5" item="0" hier="-1"/>
  </pageFields>
  <dataFields count="1">
    <dataField name="Sum of Gross Salary" fld="15" baseField="0" baseItem="0" numFmtId="44"/>
  </dataFields>
  <formats count="5">
    <format dxfId="95">
      <pivotArea field="2" type="button" dataOnly="0" labelOnly="1" outline="0"/>
    </format>
    <format dxfId="94">
      <pivotArea dataOnly="0" labelOnly="1" outline="0" axis="axisValues" fieldPosition="0"/>
    </format>
    <format dxfId="93">
      <pivotArea field="3" type="button" dataOnly="0" labelOnly="1" outline="0"/>
    </format>
    <format dxfId="92">
      <pivotArea field="3" type="button" dataOnly="0" labelOnly="1" outline="0"/>
    </format>
    <format dxfId="91">
      <pivotArea field="4"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0EAA8B-F379-4149-B64B-E93518B1A321}" name="Salary by Business 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Department">
  <location ref="A3:B8" firstHeaderRow="1" firstDataRow="1" firstDataCol="1" rowPageCount="1" colPageCount="1"/>
  <pivotFields count="23">
    <pivotField showAll="0">
      <items count="8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29"/>
        <item x="830"/>
        <item x="824"/>
        <item x="825"/>
        <item x="826"/>
        <item x="827"/>
        <item x="828"/>
        <item x="803"/>
        <item x="804"/>
        <item x="805"/>
        <item x="806"/>
        <item x="807"/>
        <item x="808"/>
        <item x="809"/>
        <item x="810"/>
        <item x="811"/>
        <item x="812"/>
        <item x="813"/>
        <item x="814"/>
        <item x="815"/>
        <item x="819"/>
        <item x="820"/>
        <item x="821"/>
        <item x="822"/>
        <item x="823"/>
        <item x="816"/>
        <item x="817"/>
        <item x="818"/>
        <item t="default"/>
      </items>
    </pivotField>
    <pivotField showAll="0"/>
    <pivotField showAll="0">
      <items count="34">
        <item x="14"/>
        <item x="1"/>
        <item x="6"/>
        <item x="21"/>
        <item x="15"/>
        <item x="18"/>
        <item x="20"/>
        <item x="0"/>
        <item x="30"/>
        <item x="4"/>
        <item x="25"/>
        <item x="19"/>
        <item x="26"/>
        <item x="24"/>
        <item x="17"/>
        <item x="3"/>
        <item x="8"/>
        <item x="2"/>
        <item x="28"/>
        <item x="27"/>
        <item x="32"/>
        <item x="31"/>
        <item x="12"/>
        <item x="22"/>
        <item x="29"/>
        <item x="5"/>
        <item x="23"/>
        <item x="10"/>
        <item x="7"/>
        <item x="9"/>
        <item x="13"/>
        <item x="16"/>
        <item x="11"/>
        <item t="default"/>
      </items>
    </pivotField>
    <pivotField showAll="0">
      <items count="8">
        <item x="3"/>
        <item x="0"/>
        <item x="4"/>
        <item x="6"/>
        <item x="2"/>
        <item x="5"/>
        <item x="1"/>
        <item t="default"/>
      </items>
    </pivotField>
    <pivotField axis="axisRow" showAll="0">
      <items count="5">
        <item x="1"/>
        <item x="0"/>
        <item x="2"/>
        <item x="3"/>
        <item t="default"/>
      </items>
    </pivotField>
    <pivotField axis="axisPage" showAll="0">
      <items count="3">
        <item x="1"/>
        <item x="0"/>
        <item t="default"/>
      </items>
    </pivotField>
    <pivotField showAll="0">
      <items count="5">
        <item x="0"/>
        <item x="3"/>
        <item x="2"/>
        <item x="1"/>
        <item t="default"/>
      </items>
    </pivotField>
    <pivotField showAll="0"/>
    <pivotField numFmtId="14" showAll="0"/>
    <pivotField showAll="0"/>
    <pivotField showAll="0">
      <items count="13">
        <item x="11"/>
        <item x="0"/>
        <item x="2"/>
        <item x="3"/>
        <item x="9"/>
        <item x="4"/>
        <item x="8"/>
        <item x="6"/>
        <item x="5"/>
        <item x="1"/>
        <item x="7"/>
        <item x="10"/>
        <item t="default"/>
      </items>
    </pivotField>
    <pivotField showAll="0"/>
    <pivotField numFmtId="44" showAll="0"/>
    <pivotField numFmtId="9" showAll="0"/>
    <pivotField numFmtId="44" showAll="0"/>
    <pivotField dataField="1" numFmtId="44" showAll="0"/>
    <pivotField showAll="0">
      <items count="4">
        <item x="2"/>
        <item x="1"/>
        <item x="0"/>
        <item t="default"/>
      </items>
    </pivotField>
    <pivotField showAll="0"/>
    <pivotField showAll="0">
      <items count="92">
        <item x="25"/>
        <item x="5"/>
        <item x="63"/>
        <item x="78"/>
        <item x="37"/>
        <item x="50"/>
        <item x="49"/>
        <item x="65"/>
        <item x="43"/>
        <item x="71"/>
        <item x="77"/>
        <item x="36"/>
        <item x="1"/>
        <item x="27"/>
        <item x="61"/>
        <item x="14"/>
        <item x="60"/>
        <item x="17"/>
        <item x="33"/>
        <item x="29"/>
        <item x="4"/>
        <item x="12"/>
        <item x="72"/>
        <item x="32"/>
        <item x="54"/>
        <item x="22"/>
        <item x="58"/>
        <item x="48"/>
        <item x="35"/>
        <item x="28"/>
        <item x="86"/>
        <item x="18"/>
        <item x="40"/>
        <item x="3"/>
        <item x="67"/>
        <item x="2"/>
        <item x="31"/>
        <item x="21"/>
        <item x="10"/>
        <item x="24"/>
        <item x="6"/>
        <item x="80"/>
        <item x="59"/>
        <item x="73"/>
        <item x="16"/>
        <item x="87"/>
        <item x="44"/>
        <item x="83"/>
        <item x="74"/>
        <item x="46"/>
        <item x="26"/>
        <item x="52"/>
        <item x="66"/>
        <item x="57"/>
        <item x="75"/>
        <item x="81"/>
        <item x="76"/>
        <item x="39"/>
        <item x="70"/>
        <item x="19"/>
        <item x="88"/>
        <item x="69"/>
        <item x="82"/>
        <item x="55"/>
        <item x="90"/>
        <item x="30"/>
        <item x="62"/>
        <item x="7"/>
        <item x="89"/>
        <item x="11"/>
        <item x="23"/>
        <item x="15"/>
        <item x="9"/>
        <item x="79"/>
        <item x="8"/>
        <item x="38"/>
        <item x="34"/>
        <item x="20"/>
        <item x="13"/>
        <item x="64"/>
        <item x="42"/>
        <item x="47"/>
        <item x="84"/>
        <item x="68"/>
        <item x="45"/>
        <item x="56"/>
        <item x="85"/>
        <item x="51"/>
        <item x="53"/>
        <item x="41"/>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s>
  <rowFields count="1">
    <field x="4"/>
  </rowFields>
  <rowItems count="5">
    <i>
      <x/>
    </i>
    <i>
      <x v="1"/>
    </i>
    <i>
      <x v="2"/>
    </i>
    <i>
      <x v="3"/>
    </i>
    <i t="grand">
      <x/>
    </i>
  </rowItems>
  <colItems count="1">
    <i/>
  </colItems>
  <pageFields count="1">
    <pageField fld="5" item="1" hier="-1"/>
  </pageFields>
  <dataFields count="1">
    <dataField name="Sum of Gross Salary" fld="15" baseField="0" baseItem="0" numFmtId="44"/>
  </dataFields>
  <formats count="5">
    <format dxfId="100">
      <pivotArea field="2" type="button" dataOnly="0" labelOnly="1" outline="0"/>
    </format>
    <format dxfId="99">
      <pivotArea dataOnly="0" labelOnly="1" outline="0" axis="axisValues" fieldPosition="0"/>
    </format>
    <format dxfId="98">
      <pivotArea field="3" type="button" dataOnly="0" labelOnly="1" outline="0"/>
    </format>
    <format dxfId="97">
      <pivotArea field="3" type="button" dataOnly="0" labelOnly="1" outline="0"/>
    </format>
    <format dxfId="96">
      <pivotArea field="4"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0970B04-C560-484E-BED1-BA7E7FB5E4BB}" name="Ethnic Grou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Ethnicity">
  <location ref="A1:C6" firstHeaderRow="0" firstDataRow="1" firstDataCol="1"/>
  <pivotFields count="23">
    <pivotField dataField="1" showAll="0">
      <items count="8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29"/>
        <item x="830"/>
        <item x="824"/>
        <item x="825"/>
        <item x="826"/>
        <item x="827"/>
        <item x="828"/>
        <item x="803"/>
        <item x="804"/>
        <item x="805"/>
        <item x="806"/>
        <item x="807"/>
        <item x="808"/>
        <item x="809"/>
        <item x="810"/>
        <item x="811"/>
        <item x="812"/>
        <item x="813"/>
        <item x="814"/>
        <item x="815"/>
        <item x="819"/>
        <item x="820"/>
        <item x="821"/>
        <item x="822"/>
        <item x="823"/>
        <item x="816"/>
        <item x="817"/>
        <item x="818"/>
        <item t="default"/>
      </items>
    </pivotField>
    <pivotField showAll="0"/>
    <pivotField showAll="0">
      <items count="34">
        <item x="14"/>
        <item x="1"/>
        <item x="6"/>
        <item x="21"/>
        <item x="15"/>
        <item x="18"/>
        <item x="20"/>
        <item x="0"/>
        <item x="30"/>
        <item x="4"/>
        <item x="25"/>
        <item x="19"/>
        <item x="26"/>
        <item x="24"/>
        <item x="17"/>
        <item x="3"/>
        <item x="8"/>
        <item x="2"/>
        <item x="28"/>
        <item x="27"/>
        <item x="32"/>
        <item x="31"/>
        <item x="12"/>
        <item x="22"/>
        <item x="29"/>
        <item x="5"/>
        <item x="23"/>
        <item x="10"/>
        <item x="7"/>
        <item x="9"/>
        <item x="13"/>
        <item x="16"/>
        <item x="11"/>
        <item t="default"/>
      </items>
    </pivotField>
    <pivotField showAll="0">
      <items count="8">
        <item x="3"/>
        <item x="0"/>
        <item x="4"/>
        <item x="6"/>
        <item x="2"/>
        <item x="5"/>
        <item x="1"/>
        <item t="default"/>
      </items>
    </pivotField>
    <pivotField showAll="0"/>
    <pivotField showAll="0">
      <items count="3">
        <item x="1"/>
        <item x="0"/>
        <item t="default"/>
      </items>
    </pivotField>
    <pivotField axis="axisRow" showAll="0" sortType="descending">
      <items count="5">
        <item x="0"/>
        <item x="3"/>
        <item x="2"/>
        <item x="1"/>
        <item t="default"/>
      </items>
      <autoSortScope>
        <pivotArea dataOnly="0" outline="0" fieldPosition="0">
          <references count="1">
            <reference field="4294967294" count="1" selected="0">
              <x v="0"/>
            </reference>
          </references>
        </pivotArea>
      </autoSortScope>
    </pivotField>
    <pivotField showAll="0"/>
    <pivotField numFmtId="14" showAll="0"/>
    <pivotField showAll="0"/>
    <pivotField showAll="0">
      <items count="13">
        <item x="11"/>
        <item x="0"/>
        <item x="2"/>
        <item x="3"/>
        <item x="9"/>
        <item x="4"/>
        <item x="8"/>
        <item x="6"/>
        <item x="5"/>
        <item x="1"/>
        <item x="7"/>
        <item x="10"/>
        <item t="default"/>
      </items>
    </pivotField>
    <pivotField showAll="0"/>
    <pivotField numFmtId="44" showAll="0"/>
    <pivotField numFmtId="9" showAll="0"/>
    <pivotField numFmtId="44" showAll="0"/>
    <pivotField numFmtId="44" showAll="0"/>
    <pivotField showAll="0">
      <items count="4">
        <item x="2"/>
        <item x="1"/>
        <item x="0"/>
        <item t="default"/>
      </items>
    </pivotField>
    <pivotField showAll="0"/>
    <pivotField showAll="0">
      <items count="92">
        <item x="25"/>
        <item x="5"/>
        <item x="63"/>
        <item x="78"/>
        <item x="37"/>
        <item x="50"/>
        <item x="49"/>
        <item x="65"/>
        <item x="43"/>
        <item x="71"/>
        <item x="77"/>
        <item x="36"/>
        <item x="1"/>
        <item x="27"/>
        <item x="61"/>
        <item x="14"/>
        <item x="60"/>
        <item x="17"/>
        <item x="33"/>
        <item x="29"/>
        <item x="4"/>
        <item x="12"/>
        <item x="72"/>
        <item x="32"/>
        <item x="54"/>
        <item x="22"/>
        <item x="58"/>
        <item x="48"/>
        <item x="35"/>
        <item x="28"/>
        <item x="86"/>
        <item x="18"/>
        <item x="40"/>
        <item x="3"/>
        <item x="67"/>
        <item x="2"/>
        <item x="31"/>
        <item x="21"/>
        <item x="10"/>
        <item x="24"/>
        <item x="6"/>
        <item x="80"/>
        <item x="59"/>
        <item x="73"/>
        <item x="16"/>
        <item x="87"/>
        <item x="44"/>
        <item x="83"/>
        <item x="74"/>
        <item x="46"/>
        <item x="26"/>
        <item x="52"/>
        <item x="66"/>
        <item x="57"/>
        <item x="75"/>
        <item x="81"/>
        <item x="76"/>
        <item x="39"/>
        <item x="70"/>
        <item x="19"/>
        <item x="88"/>
        <item x="69"/>
        <item x="82"/>
        <item x="55"/>
        <item x="90"/>
        <item x="30"/>
        <item x="62"/>
        <item x="7"/>
        <item x="89"/>
        <item x="11"/>
        <item x="23"/>
        <item x="15"/>
        <item x="9"/>
        <item x="79"/>
        <item x="8"/>
        <item x="38"/>
        <item x="34"/>
        <item x="20"/>
        <item x="13"/>
        <item x="64"/>
        <item x="42"/>
        <item x="47"/>
        <item x="84"/>
        <item x="68"/>
        <item x="45"/>
        <item x="56"/>
        <item x="85"/>
        <item x="51"/>
        <item x="53"/>
        <item x="41"/>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s>
  <rowFields count="1">
    <field x="6"/>
  </rowFields>
  <rowItems count="5">
    <i>
      <x/>
    </i>
    <i>
      <x v="3"/>
    </i>
    <i>
      <x v="2"/>
    </i>
    <i>
      <x v="1"/>
    </i>
    <i t="grand">
      <x/>
    </i>
  </rowItems>
  <colFields count="1">
    <field x="-2"/>
  </colFields>
  <colItems count="2">
    <i>
      <x/>
    </i>
    <i i="1">
      <x v="1"/>
    </i>
  </colItems>
  <dataFields count="2">
    <dataField name="Number of Employees" fld="0" subtotal="count" baseField="6" baseItem="0"/>
    <dataField name="% of Employees" fld="0" subtotal="count" showDataAs="percentOfTotal" baseField="0" baseItem="0" numFmtId="10"/>
  </dataFields>
  <formats count="9">
    <format dxfId="90">
      <pivotArea field="2" type="button" dataOnly="0" labelOnly="1" outline="0"/>
    </format>
    <format dxfId="89">
      <pivotArea dataOnly="0" labelOnly="1" outline="0" axis="axisValues" fieldPosition="0"/>
    </format>
    <format dxfId="88">
      <pivotArea field="3" type="button" dataOnly="0" labelOnly="1" outline="0"/>
    </format>
    <format dxfId="87">
      <pivotArea field="3" type="button" dataOnly="0" labelOnly="1" outline="0"/>
    </format>
    <format dxfId="86">
      <pivotArea outline="0" fieldPosition="0">
        <references count="1">
          <reference field="4294967294" count="1">
            <x v="1"/>
          </reference>
        </references>
      </pivotArea>
    </format>
    <format dxfId="85">
      <pivotArea field="6" type="button" dataOnly="0" labelOnly="1" outline="0" axis="axisRow" fieldPosition="0"/>
    </format>
    <format dxfId="84">
      <pivotArea dataOnly="0" labelOnly="1" outline="0" fieldPosition="0">
        <references count="1">
          <reference field="4294967294" count="2">
            <x v="0"/>
            <x v="1"/>
          </reference>
        </references>
      </pivotArea>
    </format>
    <format dxfId="83">
      <pivotArea field="6" type="button" dataOnly="0" labelOnly="1" outline="0" axis="axisRow" fieldPosition="0"/>
    </format>
    <format dxfId="82">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DE5A5C1-A4E9-40E5-9279-1CF1ED9DE65F}" name="Bonus Pay by Dep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Department">
  <location ref="A2:B10" firstHeaderRow="1" firstDataRow="1" firstDataCol="1"/>
  <pivotFields count="23">
    <pivotField showAll="0">
      <items count="8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29"/>
        <item x="830"/>
        <item x="824"/>
        <item x="825"/>
        <item x="826"/>
        <item x="827"/>
        <item x="828"/>
        <item x="803"/>
        <item x="804"/>
        <item x="805"/>
        <item x="806"/>
        <item x="807"/>
        <item x="808"/>
        <item x="809"/>
        <item x="810"/>
        <item x="811"/>
        <item x="812"/>
        <item x="813"/>
        <item x="814"/>
        <item x="815"/>
        <item x="819"/>
        <item x="820"/>
        <item x="821"/>
        <item x="822"/>
        <item x="823"/>
        <item x="816"/>
        <item x="817"/>
        <item x="818"/>
        <item t="default"/>
      </items>
    </pivotField>
    <pivotField showAll="0"/>
    <pivotField showAll="0">
      <items count="34">
        <item x="14"/>
        <item x="1"/>
        <item x="6"/>
        <item x="21"/>
        <item x="15"/>
        <item x="18"/>
        <item x="20"/>
        <item x="0"/>
        <item x="30"/>
        <item x="4"/>
        <item x="25"/>
        <item x="19"/>
        <item x="26"/>
        <item x="24"/>
        <item x="17"/>
        <item x="3"/>
        <item x="8"/>
        <item x="2"/>
        <item x="28"/>
        <item x="27"/>
        <item x="32"/>
        <item x="31"/>
        <item x="12"/>
        <item x="22"/>
        <item x="29"/>
        <item x="5"/>
        <item x="23"/>
        <item x="10"/>
        <item x="7"/>
        <item x="9"/>
        <item x="13"/>
        <item x="16"/>
        <item x="11"/>
        <item t="default"/>
      </items>
    </pivotField>
    <pivotField axis="axisRow" showAll="0" sortType="descending">
      <items count="8">
        <item x="3"/>
        <item x="0"/>
        <item x="4"/>
        <item x="6"/>
        <item x="2"/>
        <item x="5"/>
        <item x="1"/>
        <item t="default"/>
      </items>
      <autoSortScope>
        <pivotArea dataOnly="0" outline="0" fieldPosition="0">
          <references count="1">
            <reference field="4294967294" count="1" selected="0">
              <x v="0"/>
            </reference>
          </references>
        </pivotArea>
      </autoSortScope>
    </pivotField>
    <pivotField showAll="0"/>
    <pivotField showAll="0">
      <items count="3">
        <item x="1"/>
        <item x="0"/>
        <item t="default"/>
      </items>
    </pivotField>
    <pivotField showAll="0">
      <items count="5">
        <item x="0"/>
        <item x="3"/>
        <item x="2"/>
        <item x="1"/>
        <item t="default"/>
      </items>
    </pivotField>
    <pivotField showAll="0"/>
    <pivotField numFmtId="14" showAll="0"/>
    <pivotField showAll="0"/>
    <pivotField showAll="0">
      <items count="13">
        <item x="11"/>
        <item x="0"/>
        <item x="2"/>
        <item x="3"/>
        <item x="9"/>
        <item x="4"/>
        <item x="8"/>
        <item x="6"/>
        <item x="5"/>
        <item x="1"/>
        <item x="7"/>
        <item x="10"/>
        <item t="default"/>
      </items>
    </pivotField>
    <pivotField showAll="0"/>
    <pivotField numFmtId="44" showAll="0"/>
    <pivotField numFmtId="9" showAll="0"/>
    <pivotField dataField="1" numFmtId="44" showAll="0"/>
    <pivotField numFmtId="44" showAll="0"/>
    <pivotField showAll="0">
      <items count="4">
        <item x="2"/>
        <item x="1"/>
        <item x="0"/>
        <item t="default"/>
      </items>
    </pivotField>
    <pivotField showAll="0"/>
    <pivotField showAll="0">
      <items count="92">
        <item x="25"/>
        <item x="5"/>
        <item x="63"/>
        <item x="78"/>
        <item x="37"/>
        <item x="50"/>
        <item x="49"/>
        <item x="65"/>
        <item x="43"/>
        <item x="71"/>
        <item x="77"/>
        <item x="36"/>
        <item x="1"/>
        <item x="27"/>
        <item x="61"/>
        <item x="14"/>
        <item x="60"/>
        <item x="17"/>
        <item x="33"/>
        <item x="29"/>
        <item x="4"/>
        <item x="12"/>
        <item x="72"/>
        <item x="32"/>
        <item x="54"/>
        <item x="22"/>
        <item x="58"/>
        <item x="48"/>
        <item x="35"/>
        <item x="28"/>
        <item x="86"/>
        <item x="18"/>
        <item x="40"/>
        <item x="3"/>
        <item x="67"/>
        <item x="2"/>
        <item x="31"/>
        <item x="21"/>
        <item x="10"/>
        <item x="24"/>
        <item x="6"/>
        <item x="80"/>
        <item x="59"/>
        <item x="73"/>
        <item x="16"/>
        <item x="87"/>
        <item x="44"/>
        <item x="83"/>
        <item x="74"/>
        <item x="46"/>
        <item x="26"/>
        <item x="52"/>
        <item x="66"/>
        <item x="57"/>
        <item x="75"/>
        <item x="81"/>
        <item x="76"/>
        <item x="39"/>
        <item x="70"/>
        <item x="19"/>
        <item x="88"/>
        <item x="69"/>
        <item x="82"/>
        <item x="55"/>
        <item x="90"/>
        <item x="30"/>
        <item x="62"/>
        <item x="7"/>
        <item x="89"/>
        <item x="11"/>
        <item x="23"/>
        <item x="15"/>
        <item x="9"/>
        <item x="79"/>
        <item x="8"/>
        <item x="38"/>
        <item x="34"/>
        <item x="20"/>
        <item x="13"/>
        <item x="64"/>
        <item x="42"/>
        <item x="47"/>
        <item x="84"/>
        <item x="68"/>
        <item x="45"/>
        <item x="56"/>
        <item x="85"/>
        <item x="51"/>
        <item x="53"/>
        <item x="41"/>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s>
  <rowFields count="1">
    <field x="3"/>
  </rowFields>
  <rowItems count="8">
    <i>
      <x/>
    </i>
    <i>
      <x v="3"/>
    </i>
    <i>
      <x v="5"/>
    </i>
    <i>
      <x v="6"/>
    </i>
    <i>
      <x v="4"/>
    </i>
    <i>
      <x v="2"/>
    </i>
    <i>
      <x v="1"/>
    </i>
    <i t="grand">
      <x/>
    </i>
  </rowItems>
  <colItems count="1">
    <i/>
  </colItems>
  <dataFields count="1">
    <dataField name="Accumulated Bonus" fld="14" baseField="3" baseItem="0" numFmtId="44"/>
  </dataFields>
  <formats count="4">
    <format dxfId="81">
      <pivotArea field="2" type="button" dataOnly="0" labelOnly="1" outline="0"/>
    </format>
    <format dxfId="80">
      <pivotArea dataOnly="0" labelOnly="1" outline="0" axis="axisValues" fieldPosition="0"/>
    </format>
    <format dxfId="79">
      <pivotArea field="3" type="button" dataOnly="0" labelOnly="1" outline="0" axis="axisRow" fieldPosition="0"/>
    </format>
    <format dxfId="78">
      <pivotArea field="3"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E43B5DF-260C-4BF4-9E6A-564C08026D37}" name="Hire by Da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Hire  Day">
  <location ref="A2:B10" firstHeaderRow="1" firstDataRow="1" firstDataCol="1"/>
  <pivotFields count="23">
    <pivotField dataField="1" showAll="0">
      <items count="8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29"/>
        <item x="830"/>
        <item x="824"/>
        <item x="825"/>
        <item x="826"/>
        <item x="827"/>
        <item x="828"/>
        <item x="803"/>
        <item x="804"/>
        <item x="805"/>
        <item x="806"/>
        <item x="807"/>
        <item x="808"/>
        <item x="809"/>
        <item x="810"/>
        <item x="811"/>
        <item x="812"/>
        <item x="813"/>
        <item x="814"/>
        <item x="815"/>
        <item x="819"/>
        <item x="820"/>
        <item x="821"/>
        <item x="822"/>
        <item x="823"/>
        <item x="816"/>
        <item x="817"/>
        <item x="818"/>
        <item t="default"/>
      </items>
    </pivotField>
    <pivotField showAll="0"/>
    <pivotField showAll="0">
      <items count="34">
        <item x="14"/>
        <item x="1"/>
        <item x="6"/>
        <item x="21"/>
        <item x="15"/>
        <item x="18"/>
        <item x="20"/>
        <item x="0"/>
        <item x="30"/>
        <item x="4"/>
        <item x="25"/>
        <item x="19"/>
        <item x="26"/>
        <item x="24"/>
        <item x="17"/>
        <item x="3"/>
        <item x="8"/>
        <item x="2"/>
        <item x="28"/>
        <item x="27"/>
        <item x="32"/>
        <item x="31"/>
        <item x="12"/>
        <item x="22"/>
        <item x="29"/>
        <item x="5"/>
        <item x="23"/>
        <item x="10"/>
        <item x="7"/>
        <item x="9"/>
        <item x="13"/>
        <item x="16"/>
        <item x="11"/>
        <item t="default"/>
      </items>
    </pivotField>
    <pivotField showAll="0">
      <items count="8">
        <item x="3"/>
        <item x="0"/>
        <item x="4"/>
        <item x="6"/>
        <item x="2"/>
        <item x="5"/>
        <item x="1"/>
        <item t="default"/>
      </items>
    </pivotField>
    <pivotField showAll="0"/>
    <pivotField showAll="0">
      <items count="3">
        <item x="1"/>
        <item x="0"/>
        <item t="default"/>
      </items>
    </pivotField>
    <pivotField showAll="0">
      <items count="5">
        <item x="0"/>
        <item x="3"/>
        <item x="2"/>
        <item x="1"/>
        <item t="default"/>
      </items>
    </pivotField>
    <pivotField showAll="0"/>
    <pivotField numFmtId="14" showAll="0"/>
    <pivotField axis="axisRow" showAll="0" sortType="descending">
      <items count="8">
        <item x="2"/>
        <item x="5"/>
        <item x="6"/>
        <item x="1"/>
        <item x="3"/>
        <item x="4"/>
        <item x="0"/>
        <item t="default"/>
      </items>
      <autoSortScope>
        <pivotArea dataOnly="0" outline="0" fieldPosition="0">
          <references count="1">
            <reference field="4294967294" count="1" selected="0">
              <x v="0"/>
            </reference>
          </references>
        </pivotArea>
      </autoSortScope>
    </pivotField>
    <pivotField showAll="0">
      <items count="13">
        <item x="11"/>
        <item x="0"/>
        <item x="2"/>
        <item x="3"/>
        <item x="9"/>
        <item x="4"/>
        <item x="8"/>
        <item x="6"/>
        <item x="5"/>
        <item x="1"/>
        <item x="7"/>
        <item x="10"/>
        <item t="default"/>
      </items>
    </pivotField>
    <pivotField showAll="0"/>
    <pivotField numFmtId="44" showAll="0"/>
    <pivotField numFmtId="9" showAll="0"/>
    <pivotField numFmtId="44" showAll="0"/>
    <pivotField numFmtId="44" showAll="0"/>
    <pivotField showAll="0">
      <items count="4">
        <item x="2"/>
        <item x="1"/>
        <item x="0"/>
        <item t="default"/>
      </items>
    </pivotField>
    <pivotField showAll="0"/>
    <pivotField showAll="0">
      <items count="92">
        <item x="25"/>
        <item x="5"/>
        <item x="63"/>
        <item x="78"/>
        <item x="37"/>
        <item x="50"/>
        <item x="49"/>
        <item x="65"/>
        <item x="43"/>
        <item x="71"/>
        <item x="77"/>
        <item x="36"/>
        <item x="1"/>
        <item x="27"/>
        <item x="61"/>
        <item x="14"/>
        <item x="60"/>
        <item x="17"/>
        <item x="33"/>
        <item x="29"/>
        <item x="4"/>
        <item x="12"/>
        <item x="72"/>
        <item x="32"/>
        <item x="54"/>
        <item x="22"/>
        <item x="58"/>
        <item x="48"/>
        <item x="35"/>
        <item x="28"/>
        <item x="86"/>
        <item x="18"/>
        <item x="40"/>
        <item x="3"/>
        <item x="67"/>
        <item x="2"/>
        <item x="31"/>
        <item x="21"/>
        <item x="10"/>
        <item x="24"/>
        <item x="6"/>
        <item x="80"/>
        <item x="59"/>
        <item x="73"/>
        <item x="16"/>
        <item x="87"/>
        <item x="44"/>
        <item x="83"/>
        <item x="74"/>
        <item x="46"/>
        <item x="26"/>
        <item x="52"/>
        <item x="66"/>
        <item x="57"/>
        <item x="75"/>
        <item x="81"/>
        <item x="76"/>
        <item x="39"/>
        <item x="70"/>
        <item x="19"/>
        <item x="88"/>
        <item x="69"/>
        <item x="82"/>
        <item x="55"/>
        <item x="90"/>
        <item x="30"/>
        <item x="62"/>
        <item x="7"/>
        <item x="89"/>
        <item x="11"/>
        <item x="23"/>
        <item x="15"/>
        <item x="9"/>
        <item x="79"/>
        <item x="8"/>
        <item x="38"/>
        <item x="34"/>
        <item x="20"/>
        <item x="13"/>
        <item x="64"/>
        <item x="42"/>
        <item x="47"/>
        <item x="84"/>
        <item x="68"/>
        <item x="45"/>
        <item x="56"/>
        <item x="85"/>
        <item x="51"/>
        <item x="53"/>
        <item x="41"/>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s>
  <rowFields count="1">
    <field x="9"/>
  </rowFields>
  <rowItems count="8">
    <i>
      <x/>
    </i>
    <i>
      <x v="1"/>
    </i>
    <i>
      <x v="5"/>
    </i>
    <i>
      <x v="3"/>
    </i>
    <i>
      <x v="6"/>
    </i>
    <i>
      <x v="2"/>
    </i>
    <i>
      <x v="4"/>
    </i>
    <i t="grand">
      <x/>
    </i>
  </rowItems>
  <colItems count="1">
    <i/>
  </colItems>
  <dataFields count="1">
    <dataField name="Hired Employees" fld="0" subtotal="count" baseField="9" baseItem="0"/>
  </dataFields>
  <formats count="7">
    <format dxfId="77">
      <pivotArea field="2" type="button" dataOnly="0" labelOnly="1" outline="0"/>
    </format>
    <format dxfId="76">
      <pivotArea field="3" type="button" dataOnly="0" labelOnly="1" outline="0"/>
    </format>
    <format dxfId="75">
      <pivotArea field="3" type="button" dataOnly="0" labelOnly="1" outline="0"/>
    </format>
    <format dxfId="74">
      <pivotArea field="9" type="button" dataOnly="0" labelOnly="1" outline="0" axis="axisRow" fieldPosition="0"/>
    </format>
    <format dxfId="73">
      <pivotArea dataOnly="0" labelOnly="1" outline="0" axis="axisValues" fieldPosition="0"/>
    </format>
    <format dxfId="72">
      <pivotArea field="9" type="button" dataOnly="0" labelOnly="1" outline="0" axis="axisRow" fieldPosition="0"/>
    </format>
    <format dxfId="7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A2B390C-33D0-41D6-999A-3D472FC158FD}" name="Hire by Month"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Hire  Month">
  <location ref="A2:C15" firstHeaderRow="0" firstDataRow="1" firstDataCol="1"/>
  <pivotFields count="23">
    <pivotField dataField="1" showAll="0">
      <items count="8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29"/>
        <item x="830"/>
        <item x="824"/>
        <item x="825"/>
        <item x="826"/>
        <item x="827"/>
        <item x="828"/>
        <item x="803"/>
        <item x="804"/>
        <item x="805"/>
        <item x="806"/>
        <item x="807"/>
        <item x="808"/>
        <item x="809"/>
        <item x="810"/>
        <item x="811"/>
        <item x="812"/>
        <item x="813"/>
        <item x="814"/>
        <item x="815"/>
        <item x="819"/>
        <item x="820"/>
        <item x="821"/>
        <item x="822"/>
        <item x="823"/>
        <item x="816"/>
        <item x="817"/>
        <item x="818"/>
        <item t="default"/>
      </items>
    </pivotField>
    <pivotField showAll="0"/>
    <pivotField showAll="0">
      <items count="34">
        <item x="14"/>
        <item x="1"/>
        <item x="6"/>
        <item x="21"/>
        <item x="15"/>
        <item x="18"/>
        <item x="20"/>
        <item x="0"/>
        <item x="30"/>
        <item x="4"/>
        <item x="25"/>
        <item x="19"/>
        <item x="26"/>
        <item x="24"/>
        <item x="17"/>
        <item x="3"/>
        <item x="8"/>
        <item x="2"/>
        <item x="28"/>
        <item x="27"/>
        <item x="32"/>
        <item x="31"/>
        <item x="12"/>
        <item x="22"/>
        <item x="29"/>
        <item x="5"/>
        <item x="23"/>
        <item x="10"/>
        <item x="7"/>
        <item x="9"/>
        <item x="13"/>
        <item x="16"/>
        <item x="11"/>
        <item t="default"/>
      </items>
    </pivotField>
    <pivotField showAll="0">
      <items count="8">
        <item x="3"/>
        <item x="0"/>
        <item x="4"/>
        <item x="6"/>
        <item x="2"/>
        <item x="5"/>
        <item x="1"/>
        <item t="default"/>
      </items>
    </pivotField>
    <pivotField showAll="0"/>
    <pivotField showAll="0">
      <items count="3">
        <item x="1"/>
        <item x="0"/>
        <item t="default"/>
      </items>
    </pivotField>
    <pivotField showAll="0">
      <items count="5">
        <item x="0"/>
        <item x="3"/>
        <item x="2"/>
        <item x="1"/>
        <item t="default"/>
      </items>
    </pivotField>
    <pivotField showAll="0"/>
    <pivotField numFmtId="14" showAll="0"/>
    <pivotField showAll="0">
      <items count="8">
        <item x="2"/>
        <item x="5"/>
        <item x="6"/>
        <item x="1"/>
        <item x="3"/>
        <item x="4"/>
        <item x="0"/>
        <item t="default"/>
      </items>
    </pivotField>
    <pivotField axis="axisRow" showAll="0" sortType="descending">
      <items count="13">
        <item x="11"/>
        <item x="0"/>
        <item x="2"/>
        <item x="3"/>
        <item x="9"/>
        <item x="4"/>
        <item x="8"/>
        <item x="6"/>
        <item x="5"/>
        <item x="1"/>
        <item x="7"/>
        <item x="10"/>
        <item t="default"/>
      </items>
      <autoSortScope>
        <pivotArea dataOnly="0" outline="0" fieldPosition="0">
          <references count="1">
            <reference field="4294967294" count="1" selected="0">
              <x v="0"/>
            </reference>
          </references>
        </pivotArea>
      </autoSortScope>
    </pivotField>
    <pivotField showAll="0"/>
    <pivotField numFmtId="44" showAll="0"/>
    <pivotField numFmtId="9" showAll="0"/>
    <pivotField numFmtId="44" showAll="0"/>
    <pivotField numFmtId="44" showAll="0"/>
    <pivotField showAll="0">
      <items count="4">
        <item x="2"/>
        <item x="1"/>
        <item x="0"/>
        <item t="default"/>
      </items>
    </pivotField>
    <pivotField showAll="0"/>
    <pivotField showAll="0">
      <items count="92">
        <item x="25"/>
        <item x="5"/>
        <item x="63"/>
        <item x="78"/>
        <item x="37"/>
        <item x="50"/>
        <item x="49"/>
        <item x="65"/>
        <item x="43"/>
        <item x="71"/>
        <item x="77"/>
        <item x="36"/>
        <item x="1"/>
        <item x="27"/>
        <item x="61"/>
        <item x="14"/>
        <item x="60"/>
        <item x="17"/>
        <item x="33"/>
        <item x="29"/>
        <item x="4"/>
        <item x="12"/>
        <item x="72"/>
        <item x="32"/>
        <item x="54"/>
        <item x="22"/>
        <item x="58"/>
        <item x="48"/>
        <item x="35"/>
        <item x="28"/>
        <item x="86"/>
        <item x="18"/>
        <item x="40"/>
        <item x="3"/>
        <item x="67"/>
        <item x="2"/>
        <item x="31"/>
        <item x="21"/>
        <item x="10"/>
        <item x="24"/>
        <item x="6"/>
        <item x="80"/>
        <item x="59"/>
        <item x="73"/>
        <item x="16"/>
        <item x="87"/>
        <item x="44"/>
        <item x="83"/>
        <item x="74"/>
        <item x="46"/>
        <item x="26"/>
        <item x="52"/>
        <item x="66"/>
        <item x="57"/>
        <item x="75"/>
        <item x="81"/>
        <item x="76"/>
        <item x="39"/>
        <item x="70"/>
        <item x="19"/>
        <item x="88"/>
        <item x="69"/>
        <item x="82"/>
        <item x="55"/>
        <item x="90"/>
        <item x="30"/>
        <item x="62"/>
        <item x="7"/>
        <item x="89"/>
        <item x="11"/>
        <item x="23"/>
        <item x="15"/>
        <item x="9"/>
        <item x="79"/>
        <item x="8"/>
        <item x="38"/>
        <item x="34"/>
        <item x="20"/>
        <item x="13"/>
        <item x="64"/>
        <item x="42"/>
        <item x="47"/>
        <item x="84"/>
        <item x="68"/>
        <item x="45"/>
        <item x="56"/>
        <item x="85"/>
        <item x="51"/>
        <item x="53"/>
        <item x="41"/>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s>
  <rowFields count="1">
    <field x="10"/>
  </rowFields>
  <rowItems count="13">
    <i>
      <x v="3"/>
    </i>
    <i>
      <x v="11"/>
    </i>
    <i>
      <x/>
    </i>
    <i>
      <x v="7"/>
    </i>
    <i>
      <x v="8"/>
    </i>
    <i>
      <x v="4"/>
    </i>
    <i>
      <x v="6"/>
    </i>
    <i>
      <x v="2"/>
    </i>
    <i>
      <x v="5"/>
    </i>
    <i>
      <x v="9"/>
    </i>
    <i>
      <x v="10"/>
    </i>
    <i>
      <x v="1"/>
    </i>
    <i t="grand">
      <x/>
    </i>
  </rowItems>
  <colFields count="1">
    <field x="-2"/>
  </colFields>
  <colItems count="2">
    <i>
      <x/>
    </i>
    <i i="1">
      <x v="1"/>
    </i>
  </colItems>
  <dataFields count="2">
    <dataField name="Hired Employees" fld="0" subtotal="count" baseField="10" baseItem="3"/>
    <dataField name="% of Hired Employees" fld="0" subtotal="count" showDataAs="percentOfTotal" baseField="10" baseItem="3" numFmtId="10"/>
  </dataFields>
  <formats count="10">
    <format dxfId="70">
      <pivotArea field="2" type="button" dataOnly="0" labelOnly="1" outline="0"/>
    </format>
    <format dxfId="69">
      <pivotArea field="3" type="button" dataOnly="0" labelOnly="1" outline="0"/>
    </format>
    <format dxfId="68">
      <pivotArea field="3" type="button" dataOnly="0" labelOnly="1" outline="0"/>
    </format>
    <format dxfId="67">
      <pivotArea field="9" type="button" dataOnly="0" labelOnly="1" outline="0"/>
    </format>
    <format dxfId="66">
      <pivotArea field="9" type="button" dataOnly="0" labelOnly="1" outline="0"/>
    </format>
    <format dxfId="65">
      <pivotArea dataOnly="0" labelOnly="1" outline="0" axis="axisValues" fieldPosition="0"/>
    </format>
    <format dxfId="64">
      <pivotArea field="10" type="button" dataOnly="0" labelOnly="1" outline="0" axis="axisRow" fieldPosition="0"/>
    </format>
    <format dxfId="63">
      <pivotArea dataOnly="0" labelOnly="1" outline="0" axis="axisValues" fieldPosition="0"/>
    </format>
    <format dxfId="62">
      <pivotArea outline="0" fieldPosition="0">
        <references count="1">
          <reference field="4294967294" count="1">
            <x v="1"/>
          </reference>
        </references>
      </pivotArea>
    </format>
    <format dxfId="61">
      <pivotArea collapsedLevelsAreSubtotals="1" fieldPosition="0">
        <references count="2">
          <reference field="4294967294" count="1" selected="0">
            <x v="1"/>
          </reference>
          <reference field="1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C7E26BD-7B62-4555-8AEB-A288E901FFF3}" name="Hire by Yea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Hire  Year">
  <location ref="A2:B33" firstHeaderRow="1" firstDataRow="1" firstDataCol="1"/>
  <pivotFields count="23">
    <pivotField dataField="1" showAll="0">
      <items count="8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29"/>
        <item x="830"/>
        <item x="824"/>
        <item x="825"/>
        <item x="826"/>
        <item x="827"/>
        <item x="828"/>
        <item x="803"/>
        <item x="804"/>
        <item x="805"/>
        <item x="806"/>
        <item x="807"/>
        <item x="808"/>
        <item x="809"/>
        <item x="810"/>
        <item x="811"/>
        <item x="812"/>
        <item x="813"/>
        <item x="814"/>
        <item x="815"/>
        <item x="819"/>
        <item x="820"/>
        <item x="821"/>
        <item x="822"/>
        <item x="823"/>
        <item x="816"/>
        <item x="817"/>
        <item x="818"/>
        <item t="default"/>
      </items>
    </pivotField>
    <pivotField showAll="0"/>
    <pivotField showAll="0">
      <items count="34">
        <item x="14"/>
        <item x="1"/>
        <item x="6"/>
        <item x="21"/>
        <item x="15"/>
        <item x="18"/>
        <item x="20"/>
        <item x="0"/>
        <item x="30"/>
        <item x="4"/>
        <item x="25"/>
        <item x="19"/>
        <item x="26"/>
        <item x="24"/>
        <item x="17"/>
        <item x="3"/>
        <item x="8"/>
        <item x="2"/>
        <item x="28"/>
        <item x="27"/>
        <item x="32"/>
        <item x="31"/>
        <item x="12"/>
        <item x="22"/>
        <item x="29"/>
        <item x="5"/>
        <item x="23"/>
        <item x="10"/>
        <item x="7"/>
        <item x="9"/>
        <item x="13"/>
        <item x="16"/>
        <item x="11"/>
        <item t="default"/>
      </items>
    </pivotField>
    <pivotField showAll="0">
      <items count="8">
        <item x="3"/>
        <item x="0"/>
        <item x="4"/>
        <item x="6"/>
        <item x="2"/>
        <item x="5"/>
        <item x="1"/>
        <item t="default"/>
      </items>
    </pivotField>
    <pivotField showAll="0"/>
    <pivotField showAll="0">
      <items count="3">
        <item x="1"/>
        <item x="0"/>
        <item t="default"/>
      </items>
    </pivotField>
    <pivotField showAll="0">
      <items count="5">
        <item x="0"/>
        <item x="3"/>
        <item x="2"/>
        <item x="1"/>
        <item t="default"/>
      </items>
    </pivotField>
    <pivotField showAll="0"/>
    <pivotField numFmtId="14" showAll="0"/>
    <pivotField showAll="0">
      <items count="8">
        <item x="2"/>
        <item x="5"/>
        <item x="6"/>
        <item x="1"/>
        <item x="3"/>
        <item x="4"/>
        <item x="0"/>
        <item t="default"/>
      </items>
    </pivotField>
    <pivotField showAll="0" sortType="descending">
      <items count="13">
        <item x="11"/>
        <item x="0"/>
        <item x="2"/>
        <item x="3"/>
        <item x="9"/>
        <item x="4"/>
        <item x="8"/>
        <item x="6"/>
        <item x="5"/>
        <item x="1"/>
        <item x="7"/>
        <item x="10"/>
        <item t="default"/>
      </items>
      <autoSortScope>
        <pivotArea dataOnly="0" outline="0" fieldPosition="0">
          <references count="1">
            <reference field="4294967294" count="1" selected="0">
              <x v="0"/>
            </reference>
          </references>
        </pivotArea>
      </autoSortScope>
    </pivotField>
    <pivotField axis="axisRow" showAll="0" sortType="descending">
      <items count="31">
        <item x="23"/>
        <item x="29"/>
        <item x="28"/>
        <item x="26"/>
        <item x="14"/>
        <item x="22"/>
        <item x="7"/>
        <item x="27"/>
        <item x="19"/>
        <item x="18"/>
        <item x="10"/>
        <item x="5"/>
        <item x="4"/>
        <item x="16"/>
        <item x="25"/>
        <item x="24"/>
        <item x="6"/>
        <item x="15"/>
        <item x="8"/>
        <item x="21"/>
        <item x="1"/>
        <item x="11"/>
        <item x="9"/>
        <item x="20"/>
        <item x="12"/>
        <item x="3"/>
        <item x="2"/>
        <item x="17"/>
        <item x="13"/>
        <item x="0"/>
        <item t="default"/>
      </items>
      <autoSortScope>
        <pivotArea dataOnly="0" outline="0" fieldPosition="0">
          <references count="1">
            <reference field="4294967294" count="1" selected="0">
              <x v="0"/>
            </reference>
          </references>
        </pivotArea>
      </autoSortScope>
    </pivotField>
    <pivotField numFmtId="44" showAll="0"/>
    <pivotField numFmtId="9" showAll="0"/>
    <pivotField numFmtId="44" showAll="0"/>
    <pivotField numFmtId="44" showAll="0"/>
    <pivotField showAll="0">
      <items count="4">
        <item x="2"/>
        <item x="1"/>
        <item x="0"/>
        <item t="default"/>
      </items>
    </pivotField>
    <pivotField showAll="0"/>
    <pivotField showAll="0">
      <items count="92">
        <item x="25"/>
        <item x="5"/>
        <item x="63"/>
        <item x="78"/>
        <item x="37"/>
        <item x="50"/>
        <item x="49"/>
        <item x="65"/>
        <item x="43"/>
        <item x="71"/>
        <item x="77"/>
        <item x="36"/>
        <item x="1"/>
        <item x="27"/>
        <item x="61"/>
        <item x="14"/>
        <item x="60"/>
        <item x="17"/>
        <item x="33"/>
        <item x="29"/>
        <item x="4"/>
        <item x="12"/>
        <item x="72"/>
        <item x="32"/>
        <item x="54"/>
        <item x="22"/>
        <item x="58"/>
        <item x="48"/>
        <item x="35"/>
        <item x="28"/>
        <item x="86"/>
        <item x="18"/>
        <item x="40"/>
        <item x="3"/>
        <item x="67"/>
        <item x="2"/>
        <item x="31"/>
        <item x="21"/>
        <item x="10"/>
        <item x="24"/>
        <item x="6"/>
        <item x="80"/>
        <item x="59"/>
        <item x="73"/>
        <item x="16"/>
        <item x="87"/>
        <item x="44"/>
        <item x="83"/>
        <item x="74"/>
        <item x="46"/>
        <item x="26"/>
        <item x="52"/>
        <item x="66"/>
        <item x="57"/>
        <item x="75"/>
        <item x="81"/>
        <item x="76"/>
        <item x="39"/>
        <item x="70"/>
        <item x="19"/>
        <item x="88"/>
        <item x="69"/>
        <item x="82"/>
        <item x="55"/>
        <item x="90"/>
        <item x="30"/>
        <item x="62"/>
        <item x="7"/>
        <item x="89"/>
        <item x="11"/>
        <item x="23"/>
        <item x="15"/>
        <item x="9"/>
        <item x="79"/>
        <item x="8"/>
        <item x="38"/>
        <item x="34"/>
        <item x="20"/>
        <item x="13"/>
        <item x="64"/>
        <item x="42"/>
        <item x="47"/>
        <item x="84"/>
        <item x="68"/>
        <item x="45"/>
        <item x="56"/>
        <item x="85"/>
        <item x="51"/>
        <item x="53"/>
        <item x="41"/>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s>
  <rowFields count="1">
    <field x="11"/>
  </rowFields>
  <rowItems count="31">
    <i>
      <x v="28"/>
    </i>
    <i>
      <x v="29"/>
    </i>
    <i>
      <x v="25"/>
    </i>
    <i>
      <x v="27"/>
    </i>
    <i>
      <x v="26"/>
    </i>
    <i>
      <x v="22"/>
    </i>
    <i>
      <x v="24"/>
    </i>
    <i>
      <x v="20"/>
    </i>
    <i>
      <x v="18"/>
    </i>
    <i>
      <x v="19"/>
    </i>
    <i>
      <x v="16"/>
    </i>
    <i>
      <x v="21"/>
    </i>
    <i>
      <x v="23"/>
    </i>
    <i>
      <x v="12"/>
    </i>
    <i>
      <x v="15"/>
    </i>
    <i>
      <x v="17"/>
    </i>
    <i>
      <x v="10"/>
    </i>
    <i>
      <x v="11"/>
    </i>
    <i>
      <x v="9"/>
    </i>
    <i>
      <x v="14"/>
    </i>
    <i>
      <x v="13"/>
    </i>
    <i>
      <x v="4"/>
    </i>
    <i>
      <x v="6"/>
    </i>
    <i>
      <x v="8"/>
    </i>
    <i>
      <x v="5"/>
    </i>
    <i>
      <x/>
    </i>
    <i>
      <x v="3"/>
    </i>
    <i>
      <x v="7"/>
    </i>
    <i>
      <x v="1"/>
    </i>
    <i>
      <x v="2"/>
    </i>
    <i t="grand">
      <x/>
    </i>
  </rowItems>
  <colItems count="1">
    <i/>
  </colItems>
  <dataFields count="1">
    <dataField name="Hired Employees" fld="0" subtotal="count" baseField="10" baseItem="3"/>
  </dataFields>
  <formats count="10">
    <format dxfId="59">
      <pivotArea field="2" type="button" dataOnly="0" labelOnly="1" outline="0"/>
    </format>
    <format dxfId="58">
      <pivotArea field="3" type="button" dataOnly="0" labelOnly="1" outline="0"/>
    </format>
    <format dxfId="57">
      <pivotArea field="3" type="button" dataOnly="0" labelOnly="1" outline="0"/>
    </format>
    <format dxfId="56">
      <pivotArea field="9" type="button" dataOnly="0" labelOnly="1" outline="0"/>
    </format>
    <format dxfId="55">
      <pivotArea field="9" type="button" dataOnly="0" labelOnly="1" outline="0"/>
    </format>
    <format dxfId="54">
      <pivotArea dataOnly="0" labelOnly="1" outline="0" axis="axisValues" fieldPosition="0"/>
    </format>
    <format dxfId="53">
      <pivotArea field="10" type="button" dataOnly="0" labelOnly="1" outline="0"/>
    </format>
    <format dxfId="52">
      <pivotArea collapsedLevelsAreSubtotals="1" fieldPosition="0">
        <references count="1">
          <reference field="11" count="10">
            <x v="18"/>
            <x v="19"/>
            <x v="20"/>
            <x v="22"/>
            <x v="24"/>
            <x v="25"/>
            <x v="26"/>
            <x v="27"/>
            <x v="28"/>
            <x v="29"/>
          </reference>
        </references>
      </pivotArea>
    </format>
    <format dxfId="51">
      <pivotArea field="11" type="button" dataOnly="0" labelOnly="1" outline="0" axis="axisRow" fieldPosition="0"/>
    </format>
    <format dxfId="50">
      <pivotArea dataOnly="0" labelOnly="1" outline="0" axis="axisValues" fieldPosition="0"/>
    </format>
  </formats>
  <conditionalFormats count="1">
    <conditionalFormat type="all" priority="1">
      <pivotAreas count="1">
        <pivotArea type="data" collapsedLevelsAreSubtotals="1" fieldPosition="0">
          <references count="2">
            <reference field="4294967294" count="1" selected="0">
              <x v="0"/>
            </reference>
            <reference field="11" count="30">
              <x v="0"/>
              <x v="1"/>
              <x v="2"/>
              <x v="3"/>
              <x v="4"/>
              <x v="5"/>
              <x v="6"/>
              <x v="7"/>
              <x v="8"/>
              <x v="9"/>
              <x v="10"/>
              <x v="11"/>
              <x v="12"/>
              <x v="13"/>
              <x v="14"/>
              <x v="15"/>
              <x v="16"/>
              <x v="17"/>
              <x v="18"/>
              <x v="19"/>
              <x v="20"/>
              <x v="21"/>
              <x v="22"/>
              <x v="23"/>
              <x v="24"/>
              <x v="25"/>
              <x v="26"/>
              <x v="27"/>
              <x v="28"/>
              <x v="29"/>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CA7818D-6408-4510-9D2D-820A10DE8ADC}" name="Count of Gender by Dept. 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Department">
  <location ref="A3:B11" firstHeaderRow="1" firstDataRow="1" firstDataCol="1" rowPageCount="1" colPageCount="1"/>
  <pivotFields count="23">
    <pivotField dataField="1" showAll="0">
      <items count="8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29"/>
        <item x="830"/>
        <item x="824"/>
        <item x="825"/>
        <item x="826"/>
        <item x="827"/>
        <item x="828"/>
        <item x="803"/>
        <item x="804"/>
        <item x="805"/>
        <item x="806"/>
        <item x="807"/>
        <item x="808"/>
        <item x="809"/>
        <item x="810"/>
        <item x="811"/>
        <item x="812"/>
        <item x="813"/>
        <item x="814"/>
        <item x="815"/>
        <item x="819"/>
        <item x="820"/>
        <item x="821"/>
        <item x="822"/>
        <item x="823"/>
        <item x="816"/>
        <item x="817"/>
        <item x="818"/>
        <item t="default"/>
      </items>
    </pivotField>
    <pivotField showAll="0"/>
    <pivotField showAll="0">
      <items count="34">
        <item x="14"/>
        <item x="1"/>
        <item x="6"/>
        <item x="21"/>
        <item x="15"/>
        <item x="18"/>
        <item x="20"/>
        <item x="0"/>
        <item x="30"/>
        <item x="4"/>
        <item x="25"/>
        <item x="19"/>
        <item x="26"/>
        <item x="24"/>
        <item x="17"/>
        <item x="3"/>
        <item x="8"/>
        <item x="2"/>
        <item x="28"/>
        <item x="27"/>
        <item x="32"/>
        <item x="31"/>
        <item x="12"/>
        <item x="22"/>
        <item x="29"/>
        <item x="5"/>
        <item x="23"/>
        <item x="10"/>
        <item x="7"/>
        <item x="9"/>
        <item x="13"/>
        <item x="16"/>
        <item x="11"/>
        <item t="default"/>
      </items>
    </pivotField>
    <pivotField axis="axisRow" showAll="0">
      <items count="8">
        <item x="3"/>
        <item x="0"/>
        <item x="4"/>
        <item x="6"/>
        <item x="2"/>
        <item x="5"/>
        <item x="1"/>
        <item t="default"/>
      </items>
    </pivotField>
    <pivotField showAll="0"/>
    <pivotField axis="axisPage" showAll="0">
      <items count="3">
        <item x="1"/>
        <item x="0"/>
        <item t="default"/>
      </items>
    </pivotField>
    <pivotField showAll="0">
      <items count="5">
        <item x="0"/>
        <item x="3"/>
        <item x="2"/>
        <item x="1"/>
        <item t="default"/>
      </items>
    </pivotField>
    <pivotField showAll="0"/>
    <pivotField numFmtId="14" showAll="0"/>
    <pivotField showAll="0">
      <items count="8">
        <item x="2"/>
        <item x="5"/>
        <item x="6"/>
        <item x="1"/>
        <item x="3"/>
        <item x="4"/>
        <item x="0"/>
        <item t="default"/>
      </items>
    </pivotField>
    <pivotField showAll="0">
      <items count="13">
        <item x="11"/>
        <item x="0"/>
        <item x="2"/>
        <item x="3"/>
        <item x="9"/>
        <item x="4"/>
        <item x="8"/>
        <item x="6"/>
        <item x="5"/>
        <item x="1"/>
        <item x="7"/>
        <item x="10"/>
        <item t="default"/>
      </items>
    </pivotField>
    <pivotField showAll="0"/>
    <pivotField numFmtId="44" showAll="0"/>
    <pivotField numFmtId="9" showAll="0"/>
    <pivotField numFmtId="44" showAll="0"/>
    <pivotField numFmtId="44" showAll="0"/>
    <pivotField showAll="0">
      <items count="4">
        <item x="2"/>
        <item x="1"/>
        <item x="0"/>
        <item t="default"/>
      </items>
    </pivotField>
    <pivotField showAll="0"/>
    <pivotField showAll="0">
      <items count="92">
        <item x="25"/>
        <item x="5"/>
        <item x="63"/>
        <item x="78"/>
        <item x="37"/>
        <item x="50"/>
        <item x="49"/>
        <item x="65"/>
        <item x="43"/>
        <item x="71"/>
        <item x="77"/>
        <item x="36"/>
        <item x="1"/>
        <item x="27"/>
        <item x="61"/>
        <item x="14"/>
        <item x="60"/>
        <item x="17"/>
        <item x="33"/>
        <item x="29"/>
        <item x="4"/>
        <item x="12"/>
        <item x="72"/>
        <item x="32"/>
        <item x="54"/>
        <item x="22"/>
        <item x="58"/>
        <item x="48"/>
        <item x="35"/>
        <item x="28"/>
        <item x="86"/>
        <item x="18"/>
        <item x="40"/>
        <item x="3"/>
        <item x="67"/>
        <item x="2"/>
        <item x="31"/>
        <item x="21"/>
        <item x="10"/>
        <item x="24"/>
        <item x="6"/>
        <item x="80"/>
        <item x="59"/>
        <item x="73"/>
        <item x="16"/>
        <item x="87"/>
        <item x="44"/>
        <item x="83"/>
        <item x="74"/>
        <item x="46"/>
        <item x="26"/>
        <item x="52"/>
        <item x="66"/>
        <item x="57"/>
        <item x="75"/>
        <item x="81"/>
        <item x="76"/>
        <item x="39"/>
        <item x="70"/>
        <item x="19"/>
        <item x="88"/>
        <item x="69"/>
        <item x="82"/>
        <item x="55"/>
        <item x="90"/>
        <item x="30"/>
        <item x="62"/>
        <item x="7"/>
        <item x="89"/>
        <item x="11"/>
        <item x="23"/>
        <item x="15"/>
        <item x="9"/>
        <item x="79"/>
        <item x="8"/>
        <item x="38"/>
        <item x="34"/>
        <item x="20"/>
        <item x="13"/>
        <item x="64"/>
        <item x="42"/>
        <item x="47"/>
        <item x="84"/>
        <item x="68"/>
        <item x="45"/>
        <item x="56"/>
        <item x="85"/>
        <item x="51"/>
        <item x="53"/>
        <item x="41"/>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s>
  <rowFields count="1">
    <field x="3"/>
  </rowFields>
  <rowItems count="8">
    <i>
      <x/>
    </i>
    <i>
      <x v="1"/>
    </i>
    <i>
      <x v="2"/>
    </i>
    <i>
      <x v="3"/>
    </i>
    <i>
      <x v="4"/>
    </i>
    <i>
      <x v="5"/>
    </i>
    <i>
      <x v="6"/>
    </i>
    <i t="grand">
      <x/>
    </i>
  </rowItems>
  <colItems count="1">
    <i/>
  </colItems>
  <pageFields count="1">
    <pageField fld="5" item="1" hier="-1"/>
  </pageFields>
  <dataFields count="1">
    <dataField name="Number of Employees" fld="0" subtotal="count" baseField="3" baseItem="0"/>
  </dataFields>
  <formats count="8">
    <format dxfId="41">
      <pivotArea field="2" type="button" dataOnly="0" labelOnly="1" outline="0"/>
    </format>
    <format dxfId="40">
      <pivotArea field="3" type="button" dataOnly="0" labelOnly="1" outline="0" axis="axisRow" fieldPosition="0"/>
    </format>
    <format dxfId="39">
      <pivotArea field="3" type="button" dataOnly="0" labelOnly="1" outline="0" axis="axisRow" fieldPosition="0"/>
    </format>
    <format dxfId="38">
      <pivotArea field="9" type="button" dataOnly="0" labelOnly="1" outline="0"/>
    </format>
    <format dxfId="37">
      <pivotArea field="9" type="button" dataOnly="0" labelOnly="1" outline="0"/>
    </format>
    <format dxfId="36">
      <pivotArea dataOnly="0" labelOnly="1" outline="0" axis="axisValues" fieldPosition="0"/>
    </format>
    <format dxfId="35">
      <pivotArea field="10" type="button" dataOnly="0" labelOnly="1" outline="0"/>
    </format>
    <format dxfId="3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6692649-84DC-49FA-8094-BAD77A1EA04B}" name="Gender Count by Dept. 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Department">
  <location ref="D3:E11" firstHeaderRow="1" firstDataRow="1" firstDataCol="1" rowPageCount="1" colPageCount="1"/>
  <pivotFields count="23">
    <pivotField dataField="1" showAll="0">
      <items count="8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29"/>
        <item x="830"/>
        <item x="824"/>
        <item x="825"/>
        <item x="826"/>
        <item x="827"/>
        <item x="828"/>
        <item x="803"/>
        <item x="804"/>
        <item x="805"/>
        <item x="806"/>
        <item x="807"/>
        <item x="808"/>
        <item x="809"/>
        <item x="810"/>
        <item x="811"/>
        <item x="812"/>
        <item x="813"/>
        <item x="814"/>
        <item x="815"/>
        <item x="819"/>
        <item x="820"/>
        <item x="821"/>
        <item x="822"/>
        <item x="823"/>
        <item x="816"/>
        <item x="817"/>
        <item x="818"/>
        <item t="default"/>
      </items>
    </pivotField>
    <pivotField showAll="0"/>
    <pivotField showAll="0">
      <items count="34">
        <item x="14"/>
        <item x="1"/>
        <item x="6"/>
        <item x="21"/>
        <item x="15"/>
        <item x="18"/>
        <item x="20"/>
        <item x="0"/>
        <item x="30"/>
        <item x="4"/>
        <item x="25"/>
        <item x="19"/>
        <item x="26"/>
        <item x="24"/>
        <item x="17"/>
        <item x="3"/>
        <item x="8"/>
        <item x="2"/>
        <item x="28"/>
        <item x="27"/>
        <item x="32"/>
        <item x="31"/>
        <item x="12"/>
        <item x="22"/>
        <item x="29"/>
        <item x="5"/>
        <item x="23"/>
        <item x="10"/>
        <item x="7"/>
        <item x="9"/>
        <item x="13"/>
        <item x="16"/>
        <item x="11"/>
        <item t="default"/>
      </items>
    </pivotField>
    <pivotField axis="axisRow" showAll="0">
      <items count="8">
        <item x="3"/>
        <item x="0"/>
        <item x="4"/>
        <item x="6"/>
        <item x="2"/>
        <item x="5"/>
        <item x="1"/>
        <item t="default"/>
      </items>
    </pivotField>
    <pivotField showAll="0"/>
    <pivotField axis="axisPage" showAll="0">
      <items count="3">
        <item x="1"/>
        <item x="0"/>
        <item t="default"/>
      </items>
    </pivotField>
    <pivotField showAll="0">
      <items count="5">
        <item x="0"/>
        <item x="3"/>
        <item x="2"/>
        <item x="1"/>
        <item t="default"/>
      </items>
    </pivotField>
    <pivotField showAll="0"/>
    <pivotField numFmtId="14" showAll="0"/>
    <pivotField showAll="0">
      <items count="8">
        <item x="2"/>
        <item x="5"/>
        <item x="6"/>
        <item x="1"/>
        <item x="3"/>
        <item x="4"/>
        <item x="0"/>
        <item t="default"/>
      </items>
    </pivotField>
    <pivotField showAll="0">
      <items count="13">
        <item x="11"/>
        <item x="0"/>
        <item x="2"/>
        <item x="3"/>
        <item x="9"/>
        <item x="4"/>
        <item x="8"/>
        <item x="6"/>
        <item x="5"/>
        <item x="1"/>
        <item x="7"/>
        <item x="10"/>
        <item t="default"/>
      </items>
    </pivotField>
    <pivotField showAll="0"/>
    <pivotField numFmtId="44" showAll="0"/>
    <pivotField numFmtId="9" showAll="0"/>
    <pivotField numFmtId="44" showAll="0"/>
    <pivotField numFmtId="44" showAll="0"/>
    <pivotField showAll="0">
      <items count="4">
        <item x="2"/>
        <item x="1"/>
        <item x="0"/>
        <item t="default"/>
      </items>
    </pivotField>
    <pivotField showAll="0"/>
    <pivotField showAll="0">
      <items count="92">
        <item x="25"/>
        <item x="5"/>
        <item x="63"/>
        <item x="78"/>
        <item x="37"/>
        <item x="50"/>
        <item x="49"/>
        <item x="65"/>
        <item x="43"/>
        <item x="71"/>
        <item x="77"/>
        <item x="36"/>
        <item x="1"/>
        <item x="27"/>
        <item x="61"/>
        <item x="14"/>
        <item x="60"/>
        <item x="17"/>
        <item x="33"/>
        <item x="29"/>
        <item x="4"/>
        <item x="12"/>
        <item x="72"/>
        <item x="32"/>
        <item x="54"/>
        <item x="22"/>
        <item x="58"/>
        <item x="48"/>
        <item x="35"/>
        <item x="28"/>
        <item x="86"/>
        <item x="18"/>
        <item x="40"/>
        <item x="3"/>
        <item x="67"/>
        <item x="2"/>
        <item x="31"/>
        <item x="21"/>
        <item x="10"/>
        <item x="24"/>
        <item x="6"/>
        <item x="80"/>
        <item x="59"/>
        <item x="73"/>
        <item x="16"/>
        <item x="87"/>
        <item x="44"/>
        <item x="83"/>
        <item x="74"/>
        <item x="46"/>
        <item x="26"/>
        <item x="52"/>
        <item x="66"/>
        <item x="57"/>
        <item x="75"/>
        <item x="81"/>
        <item x="76"/>
        <item x="39"/>
        <item x="70"/>
        <item x="19"/>
        <item x="88"/>
        <item x="69"/>
        <item x="82"/>
        <item x="55"/>
        <item x="90"/>
        <item x="30"/>
        <item x="62"/>
        <item x="7"/>
        <item x="89"/>
        <item x="11"/>
        <item x="23"/>
        <item x="15"/>
        <item x="9"/>
        <item x="79"/>
        <item x="8"/>
        <item x="38"/>
        <item x="34"/>
        <item x="20"/>
        <item x="13"/>
        <item x="64"/>
        <item x="42"/>
        <item x="47"/>
        <item x="84"/>
        <item x="68"/>
        <item x="45"/>
        <item x="56"/>
        <item x="85"/>
        <item x="51"/>
        <item x="53"/>
        <item x="41"/>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s>
  <rowFields count="1">
    <field x="3"/>
  </rowFields>
  <rowItems count="8">
    <i>
      <x/>
    </i>
    <i>
      <x v="1"/>
    </i>
    <i>
      <x v="2"/>
    </i>
    <i>
      <x v="3"/>
    </i>
    <i>
      <x v="4"/>
    </i>
    <i>
      <x v="5"/>
    </i>
    <i>
      <x v="6"/>
    </i>
    <i t="grand">
      <x/>
    </i>
  </rowItems>
  <colItems count="1">
    <i/>
  </colItems>
  <pageFields count="1">
    <pageField fld="5" item="0" hier="-1"/>
  </pageFields>
  <dataFields count="1">
    <dataField name="Number of Employees" fld="0" subtotal="count" baseField="3" baseItem="0"/>
  </dataFields>
  <formats count="8">
    <format dxfId="49">
      <pivotArea field="2" type="button" dataOnly="0" labelOnly="1" outline="0"/>
    </format>
    <format dxfId="48">
      <pivotArea field="3" type="button" dataOnly="0" labelOnly="1" outline="0" axis="axisRow" fieldPosition="0"/>
    </format>
    <format dxfId="47">
      <pivotArea field="3" type="button" dataOnly="0" labelOnly="1" outline="0" axis="axisRow" fieldPosition="0"/>
    </format>
    <format dxfId="46">
      <pivotArea field="9" type="button" dataOnly="0" labelOnly="1" outline="0"/>
    </format>
    <format dxfId="45">
      <pivotArea field="9" type="button" dataOnly="0" labelOnly="1" outline="0"/>
    </format>
    <format dxfId="44">
      <pivotArea dataOnly="0" labelOnly="1" outline="0" axis="axisValues" fieldPosition="0"/>
    </format>
    <format dxfId="43">
      <pivotArea field="10" type="button" dataOnly="0" labelOnly="1" outline="0"/>
    </format>
    <format dxfId="4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9879C7A-A369-478E-8E11-5C6289D3683D}" name="Number of Exited Employees 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Exit Date">
  <location ref="A3:B53" firstHeaderRow="1" firstDataRow="1" firstDataCol="1" rowPageCount="1" colPageCount="1"/>
  <pivotFields count="23">
    <pivotField dataField="1" showAll="0">
      <items count="8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29"/>
        <item x="830"/>
        <item x="824"/>
        <item x="825"/>
        <item x="826"/>
        <item x="827"/>
        <item x="828"/>
        <item x="803"/>
        <item x="804"/>
        <item x="805"/>
        <item x="806"/>
        <item x="807"/>
        <item x="808"/>
        <item x="809"/>
        <item x="810"/>
        <item x="811"/>
        <item x="812"/>
        <item x="813"/>
        <item x="814"/>
        <item x="815"/>
        <item x="819"/>
        <item x="820"/>
        <item x="821"/>
        <item x="822"/>
        <item x="823"/>
        <item x="816"/>
        <item x="817"/>
        <item x="818"/>
        <item t="default"/>
      </items>
    </pivotField>
    <pivotField showAll="0"/>
    <pivotField showAll="0">
      <items count="34">
        <item x="14"/>
        <item x="1"/>
        <item x="6"/>
        <item x="21"/>
        <item x="15"/>
        <item x="18"/>
        <item x="20"/>
        <item x="0"/>
        <item x="30"/>
        <item x="4"/>
        <item x="25"/>
        <item x="19"/>
        <item x="26"/>
        <item x="24"/>
        <item x="17"/>
        <item x="3"/>
        <item x="8"/>
        <item x="2"/>
        <item x="28"/>
        <item x="27"/>
        <item x="32"/>
        <item x="31"/>
        <item x="12"/>
        <item x="22"/>
        <item x="29"/>
        <item x="5"/>
        <item x="23"/>
        <item x="10"/>
        <item x="7"/>
        <item x="9"/>
        <item x="13"/>
        <item x="16"/>
        <item x="11"/>
        <item t="default"/>
      </items>
    </pivotField>
    <pivotField showAll="0">
      <items count="8">
        <item x="3"/>
        <item x="0"/>
        <item x="4"/>
        <item x="6"/>
        <item x="2"/>
        <item x="5"/>
        <item x="1"/>
        <item t="default"/>
      </items>
    </pivotField>
    <pivotField showAll="0"/>
    <pivotField axis="axisPage" showAll="0">
      <items count="3">
        <item x="1"/>
        <item x="0"/>
        <item t="default"/>
      </items>
    </pivotField>
    <pivotField showAll="0">
      <items count="5">
        <item x="0"/>
        <item x="3"/>
        <item x="2"/>
        <item x="1"/>
        <item t="default"/>
      </items>
    </pivotField>
    <pivotField showAll="0"/>
    <pivotField numFmtId="14" showAll="0"/>
    <pivotField showAll="0">
      <items count="8">
        <item x="2"/>
        <item x="5"/>
        <item x="6"/>
        <item x="1"/>
        <item x="3"/>
        <item x="4"/>
        <item x="0"/>
        <item t="default"/>
      </items>
    </pivotField>
    <pivotField showAll="0">
      <items count="13">
        <item x="11"/>
        <item x="0"/>
        <item x="2"/>
        <item x="3"/>
        <item x="9"/>
        <item x="4"/>
        <item x="8"/>
        <item x="6"/>
        <item x="5"/>
        <item x="1"/>
        <item x="7"/>
        <item x="10"/>
        <item t="default"/>
      </items>
    </pivotField>
    <pivotField showAll="0"/>
    <pivotField numFmtId="44" showAll="0"/>
    <pivotField numFmtId="9" showAll="0"/>
    <pivotField numFmtId="44" showAll="0"/>
    <pivotField numFmtId="44" showAll="0"/>
    <pivotField showAll="0">
      <items count="4">
        <item x="2"/>
        <item x="1"/>
        <item x="0"/>
        <item t="default"/>
      </items>
    </pivotField>
    <pivotField showAll="0"/>
    <pivotField axis="axisRow" showAll="0">
      <items count="92">
        <item x="25"/>
        <item x="5"/>
        <item x="63"/>
        <item x="78"/>
        <item x="37"/>
        <item x="50"/>
        <item x="49"/>
        <item x="65"/>
        <item x="43"/>
        <item x="71"/>
        <item x="77"/>
        <item x="36"/>
        <item x="1"/>
        <item x="27"/>
        <item x="61"/>
        <item x="14"/>
        <item x="60"/>
        <item x="17"/>
        <item x="33"/>
        <item x="29"/>
        <item x="4"/>
        <item x="12"/>
        <item x="72"/>
        <item x="32"/>
        <item x="54"/>
        <item x="22"/>
        <item x="58"/>
        <item x="48"/>
        <item x="35"/>
        <item x="28"/>
        <item x="86"/>
        <item x="18"/>
        <item x="40"/>
        <item x="3"/>
        <item x="67"/>
        <item x="2"/>
        <item x="31"/>
        <item x="21"/>
        <item x="10"/>
        <item x="24"/>
        <item x="6"/>
        <item x="80"/>
        <item x="59"/>
        <item x="73"/>
        <item x="16"/>
        <item x="87"/>
        <item x="44"/>
        <item x="83"/>
        <item x="74"/>
        <item x="46"/>
        <item x="26"/>
        <item x="52"/>
        <item x="66"/>
        <item x="57"/>
        <item x="75"/>
        <item x="81"/>
        <item x="76"/>
        <item x="39"/>
        <item x="70"/>
        <item x="19"/>
        <item x="88"/>
        <item x="69"/>
        <item x="82"/>
        <item x="55"/>
        <item x="90"/>
        <item x="30"/>
        <item x="62"/>
        <item x="7"/>
        <item x="89"/>
        <item x="11"/>
        <item x="23"/>
        <item x="15"/>
        <item x="9"/>
        <item x="79"/>
        <item x="8"/>
        <item x="38"/>
        <item x="34"/>
        <item x="20"/>
        <item x="13"/>
        <item x="64"/>
        <item x="42"/>
        <item x="47"/>
        <item x="84"/>
        <item x="68"/>
        <item x="45"/>
        <item x="56"/>
        <item x="85"/>
        <item x="51"/>
        <item x="53"/>
        <item x="41"/>
        <item x="0"/>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31">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t="default"/>
      </items>
    </pivotField>
  </pivotFields>
  <rowFields count="1">
    <field x="18"/>
  </rowFields>
  <rowItems count="50">
    <i>
      <x/>
    </i>
    <i>
      <x v="1"/>
    </i>
    <i>
      <x v="2"/>
    </i>
    <i>
      <x v="4"/>
    </i>
    <i>
      <x v="8"/>
    </i>
    <i>
      <x v="10"/>
    </i>
    <i>
      <x v="11"/>
    </i>
    <i>
      <x v="12"/>
    </i>
    <i>
      <x v="13"/>
    </i>
    <i>
      <x v="17"/>
    </i>
    <i>
      <x v="18"/>
    </i>
    <i>
      <x v="19"/>
    </i>
    <i>
      <x v="22"/>
    </i>
    <i>
      <x v="23"/>
    </i>
    <i>
      <x v="25"/>
    </i>
    <i>
      <x v="28"/>
    </i>
    <i>
      <x v="30"/>
    </i>
    <i>
      <x v="37"/>
    </i>
    <i>
      <x v="41"/>
    </i>
    <i>
      <x v="43"/>
    </i>
    <i>
      <x v="44"/>
    </i>
    <i>
      <x v="46"/>
    </i>
    <i>
      <x v="47"/>
    </i>
    <i>
      <x v="52"/>
    </i>
    <i>
      <x v="53"/>
    </i>
    <i>
      <x v="54"/>
    </i>
    <i>
      <x v="55"/>
    </i>
    <i>
      <x v="58"/>
    </i>
    <i>
      <x v="62"/>
    </i>
    <i>
      <x v="63"/>
    </i>
    <i>
      <x v="64"/>
    </i>
    <i>
      <x v="66"/>
    </i>
    <i>
      <x v="69"/>
    </i>
    <i>
      <x v="70"/>
    </i>
    <i>
      <x v="72"/>
    </i>
    <i>
      <x v="73"/>
    </i>
    <i>
      <x v="74"/>
    </i>
    <i>
      <x v="76"/>
    </i>
    <i>
      <x v="77"/>
    </i>
    <i>
      <x v="78"/>
    </i>
    <i>
      <x v="79"/>
    </i>
    <i>
      <x v="80"/>
    </i>
    <i>
      <x v="81"/>
    </i>
    <i>
      <x v="83"/>
    </i>
    <i>
      <x v="84"/>
    </i>
    <i>
      <x v="85"/>
    </i>
    <i>
      <x v="86"/>
    </i>
    <i>
      <x v="89"/>
    </i>
    <i>
      <x v="90"/>
    </i>
    <i t="grand">
      <x/>
    </i>
  </rowItems>
  <colItems count="1">
    <i/>
  </colItems>
  <pageFields count="1">
    <pageField fld="5" item="1" hier="-1"/>
  </pageFields>
  <dataFields count="1">
    <dataField name="Number of Employees" fld="0" subtotal="count" baseField="3" baseItem="0"/>
  </dataFields>
  <formats count="8">
    <format dxfId="25">
      <pivotArea field="2" type="button" dataOnly="0" labelOnly="1" outline="0"/>
    </format>
    <format dxfId="24">
      <pivotArea field="3" type="button" dataOnly="0" labelOnly="1" outline="0"/>
    </format>
    <format dxfId="23">
      <pivotArea field="3" type="button" dataOnly="0" labelOnly="1" outline="0"/>
    </format>
    <format dxfId="22">
      <pivotArea field="9" type="button" dataOnly="0" labelOnly="1" outline="0"/>
    </format>
    <format dxfId="21">
      <pivotArea field="9" type="button" dataOnly="0" labelOnly="1" outline="0"/>
    </format>
    <format dxfId="20">
      <pivotArea dataOnly="0" labelOnly="1" outline="0" axis="axisValues" fieldPosition="0"/>
    </format>
    <format dxfId="19">
      <pivotArea field="10" type="button" dataOnly="0" labelOnly="1" outline="0"/>
    </format>
    <format dxfId="18">
      <pivotArea field="18"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515644F-3FA4-4BE1-A100-8539BE5D666E}" name="Number of Exited Employees 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Exit Date">
  <location ref="D3:E49" firstHeaderRow="1" firstDataRow="1" firstDataCol="1" rowPageCount="1" colPageCount="1"/>
  <pivotFields count="23">
    <pivotField dataField="1" showAll="0">
      <items count="8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29"/>
        <item x="830"/>
        <item x="824"/>
        <item x="825"/>
        <item x="826"/>
        <item x="827"/>
        <item x="828"/>
        <item x="803"/>
        <item x="804"/>
        <item x="805"/>
        <item x="806"/>
        <item x="807"/>
        <item x="808"/>
        <item x="809"/>
        <item x="810"/>
        <item x="811"/>
        <item x="812"/>
        <item x="813"/>
        <item x="814"/>
        <item x="815"/>
        <item x="819"/>
        <item x="820"/>
        <item x="821"/>
        <item x="822"/>
        <item x="823"/>
        <item x="816"/>
        <item x="817"/>
        <item x="818"/>
        <item t="default"/>
      </items>
    </pivotField>
    <pivotField showAll="0"/>
    <pivotField showAll="0">
      <items count="34">
        <item x="14"/>
        <item x="1"/>
        <item x="6"/>
        <item x="21"/>
        <item x="15"/>
        <item x="18"/>
        <item x="20"/>
        <item x="0"/>
        <item x="30"/>
        <item x="4"/>
        <item x="25"/>
        <item x="19"/>
        <item x="26"/>
        <item x="24"/>
        <item x="17"/>
        <item x="3"/>
        <item x="8"/>
        <item x="2"/>
        <item x="28"/>
        <item x="27"/>
        <item x="32"/>
        <item x="31"/>
        <item x="12"/>
        <item x="22"/>
        <item x="29"/>
        <item x="5"/>
        <item x="23"/>
        <item x="10"/>
        <item x="7"/>
        <item x="9"/>
        <item x="13"/>
        <item x="16"/>
        <item x="11"/>
        <item t="default"/>
      </items>
    </pivotField>
    <pivotField showAll="0">
      <items count="8">
        <item x="3"/>
        <item x="0"/>
        <item x="4"/>
        <item x="6"/>
        <item x="2"/>
        <item x="5"/>
        <item x="1"/>
        <item t="default"/>
      </items>
    </pivotField>
    <pivotField showAll="0"/>
    <pivotField axis="axisPage" showAll="0">
      <items count="3">
        <item x="1"/>
        <item x="0"/>
        <item t="default"/>
      </items>
    </pivotField>
    <pivotField showAll="0">
      <items count="5">
        <item x="0"/>
        <item x="3"/>
        <item x="2"/>
        <item x="1"/>
        <item t="default"/>
      </items>
    </pivotField>
    <pivotField showAll="0"/>
    <pivotField numFmtId="14" showAll="0"/>
    <pivotField showAll="0">
      <items count="8">
        <item x="2"/>
        <item x="5"/>
        <item x="6"/>
        <item x="1"/>
        <item x="3"/>
        <item x="4"/>
        <item x="0"/>
        <item t="default"/>
      </items>
    </pivotField>
    <pivotField showAll="0">
      <items count="13">
        <item x="11"/>
        <item x="0"/>
        <item x="2"/>
        <item x="3"/>
        <item x="9"/>
        <item x="4"/>
        <item x="8"/>
        <item x="6"/>
        <item x="5"/>
        <item x="1"/>
        <item x="7"/>
        <item x="10"/>
        <item t="default"/>
      </items>
    </pivotField>
    <pivotField showAll="0">
      <items count="31">
        <item x="23"/>
        <item x="29"/>
        <item x="28"/>
        <item x="26"/>
        <item x="14"/>
        <item x="22"/>
        <item x="7"/>
        <item x="27"/>
        <item x="19"/>
        <item x="18"/>
        <item x="10"/>
        <item x="5"/>
        <item x="4"/>
        <item x="16"/>
        <item x="25"/>
        <item x="24"/>
        <item x="6"/>
        <item x="15"/>
        <item x="8"/>
        <item x="21"/>
        <item x="1"/>
        <item x="11"/>
        <item x="9"/>
        <item x="20"/>
        <item x="12"/>
        <item x="3"/>
        <item x="2"/>
        <item x="17"/>
        <item x="13"/>
        <item x="0"/>
        <item t="default"/>
      </items>
    </pivotField>
    <pivotField numFmtId="44" showAll="0"/>
    <pivotField numFmtId="9" showAll="0"/>
    <pivotField numFmtId="44" showAll="0"/>
    <pivotField numFmtId="44" showAll="0"/>
    <pivotField showAll="0">
      <items count="4">
        <item x="2"/>
        <item x="1"/>
        <item x="0"/>
        <item t="default"/>
      </items>
    </pivotField>
    <pivotField showAll="0"/>
    <pivotField axis="axisRow" showAll="0">
      <items count="92">
        <item x="25"/>
        <item x="5"/>
        <item x="63"/>
        <item x="78"/>
        <item x="37"/>
        <item x="50"/>
        <item x="49"/>
        <item x="65"/>
        <item x="43"/>
        <item x="71"/>
        <item x="77"/>
        <item x="36"/>
        <item x="1"/>
        <item x="27"/>
        <item x="61"/>
        <item x="14"/>
        <item x="60"/>
        <item x="17"/>
        <item x="33"/>
        <item x="29"/>
        <item x="4"/>
        <item x="12"/>
        <item x="72"/>
        <item x="32"/>
        <item x="54"/>
        <item x="22"/>
        <item x="58"/>
        <item x="48"/>
        <item x="35"/>
        <item x="28"/>
        <item x="86"/>
        <item x="18"/>
        <item x="40"/>
        <item x="3"/>
        <item x="67"/>
        <item x="2"/>
        <item x="31"/>
        <item x="21"/>
        <item x="10"/>
        <item x="24"/>
        <item x="6"/>
        <item x="80"/>
        <item x="59"/>
        <item x="73"/>
        <item x="16"/>
        <item x="87"/>
        <item x="44"/>
        <item x="83"/>
        <item x="74"/>
        <item x="46"/>
        <item x="26"/>
        <item x="52"/>
        <item x="66"/>
        <item x="57"/>
        <item x="75"/>
        <item x="81"/>
        <item x="76"/>
        <item x="39"/>
        <item x="70"/>
        <item x="19"/>
        <item x="88"/>
        <item x="69"/>
        <item x="82"/>
        <item x="55"/>
        <item x="90"/>
        <item x="30"/>
        <item x="62"/>
        <item x="7"/>
        <item x="89"/>
        <item x="11"/>
        <item x="23"/>
        <item x="15"/>
        <item x="9"/>
        <item x="79"/>
        <item x="8"/>
        <item x="38"/>
        <item x="34"/>
        <item x="20"/>
        <item x="13"/>
        <item x="64"/>
        <item x="42"/>
        <item x="47"/>
        <item x="84"/>
        <item x="68"/>
        <item x="45"/>
        <item x="56"/>
        <item x="85"/>
        <item x="51"/>
        <item x="53"/>
        <item x="41"/>
        <item x="0"/>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31">
        <item sd="0" x="0"/>
        <item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t="default"/>
      </items>
    </pivotField>
  </pivotFields>
  <rowFields count="1">
    <field x="18"/>
  </rowFields>
  <rowItems count="46">
    <i>
      <x v="3"/>
    </i>
    <i>
      <x v="5"/>
    </i>
    <i>
      <x v="6"/>
    </i>
    <i>
      <x v="7"/>
    </i>
    <i>
      <x v="9"/>
    </i>
    <i>
      <x v="14"/>
    </i>
    <i>
      <x v="15"/>
    </i>
    <i>
      <x v="16"/>
    </i>
    <i>
      <x v="20"/>
    </i>
    <i>
      <x v="21"/>
    </i>
    <i>
      <x v="24"/>
    </i>
    <i>
      <x v="26"/>
    </i>
    <i>
      <x v="27"/>
    </i>
    <i>
      <x v="29"/>
    </i>
    <i>
      <x v="31"/>
    </i>
    <i>
      <x v="32"/>
    </i>
    <i>
      <x v="33"/>
    </i>
    <i>
      <x v="34"/>
    </i>
    <i>
      <x v="35"/>
    </i>
    <i>
      <x v="36"/>
    </i>
    <i>
      <x v="38"/>
    </i>
    <i>
      <x v="39"/>
    </i>
    <i>
      <x v="40"/>
    </i>
    <i>
      <x v="42"/>
    </i>
    <i>
      <x v="45"/>
    </i>
    <i>
      <x v="48"/>
    </i>
    <i>
      <x v="49"/>
    </i>
    <i>
      <x v="50"/>
    </i>
    <i>
      <x v="51"/>
    </i>
    <i>
      <x v="56"/>
    </i>
    <i>
      <x v="57"/>
    </i>
    <i>
      <x v="59"/>
    </i>
    <i>
      <x v="60"/>
    </i>
    <i>
      <x v="61"/>
    </i>
    <i>
      <x v="65"/>
    </i>
    <i>
      <x v="67"/>
    </i>
    <i>
      <x v="68"/>
    </i>
    <i>
      <x v="71"/>
    </i>
    <i>
      <x v="75"/>
    </i>
    <i>
      <x v="78"/>
    </i>
    <i>
      <x v="82"/>
    </i>
    <i>
      <x v="86"/>
    </i>
    <i>
      <x v="87"/>
    </i>
    <i>
      <x v="88"/>
    </i>
    <i>
      <x v="90"/>
    </i>
    <i t="grand">
      <x/>
    </i>
  </rowItems>
  <colItems count="1">
    <i/>
  </colItems>
  <pageFields count="1">
    <pageField fld="5" item="0" hier="-1"/>
  </pageFields>
  <dataFields count="1">
    <dataField name="Number of Employees" fld="0" subtotal="count" baseField="3" baseItem="0"/>
  </dataFields>
  <formats count="8">
    <format dxfId="33">
      <pivotArea field="2" type="button" dataOnly="0" labelOnly="1" outline="0"/>
    </format>
    <format dxfId="32">
      <pivotArea field="3" type="button" dataOnly="0" labelOnly="1" outline="0"/>
    </format>
    <format dxfId="31">
      <pivotArea field="3" type="button" dataOnly="0" labelOnly="1" outline="0"/>
    </format>
    <format dxfId="30">
      <pivotArea field="9" type="button" dataOnly="0" labelOnly="1" outline="0"/>
    </format>
    <format dxfId="29">
      <pivotArea field="9" type="button" dataOnly="0" labelOnly="1" outline="0"/>
    </format>
    <format dxfId="28">
      <pivotArea dataOnly="0" labelOnly="1" outline="0" axis="axisValues" fieldPosition="0"/>
    </format>
    <format dxfId="27">
      <pivotArea field="10" type="button" dataOnly="0" labelOnly="1" outline="0"/>
    </format>
    <format dxfId="26">
      <pivotArea field="18"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9B357DC-6F67-448A-9069-5EC0AA3293F0}" autoFormatId="16" applyNumberFormats="0" applyBorderFormats="0" applyFontFormats="0" applyPatternFormats="0" applyAlignmentFormats="0" applyWidthHeightFormats="0">
  <queryTableRefresh nextId="22" unboundColumnsRight="1">
    <queryTableFields count="20">
      <queryTableField id="1" name="Employee ID" tableColumnId="1"/>
      <queryTableField id="2" name="Full Name" tableColumnId="2"/>
      <queryTableField id="3" name="Job Title" tableColumnId="3"/>
      <queryTableField id="4" name="Department" tableColumnId="4"/>
      <queryTableField id="5" name="Business Unit" tableColumnId="5"/>
      <queryTableField id="6" name="Gender" tableColumnId="6"/>
      <queryTableField id="7" name="Ethnicity" tableColumnId="7"/>
      <queryTableField id="8" name="Age" tableColumnId="8"/>
      <queryTableField id="9" name="Hire Date" tableColumnId="9"/>
      <queryTableField id="17" dataBound="0" tableColumnId="17"/>
      <queryTableField id="16" dataBound="0" tableColumnId="16"/>
      <queryTableField id="15" dataBound="0" tableColumnId="15"/>
      <queryTableField id="10" name="Annual Salary" tableColumnId="10"/>
      <queryTableField id="11" name="Bonus %" tableColumnId="11"/>
      <queryTableField id="21" dataBound="0" tableColumnId="20"/>
      <queryTableField id="18" dataBound="0" tableColumnId="18"/>
      <queryTableField id="12" name="Country" tableColumnId="12"/>
      <queryTableField id="13" name="City" tableColumnId="13"/>
      <queryTableField id="14" name="Exit Date" tableColumnId="14"/>
      <queryTableField id="19" dataBound="0" tableColumnId="1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thnicity" xr10:uid="{E6DA8CE6-3E97-4F49-A68E-92A612681B3C}" sourceName="Ethnicity">
  <pivotTables>
    <pivotTable tabId="7" name="Ethnic Group"/>
    <pivotTable tabId="8" name="Bonus Pay by Dept."/>
    <pivotTable tabId="4" name="Count of Employees by Dept."/>
    <pivotTable tabId="3" name="Count of Employee by Job title"/>
    <pivotTable tabId="13" name="Count of Gender by Dept. 1"/>
    <pivotTable tabId="13" name="Gender Count by Dept. 2"/>
    <pivotTable tabId="9" name="Hire by Day"/>
    <pivotTable tabId="10" name="Hire by Month"/>
    <pivotTable tabId="11" name="Hire by Year"/>
    <pivotTable tabId="15" name="Number of Exited Employees 1"/>
    <pivotTable tabId="15" name="Number of Exited Employees 2"/>
    <pivotTable tabId="5" name="Business Pay by Gender 2"/>
    <pivotTable tabId="5" name="Salary by Business 1"/>
  </pivotTables>
  <data>
    <tabular pivotCacheId="481234134">
      <items count="4">
        <i x="0" s="1"/>
        <i x="3"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712F9636-23AD-4032-801B-C366366AF013}" sourceName="Country">
  <pivotTables>
    <pivotTable tabId="8" name="Bonus Pay by Dept."/>
    <pivotTable tabId="3" name="Count of Employee by Job title"/>
    <pivotTable tabId="13" name="Count of Gender by Dept. 1"/>
    <pivotTable tabId="13" name="Gender Count by Dept. 2"/>
    <pivotTable tabId="9" name="Hire by Day"/>
    <pivotTable tabId="10" name="Hire by Month"/>
    <pivotTable tabId="11" name="Hire by Year"/>
    <pivotTable tabId="7" name="Ethnic Group"/>
    <pivotTable tabId="15" name="Number of Exited Employees 1"/>
    <pivotTable tabId="15" name="Number of Exited Employees 2"/>
    <pivotTable tabId="5" name="Business Pay by Gender 2"/>
    <pivotTable tabId="5" name="Salary by Business 1"/>
    <pivotTable tabId="4" name="Count of Employees by Dept."/>
  </pivotTables>
  <data>
    <tabular pivotCacheId="481234134">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BC1625FA-F93D-4570-A60D-80502DEF4CB0}" cache="Slicer_Country" caption="Country"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thnicity" xr10:uid="{107CB413-CFDA-45D3-864F-21DC9A216C22}" cache="Slicer_Ethnicity" caption="Ethnicity"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thnicity 1" xr10:uid="{216FC2A1-8D32-4ED3-9BB0-DCC888E6B338}" cache="Slicer_Ethnicity" caption="Ethnicity" style="Slicer Style 1" rowHeight="241300"/>
  <slicer name="Country 2" xr10:uid="{379B6CA1-4F65-499F-B689-F260C50BA5F4}" cache="Slicer_Country" caption="Country" style="Slicer Style 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F5DA7B7-3774-49D1-A343-BD07F2CF3493}" name="Employee_Sample_Data_1" displayName="Employee_Sample_Data_1" ref="A1:T832" tableType="queryTable" totalsRowShown="0" headerRowDxfId="17">
  <autoFilter ref="A1:T832" xr:uid="{4F5DA7B7-3774-49D1-A343-BD07F2CF3493}"/>
  <tableColumns count="20">
    <tableColumn id="1" xr3:uid="{5F1A0EB9-A50F-4C2D-BD10-087B53EB6E72}" uniqueName="1" name="Employee ID" queryTableFieldId="1" dataDxfId="16"/>
    <tableColumn id="2" xr3:uid="{005C0883-ABC3-45AD-BFF4-53389DF4E939}" uniqueName="2" name="Full Name" queryTableFieldId="2" dataDxfId="15"/>
    <tableColumn id="3" xr3:uid="{71BDC5A6-32EE-48BE-AA53-7F8E65C1A74E}" uniqueName="3" name="Job Title" queryTableFieldId="3" dataDxfId="14"/>
    <tableColumn id="4" xr3:uid="{71EB8E56-3EA8-4C40-A944-D8AFA7C912A8}" uniqueName="4" name="Department" queryTableFieldId="4" dataDxfId="13"/>
    <tableColumn id="5" xr3:uid="{21D9A33E-51EA-42AD-96D0-7E1D4FEC4470}" uniqueName="5" name="Business Unit" queryTableFieldId="5" dataDxfId="12"/>
    <tableColumn id="6" xr3:uid="{73D303EE-CB88-46C7-AB02-3792677D776E}" uniqueName="6" name="Gender" queryTableFieldId="6" dataDxfId="11"/>
    <tableColumn id="7" xr3:uid="{3DADA9E9-9030-499F-A0DA-46F58C87CD39}" uniqueName="7" name="Ethnicity" queryTableFieldId="7" dataDxfId="10"/>
    <tableColumn id="8" xr3:uid="{79F8647C-6114-4656-B816-B46027418598}" uniqueName="8" name="Age" queryTableFieldId="8" dataDxfId="9"/>
    <tableColumn id="9" xr3:uid="{A853BF6B-098D-4B8C-9045-0609308ACD2E}" uniqueName="9" name="Hire Date" queryTableFieldId="9" dataDxfId="8"/>
    <tableColumn id="17" xr3:uid="{F81ABC7D-CBC9-4838-BCC5-130413474CCA}" uniqueName="17" name="Hire Day" queryTableFieldId="17" dataDxfId="7">
      <calculatedColumnFormula>TEXT(Employee_Sample_Data_1[[#This Row],[Hire Date]], "dddd")</calculatedColumnFormula>
    </tableColumn>
    <tableColumn id="16" xr3:uid="{FE6EB5BB-27F4-4456-94AF-C35EE0AE3F99}" uniqueName="16" name="Hire Month" queryTableFieldId="16" dataDxfId="6">
      <calculatedColumnFormula>TEXT(Employee_Sample_Data_1[[#This Row],[Hire Date]], "mmmm")</calculatedColumnFormula>
    </tableColumn>
    <tableColumn id="15" xr3:uid="{7A07E0E5-97B2-41B5-8FC3-5CCA011CFD8A}" uniqueName="15" name="Hire Year" queryTableFieldId="15" dataDxfId="5">
      <calculatedColumnFormula>TEXT(Employee_Sample_Data_1[[#This Row],[Hire Date]], "yyyy")</calculatedColumnFormula>
    </tableColumn>
    <tableColumn id="10" xr3:uid="{21611928-0535-4C72-80F0-DC2D1E0DC20D}" uniqueName="10" name="Annual Salary" queryTableFieldId="10" dataCellStyle="Currency"/>
    <tableColumn id="11" xr3:uid="{144F4752-6976-4B73-9080-9A7A238BECF5}" uniqueName="11" name="Bonus %" queryTableFieldId="11" dataCellStyle="Percent"/>
    <tableColumn id="20" xr3:uid="{0DBC3CE4-F943-49EB-BA39-AB1E1EAC7696}" uniqueName="20" name="Bonus Amount" queryTableFieldId="21" dataDxfId="4" dataCellStyle="Percent">
      <calculatedColumnFormula>PRODUCT(Employee_Sample_Data_1[[#This Row],[Annual Salary]],Employee_Sample_Data_1[[#This Row],[Bonus %]])</calculatedColumnFormula>
    </tableColumn>
    <tableColumn id="18" xr3:uid="{9242B6CF-BC5C-427D-AC1F-1CEED6EA811B}" uniqueName="18" name="Gross Salary" queryTableFieldId="18" dataDxfId="3" dataCellStyle="Currency">
      <calculatedColumnFormula>ROUND(Employee_Sample_Data_1[[#This Row],[Annual Salary]]*(1+Employee_Sample_Data_1[[#This Row],[Bonus %]]), 0)</calculatedColumnFormula>
    </tableColumn>
    <tableColumn id="12" xr3:uid="{8AD7028D-38B0-4CD4-9F1B-3903EB9E695B}" uniqueName="12" name="Country" queryTableFieldId="12" dataDxfId="2"/>
    <tableColumn id="13" xr3:uid="{5D8FD98C-4816-449D-91B9-EB459B81DA56}" uniqueName="13" name="City" queryTableFieldId="13" dataDxfId="1"/>
    <tableColumn id="14" xr3:uid="{46DFB40E-311A-46B3-B59B-82CE37E55B4F}" uniqueName="14" name="Exit Date" queryTableFieldId="14" dataDxfId="0"/>
    <tableColumn id="19" xr3:uid="{9E5B2166-81FA-4572-9248-CF899FB89E9F}" uniqueName="19" name="Years of Service" queryTableFieldId="19">
      <calculatedColumnFormula>DATEDIF(Employee_Sample_Data_1[[#This Row],[Hire Date]], IF(Employee_Sample_Data_1[[#This Row],[Exit Date]] = "", TODAY(), Employee_Sample_Data_1[[#This Row],[Exit Date]]), "Y")</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2" Type="http://schemas.openxmlformats.org/officeDocument/2006/relationships/pivotTable" Target="../pivotTables/pivotTable11.xml"/><Relationship Id="rId1" Type="http://schemas.openxmlformats.org/officeDocument/2006/relationships/pivotTable" Target="../pivotTables/pivotTable10.xml"/></Relationships>
</file>

<file path=xl/worksheets/_rels/sheet10.xml.rels><?xml version="1.0" encoding="UTF-8" standalone="yes"?>
<Relationships xmlns="http://schemas.openxmlformats.org/package/2006/relationships"><Relationship Id="rId2" Type="http://schemas.openxmlformats.org/officeDocument/2006/relationships/pivotTable" Target="../pivotTables/pivotTable13.xml"/><Relationship Id="rId1" Type="http://schemas.openxmlformats.org/officeDocument/2006/relationships/pivotTable" Target="../pivotTables/pivotTable12.xml"/></Relationships>
</file>

<file path=xl/worksheets/_rels/sheet11.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8D9C9-B171-49E0-8B34-7AAAB0969FA8}">
  <sheetPr>
    <tabColor rgb="FFC00000"/>
  </sheetPr>
  <dimension ref="A2:E36"/>
  <sheetViews>
    <sheetView topLeftCell="A6" workbookViewId="0">
      <selection activeCell="A34" sqref="A34"/>
    </sheetView>
  </sheetViews>
  <sheetFormatPr defaultRowHeight="15" x14ac:dyDescent="0.25"/>
  <cols>
    <col min="1" max="1" width="27.28515625" bestFit="1" customWidth="1"/>
    <col min="2" max="2" width="21.42578125" bestFit="1" customWidth="1"/>
    <col min="4" max="4" width="27.7109375" bestFit="1" customWidth="1"/>
    <col min="5" max="5" width="20.85546875" customWidth="1"/>
  </cols>
  <sheetData>
    <row r="2" spans="1:5" x14ac:dyDescent="0.25">
      <c r="A2" s="10" t="s">
        <v>2</v>
      </c>
      <c r="B2" s="11" t="s">
        <v>1745</v>
      </c>
      <c r="D2" s="13" t="s">
        <v>2</v>
      </c>
      <c r="E2" s="13" t="s">
        <v>1745</v>
      </c>
    </row>
    <row r="3" spans="1:5" x14ac:dyDescent="0.25">
      <c r="A3" s="8" t="s">
        <v>66</v>
      </c>
      <c r="B3" s="12">
        <v>89</v>
      </c>
      <c r="D3" s="8" t="s">
        <v>66</v>
      </c>
      <c r="E3">
        <f>GETPIVOTDATA("Employee ID",$A$2,"Job Title","Manager")</f>
        <v>89</v>
      </c>
    </row>
    <row r="4" spans="1:5" x14ac:dyDescent="0.25">
      <c r="A4" s="8" t="s">
        <v>86</v>
      </c>
      <c r="B4" s="12">
        <v>87</v>
      </c>
      <c r="D4" s="8" t="s">
        <v>86</v>
      </c>
      <c r="E4">
        <f>GETPIVOTDATA("Employee ID",$A$2,"Job Title","Vice President")</f>
        <v>87</v>
      </c>
    </row>
    <row r="5" spans="1:5" x14ac:dyDescent="0.25">
      <c r="A5" s="8" t="s">
        <v>80</v>
      </c>
      <c r="B5" s="12">
        <v>75</v>
      </c>
      <c r="D5" s="8" t="s">
        <v>80</v>
      </c>
      <c r="E5">
        <f>GETPIVOTDATA("Employee ID",$A$2,"Job Title","Sr. Manager")</f>
        <v>75</v>
      </c>
    </row>
    <row r="6" spans="1:5" x14ac:dyDescent="0.25">
      <c r="A6" s="8" t="s">
        <v>44</v>
      </c>
      <c r="B6" s="12">
        <v>73</v>
      </c>
      <c r="D6" s="8" t="s">
        <v>44</v>
      </c>
      <c r="E6">
        <f>GETPIVOTDATA("Employee ID",$A$2,"Job Title","Director")</f>
        <v>73</v>
      </c>
    </row>
    <row r="7" spans="1:5" x14ac:dyDescent="0.25">
      <c r="A7" s="8" t="s">
        <v>25</v>
      </c>
      <c r="B7" s="12">
        <v>58</v>
      </c>
      <c r="D7" s="8" t="s">
        <v>25</v>
      </c>
      <c r="E7">
        <f>GETPIVOTDATA("Employee ID",$A$2,"Job Title","Analyst")</f>
        <v>58</v>
      </c>
    </row>
    <row r="8" spans="1:5" x14ac:dyDescent="0.25">
      <c r="A8" s="8" t="s">
        <v>51</v>
      </c>
      <c r="B8" s="12">
        <v>49</v>
      </c>
      <c r="D8" s="8" t="s">
        <v>51</v>
      </c>
      <c r="E8">
        <f>GETPIVOTDATA("Employee ID",$A$2,"Job Title","Sr. Analyst")</f>
        <v>49</v>
      </c>
    </row>
    <row r="9" spans="1:5" x14ac:dyDescent="0.25">
      <c r="A9" s="8" t="s">
        <v>57</v>
      </c>
      <c r="B9" s="12">
        <v>46</v>
      </c>
      <c r="D9" s="8" t="s">
        <v>57</v>
      </c>
      <c r="E9">
        <f>GETPIVOTDATA("Employee ID",$A$2,"Job Title","Analyst II")</f>
        <v>46</v>
      </c>
    </row>
    <row r="10" spans="1:5" x14ac:dyDescent="0.25">
      <c r="A10" s="8" t="s">
        <v>62</v>
      </c>
      <c r="B10" s="12">
        <v>19</v>
      </c>
      <c r="D10" s="8" t="s">
        <v>1820</v>
      </c>
      <c r="E10">
        <f>GETPIVOTDATA("Employee ID",$A$2,"Job Title","System Administrator ")</f>
        <v>19</v>
      </c>
    </row>
    <row r="11" spans="1:5" x14ac:dyDescent="0.25">
      <c r="A11" s="8" t="s">
        <v>161</v>
      </c>
      <c r="B11" s="12">
        <v>19</v>
      </c>
      <c r="D11" s="8" t="s">
        <v>161</v>
      </c>
      <c r="E11">
        <f>GETPIVOTDATA("Employee ID",$A$2,"Job Title","Cloud Infrastructure Architect")</f>
        <v>19</v>
      </c>
    </row>
    <row r="12" spans="1:5" x14ac:dyDescent="0.25">
      <c r="A12" s="8" t="s">
        <v>289</v>
      </c>
      <c r="B12" s="12">
        <v>19</v>
      </c>
      <c r="D12" s="8" t="s">
        <v>289</v>
      </c>
      <c r="E12">
        <f>GETPIVOTDATA("Employee ID",$A$2,"Job Title","Field Engineer")</f>
        <v>19</v>
      </c>
    </row>
    <row r="13" spans="1:5" x14ac:dyDescent="0.25">
      <c r="A13" s="8" t="s">
        <v>156</v>
      </c>
      <c r="B13" s="12">
        <v>19</v>
      </c>
      <c r="D13" s="8" t="s">
        <v>156</v>
      </c>
      <c r="E13">
        <f>GETPIVOTDATA("Employee ID",$A$2,"Job Title","IT Coordinator")</f>
        <v>19</v>
      </c>
    </row>
    <row r="14" spans="1:5" x14ac:dyDescent="0.25">
      <c r="A14" s="8" t="s">
        <v>31</v>
      </c>
      <c r="B14">
        <v>18</v>
      </c>
    </row>
    <row r="15" spans="1:5" x14ac:dyDescent="0.25">
      <c r="A15" s="8" t="s">
        <v>170</v>
      </c>
      <c r="B15">
        <v>17</v>
      </c>
    </row>
    <row r="16" spans="1:5" ht="15.75" x14ac:dyDescent="0.25">
      <c r="A16" s="8" t="s">
        <v>131</v>
      </c>
      <c r="B16">
        <v>16</v>
      </c>
      <c r="D16" s="31" t="s">
        <v>1809</v>
      </c>
      <c r="E16" s="32">
        <f>GETPIVOTDATA("Employee ID",$A$2)</f>
        <v>831</v>
      </c>
    </row>
    <row r="17" spans="1:2" x14ac:dyDescent="0.25">
      <c r="A17" s="8" t="s">
        <v>70</v>
      </c>
      <c r="B17">
        <v>16</v>
      </c>
    </row>
    <row r="18" spans="1:2" x14ac:dyDescent="0.25">
      <c r="A18" s="8" t="s">
        <v>128</v>
      </c>
      <c r="B18">
        <v>16</v>
      </c>
    </row>
    <row r="19" spans="1:2" x14ac:dyDescent="0.25">
      <c r="A19" s="8" t="s">
        <v>377</v>
      </c>
      <c r="B19">
        <v>15</v>
      </c>
    </row>
    <row r="20" spans="1:2" x14ac:dyDescent="0.25">
      <c r="A20" s="8" t="s">
        <v>38</v>
      </c>
      <c r="B20">
        <v>14</v>
      </c>
    </row>
    <row r="21" spans="1:2" x14ac:dyDescent="0.25">
      <c r="A21" s="8" t="s">
        <v>177</v>
      </c>
      <c r="B21">
        <v>14</v>
      </c>
    </row>
    <row r="22" spans="1:2" x14ac:dyDescent="0.25">
      <c r="A22" s="8" t="s">
        <v>101</v>
      </c>
      <c r="B22">
        <v>14</v>
      </c>
    </row>
    <row r="23" spans="1:2" x14ac:dyDescent="0.25">
      <c r="A23" s="8" t="s">
        <v>405</v>
      </c>
      <c r="B23">
        <v>13</v>
      </c>
    </row>
    <row r="24" spans="1:2" x14ac:dyDescent="0.25">
      <c r="A24" s="8" t="s">
        <v>244</v>
      </c>
      <c r="B24">
        <v>13</v>
      </c>
    </row>
    <row r="25" spans="1:2" x14ac:dyDescent="0.25">
      <c r="A25" s="8" t="s">
        <v>98</v>
      </c>
      <c r="B25">
        <v>13</v>
      </c>
    </row>
    <row r="26" spans="1:2" x14ac:dyDescent="0.25">
      <c r="A26" s="8" t="s">
        <v>410</v>
      </c>
      <c r="B26">
        <v>12</v>
      </c>
    </row>
    <row r="27" spans="1:2" x14ac:dyDescent="0.25">
      <c r="A27" s="8" t="s">
        <v>402</v>
      </c>
      <c r="B27">
        <v>12</v>
      </c>
    </row>
    <row r="28" spans="1:2" x14ac:dyDescent="0.25">
      <c r="A28" s="8" t="s">
        <v>224</v>
      </c>
      <c r="B28">
        <v>11</v>
      </c>
    </row>
    <row r="29" spans="1:2" x14ac:dyDescent="0.25">
      <c r="A29" s="8" t="s">
        <v>352</v>
      </c>
      <c r="B29">
        <v>11</v>
      </c>
    </row>
    <row r="30" spans="1:2" x14ac:dyDescent="0.25">
      <c r="A30" s="8" t="s">
        <v>91</v>
      </c>
      <c r="B30">
        <v>10</v>
      </c>
    </row>
    <row r="31" spans="1:2" x14ac:dyDescent="0.25">
      <c r="A31" s="8" t="s">
        <v>16</v>
      </c>
      <c r="B31">
        <v>10</v>
      </c>
    </row>
    <row r="32" spans="1:2" x14ac:dyDescent="0.25">
      <c r="A32" s="8" t="s">
        <v>195</v>
      </c>
      <c r="B32">
        <v>10</v>
      </c>
    </row>
    <row r="33" spans="1:2" x14ac:dyDescent="0.25">
      <c r="A33" s="8" t="s">
        <v>265</v>
      </c>
      <c r="B33">
        <v>9</v>
      </c>
    </row>
    <row r="34" spans="1:2" x14ac:dyDescent="0.25">
      <c r="A34" s="8" t="s">
        <v>433</v>
      </c>
      <c r="B34">
        <v>7</v>
      </c>
    </row>
    <row r="35" spans="1:2" x14ac:dyDescent="0.25">
      <c r="A35" s="8" t="s">
        <v>229</v>
      </c>
      <c r="B35">
        <v>7</v>
      </c>
    </row>
    <row r="36" spans="1:2" x14ac:dyDescent="0.25">
      <c r="A36" s="8" t="s">
        <v>1743</v>
      </c>
      <c r="B36">
        <v>831</v>
      </c>
    </row>
  </sheetData>
  <conditionalFormatting pivot="1" sqref="B3:B35">
    <cfRule type="top10" dxfId="113" priority="2" rank="5"/>
  </conditionalFormatting>
  <conditionalFormatting pivot="1" sqref="B3:B35">
    <cfRule type="top10" dxfId="112" priority="1" rank="10"/>
  </conditionalFormatting>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5071E-CD99-4891-8463-664A7177CD4C}">
  <sheetPr>
    <tabColor rgb="FFFFC000"/>
  </sheetPr>
  <dimension ref="A1:I10"/>
  <sheetViews>
    <sheetView workbookViewId="0">
      <selection activeCell="C16" sqref="C16"/>
    </sheetView>
  </sheetViews>
  <sheetFormatPr defaultRowHeight="15" x14ac:dyDescent="0.25"/>
  <cols>
    <col min="1" max="1" width="17.28515625" bestFit="1" customWidth="1"/>
    <col min="2" max="2" width="21.42578125" bestFit="1" customWidth="1"/>
    <col min="3" max="3" width="16.28515625" bestFit="1" customWidth="1"/>
    <col min="4" max="4" width="19.140625" bestFit="1" customWidth="1"/>
    <col min="5" max="5" width="5.28515625" customWidth="1"/>
    <col min="6" max="6" width="16.5703125" customWidth="1"/>
    <col min="7" max="7" width="21.140625" customWidth="1"/>
    <col min="8" max="8" width="17.7109375" customWidth="1"/>
    <col min="9" max="9" width="11.5703125" customWidth="1"/>
  </cols>
  <sheetData>
    <row r="1" spans="1:9" ht="20.25" customHeight="1" x14ac:dyDescent="0.25">
      <c r="A1" s="15" t="s">
        <v>3</v>
      </c>
      <c r="B1" s="16" t="s">
        <v>1745</v>
      </c>
      <c r="C1" s="16" t="s">
        <v>1746</v>
      </c>
      <c r="D1" t="s">
        <v>1747</v>
      </c>
      <c r="F1" s="17" t="s">
        <v>3</v>
      </c>
      <c r="G1" s="18" t="s">
        <v>1745</v>
      </c>
      <c r="H1" s="18" t="s">
        <v>1746</v>
      </c>
      <c r="I1" s="17" t="s">
        <v>1810</v>
      </c>
    </row>
    <row r="2" spans="1:9" x14ac:dyDescent="0.25">
      <c r="A2" s="8" t="s">
        <v>32</v>
      </c>
      <c r="B2">
        <v>240</v>
      </c>
      <c r="C2" s="14">
        <v>23154005</v>
      </c>
      <c r="D2" s="37">
        <v>0.22735719373608579</v>
      </c>
      <c r="F2" s="8" t="s">
        <v>32</v>
      </c>
      <c r="G2">
        <f>GETPIVOTDATA("Number of Employees",$A$1,"Department","IT")</f>
        <v>240</v>
      </c>
      <c r="H2" s="2">
        <f>GETPIVOTDATA("Total Salary",$A$1,"Department","IT")</f>
        <v>23154005</v>
      </c>
      <c r="I2" s="37">
        <f>GETPIVOTDATA("Sum of Gross Salary",$A$1,"Department","IT")</f>
        <v>0.22735719373608579</v>
      </c>
    </row>
    <row r="3" spans="1:9" x14ac:dyDescent="0.25">
      <c r="A3" s="8" t="s">
        <v>26</v>
      </c>
      <c r="B3">
        <v>121</v>
      </c>
      <c r="C3" s="14">
        <v>14604365</v>
      </c>
      <c r="D3" s="37">
        <v>0.14340531768467316</v>
      </c>
      <c r="F3" s="8" t="s">
        <v>26</v>
      </c>
      <c r="G3">
        <f>GETPIVOTDATA("Number of Employees",$A$1,"Department","Sales")</f>
        <v>121</v>
      </c>
      <c r="H3" s="2">
        <f>GETPIVOTDATA("Total Salary",$A$1,"Department","Sales")</f>
        <v>14604365</v>
      </c>
      <c r="I3" s="37">
        <f>GETPIVOTDATA("Sum of Gross Salary",$A$1,"Department","Sales")</f>
        <v>0.14340531768467316</v>
      </c>
    </row>
    <row r="4" spans="1:9" x14ac:dyDescent="0.25">
      <c r="A4" s="8" t="s">
        <v>17</v>
      </c>
      <c r="B4">
        <v>116</v>
      </c>
      <c r="C4" s="14">
        <v>13813385</v>
      </c>
      <c r="D4" s="37">
        <v>0.13563841113432176</v>
      </c>
      <c r="F4" s="8" t="s">
        <v>17</v>
      </c>
      <c r="G4">
        <f>GETPIVOTDATA("Number of Employees",$A$1,"Department","Engineering")</f>
        <v>116</v>
      </c>
      <c r="H4" s="2">
        <f>GETPIVOTDATA("Total Salary",$A$1,"Department","Engineering")</f>
        <v>13813385</v>
      </c>
      <c r="I4" s="37">
        <f>GETPIVOTDATA("Sum of Gross Salary",$A$1,"Department","Engineering")</f>
        <v>0.13563841113432176</v>
      </c>
    </row>
    <row r="5" spans="1:9" x14ac:dyDescent="0.25">
      <c r="A5" s="8" t="s">
        <v>52</v>
      </c>
      <c r="B5">
        <v>92</v>
      </c>
      <c r="C5" s="14">
        <v>13368675</v>
      </c>
      <c r="D5" s="37">
        <v>0.13127164963339027</v>
      </c>
      <c r="F5" s="8" t="s">
        <v>52</v>
      </c>
      <c r="G5">
        <f>GETPIVOTDATA("Number of Employees",$A$1,"Department","Accounting")</f>
        <v>92</v>
      </c>
      <c r="H5" s="2">
        <f>GETPIVOTDATA("Total Salary",$A$1,"Department","Accounting")</f>
        <v>13368675</v>
      </c>
      <c r="I5" s="37">
        <f>GETPIVOTDATA("Sum of Gross Salary",$A$1,"Department","Accounting")</f>
        <v>0.13127164963339027</v>
      </c>
    </row>
    <row r="6" spans="1:9" x14ac:dyDescent="0.25">
      <c r="A6" s="8" t="s">
        <v>123</v>
      </c>
      <c r="B6">
        <v>91</v>
      </c>
      <c r="C6" s="14">
        <v>13085185</v>
      </c>
      <c r="D6" s="37">
        <v>0.12848796314579375</v>
      </c>
      <c r="F6" s="8" t="s">
        <v>123</v>
      </c>
      <c r="G6">
        <f>GETPIVOTDATA("Number of Employees",$A$1,"Department","Human Resources")</f>
        <v>91</v>
      </c>
      <c r="H6" s="2">
        <f>GETPIVOTDATA("Total Salary",$A$1,"Department","Human Resources")</f>
        <v>13085185</v>
      </c>
      <c r="I6" s="37">
        <f>GETPIVOTDATA("Sum of Gross Salary",$A$1,"Department","Human Resources")</f>
        <v>0.12848796314579375</v>
      </c>
    </row>
    <row r="7" spans="1:9" x14ac:dyDescent="0.25">
      <c r="A7" s="8" t="s">
        <v>77</v>
      </c>
      <c r="B7">
        <v>90</v>
      </c>
      <c r="C7" s="14">
        <v>13169640</v>
      </c>
      <c r="D7" s="37">
        <v>0.12931725603905264</v>
      </c>
      <c r="F7" s="8" t="s">
        <v>77</v>
      </c>
      <c r="G7">
        <f>GETPIVOTDATA("Number of Employees",$A$1,"Department","Marketing")</f>
        <v>90</v>
      </c>
      <c r="H7" s="2">
        <f>GETPIVOTDATA("Total Salary",$A$1,"Department","Marketing")</f>
        <v>13169640</v>
      </c>
      <c r="I7" s="37">
        <f>GETPIVOTDATA("Sum of Gross Salary",$A$1,"Department","Marketing")</f>
        <v>0.12931725603905264</v>
      </c>
    </row>
    <row r="8" spans="1:9" x14ac:dyDescent="0.25">
      <c r="A8" s="8" t="s">
        <v>58</v>
      </c>
      <c r="B8">
        <v>81</v>
      </c>
      <c r="C8" s="14">
        <v>10644518</v>
      </c>
      <c r="D8" s="37">
        <v>0.10452220862668263</v>
      </c>
      <c r="F8" s="8" t="s">
        <v>58</v>
      </c>
      <c r="G8">
        <f>GETPIVOTDATA("Number of Employees",$A$1,"Department","Finance")</f>
        <v>81</v>
      </c>
      <c r="H8" s="2">
        <f>GETPIVOTDATA("Total Salary",$A$1,"Department","Finance")</f>
        <v>10644518</v>
      </c>
      <c r="I8" s="37">
        <f>GETPIVOTDATA("Sum of Gross Salary",$A$1,"Department","Finance")</f>
        <v>0.10452220862668263</v>
      </c>
    </row>
    <row r="9" spans="1:9" x14ac:dyDescent="0.25">
      <c r="A9" s="8" t="s">
        <v>1743</v>
      </c>
      <c r="B9">
        <v>831</v>
      </c>
      <c r="C9" s="14">
        <v>101839773</v>
      </c>
      <c r="D9" s="37">
        <v>1</v>
      </c>
    </row>
    <row r="10" spans="1:9" x14ac:dyDescent="0.25">
      <c r="F10" s="26" t="s">
        <v>1743</v>
      </c>
      <c r="G10" s="27">
        <f>GETPIVOTDATA("Total Salary",$A$1)</f>
        <v>101839773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BE8D9-3209-47E4-A53E-33446457DB40}">
  <sheetPr>
    <tabColor rgb="FF00B050"/>
  </sheetPr>
  <dimension ref="A1:Q11"/>
  <sheetViews>
    <sheetView workbookViewId="0">
      <selection activeCell="J3" sqref="J3"/>
    </sheetView>
  </sheetViews>
  <sheetFormatPr defaultRowHeight="15" x14ac:dyDescent="0.25"/>
  <cols>
    <col min="1" max="1" width="23.140625" bestFit="1" customWidth="1"/>
    <col min="2" max="2" width="19.140625" bestFit="1" customWidth="1"/>
    <col min="3" max="3" width="4.7109375" customWidth="1"/>
    <col min="4" max="4" width="23.140625" bestFit="1" customWidth="1"/>
    <col min="5" max="5" width="19.140625" bestFit="1" customWidth="1"/>
    <col min="6" max="6" width="6.28515625" customWidth="1"/>
    <col min="7" max="7" width="17.7109375" customWidth="1"/>
    <col min="8" max="8" width="16.85546875" customWidth="1"/>
    <col min="9" max="10" width="17.5703125" customWidth="1"/>
    <col min="11" max="11" width="13" customWidth="1"/>
    <col min="12" max="12" width="16.28515625" customWidth="1"/>
    <col min="13" max="13" width="13.85546875" customWidth="1"/>
    <col min="14" max="14" width="16.42578125" customWidth="1"/>
    <col min="15" max="15" width="6.7109375" customWidth="1"/>
    <col min="16" max="16" width="16.85546875" customWidth="1"/>
    <col min="17" max="17" width="17" customWidth="1"/>
  </cols>
  <sheetData>
    <row r="1" spans="1:17" x14ac:dyDescent="0.25">
      <c r="A1" s="19" t="s">
        <v>5</v>
      </c>
      <c r="B1" t="s">
        <v>19</v>
      </c>
      <c r="D1" s="19" t="s">
        <v>5</v>
      </c>
      <c r="E1" t="s">
        <v>39</v>
      </c>
    </row>
    <row r="2" spans="1:17" ht="18.75" customHeight="1" x14ac:dyDescent="0.25">
      <c r="G2" s="17" t="s">
        <v>4</v>
      </c>
      <c r="H2" s="17" t="s">
        <v>1811</v>
      </c>
      <c r="I2" s="17" t="s">
        <v>39</v>
      </c>
      <c r="J2" s="17" t="s">
        <v>1746</v>
      </c>
      <c r="K2" s="17" t="s">
        <v>1812</v>
      </c>
      <c r="L2" s="17" t="s">
        <v>1813</v>
      </c>
      <c r="M2" s="23"/>
      <c r="O2" s="23"/>
      <c r="Q2" s="23"/>
    </row>
    <row r="3" spans="1:17" x14ac:dyDescent="0.25">
      <c r="A3" s="10" t="s">
        <v>3</v>
      </c>
      <c r="B3" s="11" t="s">
        <v>1747</v>
      </c>
      <c r="D3" s="10" t="s">
        <v>3</v>
      </c>
      <c r="E3" s="11" t="s">
        <v>1747</v>
      </c>
      <c r="G3" s="16" t="s">
        <v>27</v>
      </c>
      <c r="H3" s="24">
        <f>GETPIVOTDATA("Gross Salary",$A$3,"Business Unit","Corporate")</f>
        <v>12107779</v>
      </c>
      <c r="I3" s="24">
        <f>GETPIVOTDATA("Gross Salary",$D$3,"Business Unit","Corporate")</f>
        <v>14853503</v>
      </c>
      <c r="J3" s="24">
        <f>SUM(H3:I3)</f>
        <v>26961282</v>
      </c>
      <c r="K3" s="38">
        <f>H3/$J$3</f>
        <v>0.44908024032388372</v>
      </c>
      <c r="L3" s="38">
        <f>I3/$J$3</f>
        <v>0.55091975967611628</v>
      </c>
      <c r="M3" s="22"/>
      <c r="N3" s="22"/>
      <c r="O3" s="22"/>
      <c r="P3" s="22"/>
      <c r="Q3" s="22"/>
    </row>
    <row r="4" spans="1:17" x14ac:dyDescent="0.25">
      <c r="A4" s="8" t="s">
        <v>27</v>
      </c>
      <c r="B4" s="14">
        <v>12107779</v>
      </c>
      <c r="D4" s="8" t="s">
        <v>27</v>
      </c>
      <c r="E4" s="14">
        <v>14853503</v>
      </c>
      <c r="G4" s="16" t="s">
        <v>18</v>
      </c>
      <c r="H4" s="24">
        <f>GETPIVOTDATA("Gross Salary",$A$3,"Business Unit","Manufacturing")</f>
        <v>12088479</v>
      </c>
      <c r="I4" s="24">
        <f>GETPIVOTDATA("Gross Salary",$D$3,"Business Unit","Manufacturing")</f>
        <v>11212699</v>
      </c>
      <c r="J4" s="24">
        <f t="shared" ref="J4:J6" si="0">SUM(H4:I4)</f>
        <v>23301178</v>
      </c>
      <c r="K4" s="38">
        <f>H4/$J$4</f>
        <v>0.51879261211600547</v>
      </c>
      <c r="L4" s="38">
        <f>I4/$J$4</f>
        <v>0.48120738788399453</v>
      </c>
      <c r="M4" s="22"/>
      <c r="N4" s="22"/>
      <c r="O4" s="22"/>
      <c r="P4" s="22"/>
      <c r="Q4" s="22"/>
    </row>
    <row r="5" spans="1:17" ht="18.75" customHeight="1" x14ac:dyDescent="0.25">
      <c r="A5" s="8" t="s">
        <v>18</v>
      </c>
      <c r="B5" s="14">
        <v>12088479</v>
      </c>
      <c r="D5" s="8" t="s">
        <v>18</v>
      </c>
      <c r="E5" s="14">
        <v>11212699</v>
      </c>
      <c r="G5" s="16" t="s">
        <v>1749</v>
      </c>
      <c r="H5" s="24">
        <f>GETPIVOTDATA("Gross Salary",$A$3,"Business Unit","Research &amp; Development")</f>
        <v>10989294</v>
      </c>
      <c r="I5" s="24">
        <f>GETPIVOTDATA("Gross Salary",$D$3,"Business Unit","Research &amp; Development")</f>
        <v>14573204</v>
      </c>
      <c r="J5" s="24">
        <f t="shared" si="0"/>
        <v>25562498</v>
      </c>
      <c r="K5" s="38">
        <f>H5/$J$5</f>
        <v>0.4298990654199758</v>
      </c>
      <c r="L5" s="38">
        <f>I5/$J$5</f>
        <v>0.5701009345800242</v>
      </c>
      <c r="M5" s="22"/>
      <c r="N5" s="22"/>
      <c r="O5" s="22"/>
      <c r="P5" s="22"/>
      <c r="Q5" s="22"/>
    </row>
    <row r="6" spans="1:17" x14ac:dyDescent="0.25">
      <c r="A6" s="8" t="s">
        <v>33</v>
      </c>
      <c r="B6" s="14">
        <v>10989294</v>
      </c>
      <c r="D6" s="8" t="s">
        <v>33</v>
      </c>
      <c r="E6" s="14">
        <v>14573204</v>
      </c>
      <c r="G6" s="16" t="s">
        <v>53</v>
      </c>
      <c r="H6" s="14">
        <f>GETPIVOTDATA("Gross Salary",$A$3,"Business Unit","Specialty Products")</f>
        <v>12304348</v>
      </c>
      <c r="I6" s="14">
        <f>GETPIVOTDATA("Gross Salary",$D$3,"Business Unit","Specialty Products")</f>
        <v>13710467</v>
      </c>
      <c r="J6" s="24">
        <f t="shared" si="0"/>
        <v>26014815</v>
      </c>
      <c r="K6" s="38">
        <f>H6/$J$6</f>
        <v>0.47297464925274307</v>
      </c>
      <c r="L6" s="38">
        <f>I6/$J$6</f>
        <v>0.52702535074725687</v>
      </c>
    </row>
    <row r="7" spans="1:17" ht="15.75" x14ac:dyDescent="0.25">
      <c r="A7" s="8" t="s">
        <v>53</v>
      </c>
      <c r="B7" s="14">
        <v>12304348</v>
      </c>
      <c r="D7" s="8" t="s">
        <v>53</v>
      </c>
      <c r="E7" s="14">
        <v>13710467</v>
      </c>
      <c r="G7" s="39" t="s">
        <v>1748</v>
      </c>
      <c r="H7" s="40">
        <f>SUM(H3:H6)</f>
        <v>47489900</v>
      </c>
      <c r="I7" s="40">
        <f t="shared" ref="I7:J7" si="1">SUM(I3:I6)</f>
        <v>54349873</v>
      </c>
      <c r="J7" s="40">
        <f t="shared" si="1"/>
        <v>101839773</v>
      </c>
      <c r="K7" s="21"/>
    </row>
    <row r="8" spans="1:17" x14ac:dyDescent="0.25">
      <c r="A8" s="8" t="s">
        <v>1743</v>
      </c>
      <c r="B8" s="14">
        <v>47489900</v>
      </c>
      <c r="D8" s="8" t="s">
        <v>1743</v>
      </c>
      <c r="E8" s="14">
        <v>54349873</v>
      </c>
    </row>
    <row r="11" spans="1:17" x14ac:dyDescent="0.25">
      <c r="A11" s="8"/>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E312C-B2EC-4210-BBCC-5A4122A01483}">
  <sheetPr>
    <tabColor rgb="FF7030A0"/>
  </sheetPr>
  <dimension ref="A1:G6"/>
  <sheetViews>
    <sheetView workbookViewId="0">
      <selection activeCell="K12" sqref="K12"/>
    </sheetView>
  </sheetViews>
  <sheetFormatPr defaultRowHeight="15" x14ac:dyDescent="0.25"/>
  <cols>
    <col min="1" max="1" width="11.28515625" bestFit="1" customWidth="1"/>
    <col min="2" max="2" width="21.42578125" bestFit="1" customWidth="1"/>
    <col min="3" max="3" width="15.42578125" bestFit="1" customWidth="1"/>
    <col min="4" max="4" width="7.42578125" customWidth="1"/>
    <col min="5" max="5" width="13.42578125" customWidth="1"/>
    <col min="6" max="6" width="21.7109375" customWidth="1"/>
    <col min="7" max="7" width="15.85546875" customWidth="1"/>
  </cols>
  <sheetData>
    <row r="1" spans="1:7" ht="22.5" customHeight="1" x14ac:dyDescent="0.25">
      <c r="A1" s="28" t="s">
        <v>6</v>
      </c>
      <c r="B1" s="29" t="s">
        <v>1745</v>
      </c>
      <c r="C1" s="29" t="s">
        <v>1821</v>
      </c>
      <c r="D1" s="11"/>
      <c r="E1" s="46" t="s">
        <v>6</v>
      </c>
      <c r="F1" s="46" t="s">
        <v>1745</v>
      </c>
      <c r="G1" s="47" t="s">
        <v>1821</v>
      </c>
    </row>
    <row r="2" spans="1:7" x14ac:dyDescent="0.25">
      <c r="A2" s="8" t="s">
        <v>20</v>
      </c>
      <c r="B2">
        <v>358</v>
      </c>
      <c r="C2" s="37">
        <v>0.43080625752105894</v>
      </c>
      <c r="E2" t="s">
        <v>20</v>
      </c>
      <c r="F2">
        <f>GETPIVOTDATA("Number of Employees",$A$1,"Ethnicity","Asian")</f>
        <v>358</v>
      </c>
      <c r="G2" s="48">
        <f>GETPIVOTDATA("% of Employees",$A$1,"Ethnicity","Asian")</f>
        <v>0.43080625752105894</v>
      </c>
    </row>
    <row r="3" spans="1:7" x14ac:dyDescent="0.25">
      <c r="A3" s="8" t="s">
        <v>40</v>
      </c>
      <c r="B3">
        <v>231</v>
      </c>
      <c r="C3" s="37">
        <v>0.27797833935018051</v>
      </c>
      <c r="E3" t="s">
        <v>40</v>
      </c>
      <c r="F3">
        <f>GETPIVOTDATA("Number of Employees",$A$1,"Ethnicity","Latino")</f>
        <v>231</v>
      </c>
      <c r="G3" s="48">
        <f>GETPIVOTDATA("% of Employees",$A$1,"Ethnicity","Latino")</f>
        <v>0.27797833935018051</v>
      </c>
    </row>
    <row r="4" spans="1:7" x14ac:dyDescent="0.25">
      <c r="A4" s="8" t="s">
        <v>63</v>
      </c>
      <c r="B4">
        <v>185</v>
      </c>
      <c r="C4" s="37">
        <v>0.22262334536702769</v>
      </c>
      <c r="E4" t="s">
        <v>63</v>
      </c>
      <c r="F4">
        <f>GETPIVOTDATA("Number of Employees",$A$1,"Ethnicity","Caucasian")</f>
        <v>185</v>
      </c>
      <c r="G4" s="48">
        <f>GETPIVOTDATA("% of Employees",$A$1,"Ethnicity","Caucasian")</f>
        <v>0.22262334536702769</v>
      </c>
    </row>
    <row r="5" spans="1:7" x14ac:dyDescent="0.25">
      <c r="A5" s="8" t="s">
        <v>81</v>
      </c>
      <c r="B5">
        <v>57</v>
      </c>
      <c r="C5" s="37">
        <v>6.8592057761732855E-2</v>
      </c>
      <c r="E5" t="s">
        <v>81</v>
      </c>
      <c r="F5">
        <f>GETPIVOTDATA("Number of Employees",$A$1,"Ethnicity","Black")</f>
        <v>57</v>
      </c>
      <c r="G5" s="49">
        <f>GETPIVOTDATA("% of Employees",$A$1,"Ethnicity","Black")</f>
        <v>6.8592057761732855E-2</v>
      </c>
    </row>
    <row r="6" spans="1:7" x14ac:dyDescent="0.25">
      <c r="A6" s="8" t="s">
        <v>1743</v>
      </c>
      <c r="B6">
        <v>831</v>
      </c>
      <c r="C6" s="37">
        <v>1</v>
      </c>
      <c r="E6" s="12" t="s">
        <v>1748</v>
      </c>
      <c r="F6" s="12">
        <f>SUM(F2:F5)</f>
        <v>831</v>
      </c>
      <c r="G6" s="36">
        <f>SUM(G2:G5)</f>
        <v>0.99999999999999989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9C3FD-4C4D-45E1-A32E-FD06D810B4B8}">
  <sheetPr>
    <tabColor theme="5" tint="-0.249977111117893"/>
  </sheetPr>
  <dimension ref="A2:F10"/>
  <sheetViews>
    <sheetView workbookViewId="0">
      <selection activeCell="B5" sqref="B5"/>
    </sheetView>
  </sheetViews>
  <sheetFormatPr defaultRowHeight="15" x14ac:dyDescent="0.25"/>
  <cols>
    <col min="1" max="1" width="17.28515625" bestFit="1" customWidth="1"/>
    <col min="2" max="2" width="19" bestFit="1" customWidth="1"/>
    <col min="4" max="4" width="17.85546875" customWidth="1"/>
    <col min="5" max="5" width="20.7109375" customWidth="1"/>
    <col min="6" max="6" width="15.28515625" customWidth="1"/>
  </cols>
  <sheetData>
    <row r="2" spans="1:6" ht="18.75" customHeight="1" x14ac:dyDescent="0.25">
      <c r="A2" s="15" t="s">
        <v>3</v>
      </c>
      <c r="B2" s="11" t="s">
        <v>1750</v>
      </c>
      <c r="D2" s="25" t="s">
        <v>3</v>
      </c>
      <c r="E2" s="25" t="s">
        <v>1750</v>
      </c>
      <c r="F2" s="25" t="s">
        <v>1751</v>
      </c>
    </row>
    <row r="3" spans="1:6" x14ac:dyDescent="0.25">
      <c r="A3" s="8" t="s">
        <v>52</v>
      </c>
      <c r="B3" s="14">
        <v>2087666.2999999998</v>
      </c>
      <c r="D3" s="8" t="s">
        <v>52</v>
      </c>
      <c r="E3" s="2">
        <f>GETPIVOTDATA("Bonus Amount",$A$2,"Department","Accounting")</f>
        <v>2087666.2999999998</v>
      </c>
      <c r="F3" s="3">
        <f>E3/$E$10</f>
        <v>0.17656909009338784</v>
      </c>
    </row>
    <row r="4" spans="1:6" x14ac:dyDescent="0.25">
      <c r="A4" s="8" t="s">
        <v>123</v>
      </c>
      <c r="B4" s="14">
        <v>1889857.86</v>
      </c>
      <c r="D4" s="8" t="s">
        <v>17</v>
      </c>
      <c r="E4" s="2">
        <f>GETPIVOTDATA("Bonus Amount",$A$2,"Department","Engineering")</f>
        <v>1295044.7100000002</v>
      </c>
      <c r="F4" s="3">
        <f t="shared" ref="F4:F10" si="0">E4/$E$10</f>
        <v>0.10953132982745153</v>
      </c>
    </row>
    <row r="5" spans="1:6" x14ac:dyDescent="0.25">
      <c r="A5" s="8" t="s">
        <v>77</v>
      </c>
      <c r="B5" s="14">
        <v>1838001.67</v>
      </c>
      <c r="D5" s="8" t="s">
        <v>58</v>
      </c>
      <c r="E5" s="2">
        <f>GETPIVOTDATA("Bonus Amount",$A$2,"Department","Finance")</f>
        <v>1436854.2400000007</v>
      </c>
      <c r="F5" s="3">
        <f t="shared" si="0"/>
        <v>0.12152519095299208</v>
      </c>
    </row>
    <row r="6" spans="1:6" x14ac:dyDescent="0.25">
      <c r="A6" s="8" t="s">
        <v>26</v>
      </c>
      <c r="B6" s="14">
        <v>1730571.9400000002</v>
      </c>
      <c r="D6" s="8" t="s">
        <v>123</v>
      </c>
      <c r="E6" s="2">
        <f>GETPIVOTDATA("Bonus Amount",$A$2,"Department","Human Resources")</f>
        <v>1889857.86</v>
      </c>
      <c r="F6" s="3">
        <f t="shared" si="0"/>
        <v>0.15983899474070026</v>
      </c>
    </row>
    <row r="7" spans="1:6" x14ac:dyDescent="0.25">
      <c r="A7" s="8" t="s">
        <v>32</v>
      </c>
      <c r="B7" s="14">
        <v>1545512.7000000002</v>
      </c>
      <c r="D7" s="8" t="s">
        <v>32</v>
      </c>
      <c r="E7" s="2">
        <f>GETPIVOTDATA("Bonus Amount",$A$2,"Department","IT")</f>
        <v>1545512.7000000002</v>
      </c>
      <c r="F7" s="3">
        <f t="shared" si="0"/>
        <v>0.13071522549689821</v>
      </c>
    </row>
    <row r="8" spans="1:6" x14ac:dyDescent="0.25">
      <c r="A8" s="8" t="s">
        <v>58</v>
      </c>
      <c r="B8" s="14">
        <v>1436854.2400000007</v>
      </c>
      <c r="D8" s="8" t="s">
        <v>77</v>
      </c>
      <c r="E8" s="2">
        <f>GETPIVOTDATA("Bonus Amount",$A$2,"Department","Marketing")</f>
        <v>1838001.67</v>
      </c>
      <c r="F8" s="3">
        <f t="shared" si="0"/>
        <v>0.15545314040947411</v>
      </c>
    </row>
    <row r="9" spans="1:6" x14ac:dyDescent="0.25">
      <c r="A9" s="8" t="s">
        <v>17</v>
      </c>
      <c r="B9" s="14">
        <v>1295044.7100000002</v>
      </c>
      <c r="D9" s="8" t="s">
        <v>26</v>
      </c>
      <c r="E9" s="2">
        <f>GETPIVOTDATA("Bonus Amount",$A$2,"Department","Sales")</f>
        <v>1730571.9400000002</v>
      </c>
      <c r="F9" s="3">
        <f t="shared" si="0"/>
        <v>0.14636702847909602</v>
      </c>
    </row>
    <row r="10" spans="1:6" x14ac:dyDescent="0.25">
      <c r="A10" s="8" t="s">
        <v>1743</v>
      </c>
      <c r="B10" s="14">
        <v>11823509.42</v>
      </c>
      <c r="D10" s="26" t="s">
        <v>1748</v>
      </c>
      <c r="E10" s="27">
        <f>SUM(E3:E9)</f>
        <v>11823509.42</v>
      </c>
      <c r="F10" s="21">
        <f t="shared" si="0"/>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90C37-584E-4A73-A0BF-8980E17518F6}">
  <sheetPr>
    <tabColor rgb="FFF97BF0"/>
  </sheetPr>
  <dimension ref="A2:E10"/>
  <sheetViews>
    <sheetView topLeftCell="A2" workbookViewId="0">
      <selection activeCell="B6" sqref="B6"/>
    </sheetView>
  </sheetViews>
  <sheetFormatPr defaultRowHeight="15" x14ac:dyDescent="0.25"/>
  <cols>
    <col min="1" max="1" width="11.42578125" bestFit="1" customWidth="1"/>
    <col min="2" max="2" width="16.5703125" bestFit="1" customWidth="1"/>
    <col min="4" max="4" width="14" customWidth="1"/>
    <col min="5" max="5" width="19.140625" customWidth="1"/>
  </cols>
  <sheetData>
    <row r="2" spans="1:5" ht="20.25" customHeight="1" x14ac:dyDescent="0.25">
      <c r="A2" s="28" t="s">
        <v>1759</v>
      </c>
      <c r="B2" s="29" t="s">
        <v>1760</v>
      </c>
      <c r="D2" s="17" t="s">
        <v>1738</v>
      </c>
      <c r="E2" s="17" t="s">
        <v>1761</v>
      </c>
    </row>
    <row r="3" spans="1:5" x14ac:dyDescent="0.25">
      <c r="A3" s="8" t="s">
        <v>1752</v>
      </c>
      <c r="B3">
        <v>139</v>
      </c>
      <c r="D3" s="8" t="s">
        <v>1752</v>
      </c>
      <c r="E3">
        <f>GETPIVOTDATA("Employee ID",$A$2,"Hire Day","Sunday")</f>
        <v>139</v>
      </c>
    </row>
    <row r="4" spans="1:5" x14ac:dyDescent="0.25">
      <c r="A4" s="8" t="s">
        <v>1753</v>
      </c>
      <c r="B4">
        <v>136</v>
      </c>
      <c r="D4" s="8" t="s">
        <v>1753</v>
      </c>
      <c r="E4">
        <f>GETPIVOTDATA("Employee ID",$A$2,"Hire Day","Monday")</f>
        <v>136</v>
      </c>
    </row>
    <row r="5" spans="1:5" x14ac:dyDescent="0.25">
      <c r="A5" s="8" t="s">
        <v>1757</v>
      </c>
      <c r="B5">
        <v>127</v>
      </c>
      <c r="D5" s="8" t="s">
        <v>1757</v>
      </c>
      <c r="E5">
        <f>GETPIVOTDATA("Employee ID",$A$2,"Hire Day","Friday")</f>
        <v>127</v>
      </c>
    </row>
    <row r="6" spans="1:5" x14ac:dyDescent="0.25">
      <c r="A6" s="8" t="s">
        <v>1755</v>
      </c>
      <c r="B6">
        <v>114</v>
      </c>
      <c r="D6" s="8" t="s">
        <v>1755</v>
      </c>
      <c r="E6">
        <f>GETPIVOTDATA("Employee ID",$A$2,"Hire Day","Wednesday")</f>
        <v>114</v>
      </c>
    </row>
    <row r="7" spans="1:5" x14ac:dyDescent="0.25">
      <c r="A7" s="8" t="s">
        <v>1758</v>
      </c>
      <c r="B7">
        <v>107</v>
      </c>
      <c r="D7" s="8" t="s">
        <v>1758</v>
      </c>
      <c r="E7">
        <f>GETPIVOTDATA("Employee ID",$A$2,"Hire Day","Saturday")</f>
        <v>107</v>
      </c>
    </row>
    <row r="8" spans="1:5" x14ac:dyDescent="0.25">
      <c r="A8" s="8" t="s">
        <v>1754</v>
      </c>
      <c r="B8">
        <v>107</v>
      </c>
      <c r="D8" s="8" t="s">
        <v>1754</v>
      </c>
      <c r="E8">
        <f>GETPIVOTDATA("Employee ID",$A$2,"Hire Day","Tuesday")</f>
        <v>107</v>
      </c>
    </row>
    <row r="9" spans="1:5" x14ac:dyDescent="0.25">
      <c r="A9" s="8" t="s">
        <v>1756</v>
      </c>
      <c r="B9">
        <v>101</v>
      </c>
      <c r="D9" s="8" t="s">
        <v>1756</v>
      </c>
      <c r="E9">
        <f>GETPIVOTDATA("Employee ID",$A$2,"Hire Day","Thursday")</f>
        <v>101</v>
      </c>
    </row>
    <row r="10" spans="1:5" ht="15.75" x14ac:dyDescent="0.25">
      <c r="A10" s="8" t="s">
        <v>1743</v>
      </c>
      <c r="B10">
        <v>831</v>
      </c>
      <c r="D10" s="31" t="s">
        <v>1748</v>
      </c>
      <c r="E10" s="32">
        <f>SUM(E3:E9)</f>
        <v>831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887B3-82A4-4041-B970-6C8CC128E62D}">
  <sheetPr>
    <tabColor rgb="FFFFFF00"/>
  </sheetPr>
  <dimension ref="A2:G15"/>
  <sheetViews>
    <sheetView workbookViewId="0">
      <selection activeCell="A2" sqref="A2:C15"/>
    </sheetView>
  </sheetViews>
  <sheetFormatPr defaultRowHeight="15" x14ac:dyDescent="0.25"/>
  <cols>
    <col min="1" max="1" width="13.7109375" bestFit="1" customWidth="1"/>
    <col min="2" max="2" width="16.5703125" bestFit="1" customWidth="1"/>
    <col min="3" max="3" width="21" bestFit="1" customWidth="1"/>
    <col min="4" max="4" width="5.7109375" customWidth="1"/>
    <col min="5" max="5" width="16.85546875" customWidth="1"/>
    <col min="6" max="6" width="21.5703125" customWidth="1"/>
    <col min="7" max="7" width="13.85546875" customWidth="1"/>
    <col min="8" max="8" width="3.5703125" customWidth="1"/>
    <col min="9" max="9" width="3.7109375" customWidth="1"/>
  </cols>
  <sheetData>
    <row r="2" spans="1:7" ht="20.25" customHeight="1" x14ac:dyDescent="0.25">
      <c r="A2" s="33" t="s">
        <v>1774</v>
      </c>
      <c r="B2" t="s">
        <v>1760</v>
      </c>
      <c r="C2" t="s">
        <v>1822</v>
      </c>
      <c r="E2" s="34" t="s">
        <v>1738</v>
      </c>
      <c r="F2" s="34" t="s">
        <v>1760</v>
      </c>
      <c r="G2" s="34" t="s">
        <v>1751</v>
      </c>
    </row>
    <row r="3" spans="1:7" x14ac:dyDescent="0.25">
      <c r="A3" s="8" t="s">
        <v>1765</v>
      </c>
      <c r="B3">
        <v>81</v>
      </c>
      <c r="C3" s="35">
        <v>9.7472924187725629E-2</v>
      </c>
      <c r="E3" s="8" t="s">
        <v>1765</v>
      </c>
      <c r="F3">
        <f>GETPIVOTDATA("Employee ID",$A$2,"Hire Month","April")</f>
        <v>81</v>
      </c>
      <c r="G3" s="35">
        <f>GETPIVOTDATA("% of Hired Employees",$A$2,"Hire Month","April")</f>
        <v>9.7472924187725629E-2</v>
      </c>
    </row>
    <row r="4" spans="1:7" x14ac:dyDescent="0.25">
      <c r="A4" s="8" t="s">
        <v>1773</v>
      </c>
      <c r="B4">
        <v>77</v>
      </c>
      <c r="C4" s="35">
        <v>9.2659446450060162E-2</v>
      </c>
      <c r="E4" s="8" t="s">
        <v>1773</v>
      </c>
      <c r="F4">
        <f>GETPIVOTDATA("Employee ID",$A$2,"Hire Month","December")</f>
        <v>77</v>
      </c>
      <c r="G4" s="35">
        <f>GETPIVOTDATA("% of Hired Employees",$A$2,"Hire Month","December")</f>
        <v>9.2659446450060162E-2</v>
      </c>
    </row>
    <row r="5" spans="1:7" x14ac:dyDescent="0.25">
      <c r="A5" s="8" t="s">
        <v>1762</v>
      </c>
      <c r="B5">
        <v>76</v>
      </c>
      <c r="C5" s="35">
        <v>9.1456077015643802E-2</v>
      </c>
      <c r="E5" s="8" t="s">
        <v>1762</v>
      </c>
      <c r="F5">
        <f>GETPIVOTDATA("Employee ID",$A$2,"Hire Month","January")</f>
        <v>76</v>
      </c>
      <c r="G5" s="35">
        <f>GETPIVOTDATA("% of Hired Employees",$A$2,"Hire Month","January")</f>
        <v>9.1456077015643802E-2</v>
      </c>
    </row>
    <row r="6" spans="1:7" x14ac:dyDescent="0.25">
      <c r="A6" s="8" t="s">
        <v>1769</v>
      </c>
      <c r="B6">
        <v>75</v>
      </c>
      <c r="C6" s="35">
        <v>9.0252707581227443E-2</v>
      </c>
      <c r="E6" s="8" t="s">
        <v>1769</v>
      </c>
      <c r="F6">
        <f>GETPIVOTDATA("Employee ID",$A$2,"Hire Month","August")</f>
        <v>75</v>
      </c>
      <c r="G6" s="35">
        <f>GETPIVOTDATA("% of Hired Employees",$A$2,"Hire Month","August")</f>
        <v>9.0252707581227443E-2</v>
      </c>
    </row>
    <row r="7" spans="1:7" x14ac:dyDescent="0.25">
      <c r="A7" s="8" t="s">
        <v>1770</v>
      </c>
      <c r="B7">
        <v>72</v>
      </c>
      <c r="C7" s="35">
        <v>8.6642599277978335E-2</v>
      </c>
      <c r="E7" s="8" t="s">
        <v>1770</v>
      </c>
      <c r="F7">
        <f>GETPIVOTDATA("Employee ID",$A$2,"Hire Month","September")</f>
        <v>72</v>
      </c>
      <c r="G7" s="35">
        <f>GETPIVOTDATA("% of Hired Employees",$A$2,"Hire Month","September")</f>
        <v>8.6642599277978335E-2</v>
      </c>
    </row>
    <row r="8" spans="1:7" x14ac:dyDescent="0.25">
      <c r="A8" s="8" t="s">
        <v>1766</v>
      </c>
      <c r="B8">
        <v>72</v>
      </c>
      <c r="C8" s="35">
        <v>8.6642599277978335E-2</v>
      </c>
      <c r="E8" s="8" t="s">
        <v>1766</v>
      </c>
      <c r="F8">
        <f>GETPIVOTDATA("Employee ID",$A$2,"Hire Month","May")</f>
        <v>72</v>
      </c>
      <c r="G8" s="35">
        <f>GETPIVOTDATA("% of Hired Employees",$A$2,"Hire Month","May")</f>
        <v>8.6642599277978335E-2</v>
      </c>
    </row>
    <row r="9" spans="1:7" x14ac:dyDescent="0.25">
      <c r="A9" s="8" t="s">
        <v>1768</v>
      </c>
      <c r="B9">
        <v>69</v>
      </c>
      <c r="C9" s="35">
        <v>8.3032490974729242E-2</v>
      </c>
      <c r="E9" s="8" t="s">
        <v>1768</v>
      </c>
      <c r="F9">
        <f>GETPIVOTDATA("Employee ID",$A$2,"Hire Month","July")</f>
        <v>69</v>
      </c>
      <c r="G9" s="35">
        <f>GETPIVOTDATA("% of Hired Employees",$A$2,"Hire Month","July")</f>
        <v>8.3032490974729242E-2</v>
      </c>
    </row>
    <row r="10" spans="1:7" x14ac:dyDescent="0.25">
      <c r="A10" s="8" t="s">
        <v>1764</v>
      </c>
      <c r="B10">
        <v>68</v>
      </c>
      <c r="C10" s="35">
        <v>8.1829121540312882E-2</v>
      </c>
      <c r="E10" s="8" t="s">
        <v>1764</v>
      </c>
      <c r="F10">
        <f>GETPIVOTDATA("Employee ID",$A$2,"Hire Month","March")</f>
        <v>68</v>
      </c>
      <c r="G10" s="35">
        <f>GETPIVOTDATA("% of Hired Employees",$A$2,"Hire Month","March")</f>
        <v>8.1829121540312882E-2</v>
      </c>
    </row>
    <row r="11" spans="1:7" x14ac:dyDescent="0.25">
      <c r="A11" s="8" t="s">
        <v>1767</v>
      </c>
      <c r="B11">
        <v>63</v>
      </c>
      <c r="C11" s="35">
        <v>7.5812274368231042E-2</v>
      </c>
      <c r="E11" s="8" t="s">
        <v>1767</v>
      </c>
      <c r="F11">
        <f>GETPIVOTDATA("Employee ID",$A$2,"Hire Month","June")</f>
        <v>63</v>
      </c>
      <c r="G11" s="35">
        <f>GETPIVOTDATA("% of Hired Employees",$A$2,"Hire Month","June")</f>
        <v>7.5812274368231042E-2</v>
      </c>
    </row>
    <row r="12" spans="1:7" x14ac:dyDescent="0.25">
      <c r="A12" s="8" t="s">
        <v>1771</v>
      </c>
      <c r="B12">
        <v>61</v>
      </c>
      <c r="C12" s="35">
        <v>7.3405535499398308E-2</v>
      </c>
      <c r="E12" s="8" t="s">
        <v>1771</v>
      </c>
      <c r="F12">
        <f>GETPIVOTDATA("Employee ID",$A$2,"Hire Month","October")</f>
        <v>61</v>
      </c>
      <c r="G12" s="35">
        <f>GETPIVOTDATA("% of Hired Employees",$A$2,"Hire Month","October")</f>
        <v>7.3405535499398308E-2</v>
      </c>
    </row>
    <row r="13" spans="1:7" x14ac:dyDescent="0.25">
      <c r="A13" s="8" t="s">
        <v>1772</v>
      </c>
      <c r="B13">
        <v>60</v>
      </c>
      <c r="C13" s="35">
        <v>7.2202166064981949E-2</v>
      </c>
      <c r="E13" s="8" t="s">
        <v>1772</v>
      </c>
      <c r="F13">
        <f>GETPIVOTDATA("Employee ID",$A$2,"Hire Month","November")</f>
        <v>60</v>
      </c>
      <c r="G13" s="35">
        <f>GETPIVOTDATA("% of Hired Employees",$A$2,"Hire Month","November")</f>
        <v>7.2202166064981949E-2</v>
      </c>
    </row>
    <row r="14" spans="1:7" x14ac:dyDescent="0.25">
      <c r="A14" s="8" t="s">
        <v>1763</v>
      </c>
      <c r="B14">
        <v>57</v>
      </c>
      <c r="C14" s="35">
        <v>6.8592057761732855E-2</v>
      </c>
      <c r="E14" s="8" t="s">
        <v>1763</v>
      </c>
      <c r="F14">
        <f>GETPIVOTDATA("Employee ID",$A$2,"Hire Month","February")</f>
        <v>57</v>
      </c>
      <c r="G14" s="35">
        <f>GETPIVOTDATA("% of Hired Employees",$A$2,"Hire Month","February")</f>
        <v>6.8592057761732855E-2</v>
      </c>
    </row>
    <row r="15" spans="1:7" ht="15.75" x14ac:dyDescent="0.25">
      <c r="A15" s="8" t="s">
        <v>1743</v>
      </c>
      <c r="B15">
        <v>831</v>
      </c>
      <c r="C15" s="37">
        <v>1</v>
      </c>
      <c r="E15" s="31" t="s">
        <v>1748</v>
      </c>
      <c r="F15" s="32">
        <f>SUM(F3:F14)</f>
        <v>831</v>
      </c>
      <c r="G15" s="36">
        <f>SUM(G3:G14)</f>
        <v>0.99999999999999989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8CF1A-85E8-4C7A-918D-CE95B28665EE}">
  <sheetPr>
    <tabColor rgb="FFCBCB2B"/>
  </sheetPr>
  <dimension ref="A2:F33"/>
  <sheetViews>
    <sheetView zoomScale="85" zoomScaleNormal="85" workbookViewId="0">
      <selection activeCell="E34" sqref="E34"/>
    </sheetView>
  </sheetViews>
  <sheetFormatPr defaultRowHeight="15" x14ac:dyDescent="0.25"/>
  <cols>
    <col min="1" max="1" width="12" bestFit="1" customWidth="1"/>
    <col min="2" max="2" width="16.5703125" bestFit="1" customWidth="1"/>
    <col min="4" max="4" width="17" customWidth="1"/>
    <col min="5" max="5" width="26" customWidth="1"/>
    <col min="6" max="6" width="12.7109375" customWidth="1"/>
  </cols>
  <sheetData>
    <row r="2" spans="1:6" ht="23.25" customHeight="1" x14ac:dyDescent="0.25">
      <c r="A2" s="33" t="s">
        <v>1775</v>
      </c>
      <c r="B2" s="16" t="s">
        <v>1760</v>
      </c>
      <c r="C2" s="30"/>
      <c r="D2" s="51" t="s">
        <v>1806</v>
      </c>
      <c r="E2" s="51"/>
      <c r="F2" s="51"/>
    </row>
    <row r="3" spans="1:6" x14ac:dyDescent="0.25">
      <c r="A3" s="8" t="s">
        <v>1804</v>
      </c>
      <c r="B3" s="12">
        <v>69</v>
      </c>
      <c r="D3" s="20" t="s">
        <v>1807</v>
      </c>
      <c r="E3" s="12" t="s">
        <v>1808</v>
      </c>
      <c r="F3" s="12" t="s">
        <v>1751</v>
      </c>
    </row>
    <row r="4" spans="1:6" x14ac:dyDescent="0.25">
      <c r="A4" s="8" t="s">
        <v>1805</v>
      </c>
      <c r="B4" s="12">
        <v>67</v>
      </c>
      <c r="D4" s="8" t="s">
        <v>1804</v>
      </c>
      <c r="E4">
        <f>GETPIVOTDATA("Employee ID",$A$2,"Hire Year","2021")</f>
        <v>69</v>
      </c>
      <c r="F4" s="37">
        <f>E4/$E$15</f>
        <v>8.3032490974729242E-2</v>
      </c>
    </row>
    <row r="5" spans="1:6" x14ac:dyDescent="0.25">
      <c r="A5" s="8" t="s">
        <v>1801</v>
      </c>
      <c r="B5" s="12">
        <v>66</v>
      </c>
      <c r="D5" s="8" t="s">
        <v>1805</v>
      </c>
      <c r="E5">
        <f>GETPIVOTDATA("Employee ID",$A$2,"Hire Year","2022")</f>
        <v>67</v>
      </c>
      <c r="F5" s="37">
        <f t="shared" ref="F5:F13" si="0">E5/$E$15</f>
        <v>8.0625752105896509E-2</v>
      </c>
    </row>
    <row r="6" spans="1:6" x14ac:dyDescent="0.25">
      <c r="A6" s="8" t="s">
        <v>1803</v>
      </c>
      <c r="B6" s="12">
        <v>58</v>
      </c>
      <c r="D6" s="8" t="s">
        <v>1801</v>
      </c>
      <c r="E6">
        <f>GETPIVOTDATA("Employee ID",$A$2,"Hire Year","2018")</f>
        <v>66</v>
      </c>
      <c r="F6" s="37">
        <f t="shared" si="0"/>
        <v>7.9422382671480149E-2</v>
      </c>
    </row>
    <row r="7" spans="1:6" x14ac:dyDescent="0.25">
      <c r="A7" s="8" t="s">
        <v>1802</v>
      </c>
      <c r="B7" s="12">
        <v>46</v>
      </c>
      <c r="D7" s="8" t="s">
        <v>1803</v>
      </c>
      <c r="E7">
        <f>GETPIVOTDATA("Employee ID",$A$2,"Hire Year","2020")</f>
        <v>58</v>
      </c>
      <c r="F7" s="37">
        <f t="shared" si="0"/>
        <v>6.9795427196149215E-2</v>
      </c>
    </row>
    <row r="8" spans="1:6" x14ac:dyDescent="0.25">
      <c r="A8" s="8" t="s">
        <v>1798</v>
      </c>
      <c r="B8" s="12">
        <v>40</v>
      </c>
      <c r="D8" s="8" t="s">
        <v>1802</v>
      </c>
      <c r="E8">
        <f>GETPIVOTDATA("Employee ID",$A$2,"Hire Year","2019")</f>
        <v>46</v>
      </c>
      <c r="F8" s="37">
        <f t="shared" si="0"/>
        <v>5.5354993983152828E-2</v>
      </c>
    </row>
    <row r="9" spans="1:6" x14ac:dyDescent="0.25">
      <c r="A9" s="8" t="s">
        <v>1800</v>
      </c>
      <c r="B9" s="12">
        <v>39</v>
      </c>
      <c r="D9" s="8" t="s">
        <v>1798</v>
      </c>
      <c r="E9">
        <f>GETPIVOTDATA("Employee ID",$A$2,"Hire Year","2015")</f>
        <v>40</v>
      </c>
      <c r="F9" s="37">
        <f t="shared" si="0"/>
        <v>4.8134777376654635E-2</v>
      </c>
    </row>
    <row r="10" spans="1:6" x14ac:dyDescent="0.25">
      <c r="A10" s="8" t="s">
        <v>1796</v>
      </c>
      <c r="B10" s="12">
        <v>35</v>
      </c>
      <c r="D10" s="8" t="s">
        <v>1800</v>
      </c>
      <c r="E10">
        <f>GETPIVOTDATA("Employee ID",$A$2,"Hire Year","2017")</f>
        <v>39</v>
      </c>
      <c r="F10" s="37">
        <f t="shared" si="0"/>
        <v>4.6931407942238268E-2</v>
      </c>
    </row>
    <row r="11" spans="1:6" x14ac:dyDescent="0.25">
      <c r="A11" s="8" t="s">
        <v>1794</v>
      </c>
      <c r="B11" s="12">
        <v>32</v>
      </c>
      <c r="D11" s="8" t="s">
        <v>1796</v>
      </c>
      <c r="E11">
        <f>GETPIVOTDATA("Employee ID",$A$2,"Hire Year","2013")</f>
        <v>35</v>
      </c>
      <c r="F11" s="37">
        <f t="shared" si="0"/>
        <v>4.2117930204572801E-2</v>
      </c>
    </row>
    <row r="12" spans="1:6" x14ac:dyDescent="0.25">
      <c r="A12" s="8" t="s">
        <v>1795</v>
      </c>
      <c r="B12" s="12">
        <v>31</v>
      </c>
      <c r="D12" s="8" t="s">
        <v>1794</v>
      </c>
      <c r="E12">
        <f>GETPIVOTDATA("Employee ID",$A$2,"Hire Year","2011")</f>
        <v>32</v>
      </c>
      <c r="F12" s="37">
        <f t="shared" si="0"/>
        <v>3.8507821901323708E-2</v>
      </c>
    </row>
    <row r="13" spans="1:6" x14ac:dyDescent="0.25">
      <c r="A13" s="8" t="s">
        <v>1792</v>
      </c>
      <c r="B13">
        <v>29</v>
      </c>
      <c r="D13" s="8" t="s">
        <v>1795</v>
      </c>
      <c r="E13">
        <f>GETPIVOTDATA("Employee ID",$A$2,"Hire Year","2012")</f>
        <v>31</v>
      </c>
      <c r="F13" s="37">
        <f t="shared" si="0"/>
        <v>3.7304452466907341E-2</v>
      </c>
    </row>
    <row r="14" spans="1:6" x14ac:dyDescent="0.25">
      <c r="A14" s="8" t="s">
        <v>1797</v>
      </c>
      <c r="B14">
        <v>29</v>
      </c>
    </row>
    <row r="15" spans="1:6" ht="15.75" x14ac:dyDescent="0.25">
      <c r="A15" s="8" t="s">
        <v>1799</v>
      </c>
      <c r="B15">
        <v>26</v>
      </c>
      <c r="D15" s="31" t="s">
        <v>1809</v>
      </c>
      <c r="E15" s="32">
        <f>GETPIVOTDATA("Employee ID",$A$2)</f>
        <v>831</v>
      </c>
    </row>
    <row r="16" spans="1:6" x14ac:dyDescent="0.25">
      <c r="A16" s="8" t="s">
        <v>1788</v>
      </c>
      <c r="B16">
        <v>24</v>
      </c>
    </row>
    <row r="17" spans="1:2" x14ac:dyDescent="0.25">
      <c r="A17" s="8" t="s">
        <v>1791</v>
      </c>
      <c r="B17">
        <v>24</v>
      </c>
    </row>
    <row r="18" spans="1:2" x14ac:dyDescent="0.25">
      <c r="A18" s="8" t="s">
        <v>1793</v>
      </c>
      <c r="B18">
        <v>23</v>
      </c>
    </row>
    <row r="19" spans="1:2" x14ac:dyDescent="0.25">
      <c r="A19" s="8" t="s">
        <v>1786</v>
      </c>
      <c r="B19">
        <v>21</v>
      </c>
    </row>
    <row r="20" spans="1:2" x14ac:dyDescent="0.25">
      <c r="A20" s="8" t="s">
        <v>1787</v>
      </c>
      <c r="B20">
        <v>20</v>
      </c>
    </row>
    <row r="21" spans="1:2" x14ac:dyDescent="0.25">
      <c r="A21" s="8" t="s">
        <v>1785</v>
      </c>
      <c r="B21">
        <v>19</v>
      </c>
    </row>
    <row r="22" spans="1:2" x14ac:dyDescent="0.25">
      <c r="A22" s="8" t="s">
        <v>1790</v>
      </c>
      <c r="B22">
        <v>18</v>
      </c>
    </row>
    <row r="23" spans="1:2" x14ac:dyDescent="0.25">
      <c r="A23" s="8" t="s">
        <v>1789</v>
      </c>
      <c r="B23">
        <v>17</v>
      </c>
    </row>
    <row r="24" spans="1:2" x14ac:dyDescent="0.25">
      <c r="A24" s="8" t="s">
        <v>1780</v>
      </c>
      <c r="B24">
        <v>15</v>
      </c>
    </row>
    <row r="25" spans="1:2" x14ac:dyDescent="0.25">
      <c r="A25" s="8" t="s">
        <v>1782</v>
      </c>
      <c r="B25">
        <v>15</v>
      </c>
    </row>
    <row r="26" spans="1:2" x14ac:dyDescent="0.25">
      <c r="A26" s="8" t="s">
        <v>1784</v>
      </c>
      <c r="B26">
        <v>15</v>
      </c>
    </row>
    <row r="27" spans="1:2" x14ac:dyDescent="0.25">
      <c r="A27" s="8" t="s">
        <v>1781</v>
      </c>
      <c r="B27">
        <v>12</v>
      </c>
    </row>
    <row r="28" spans="1:2" x14ac:dyDescent="0.25">
      <c r="A28" s="8" t="s">
        <v>1776</v>
      </c>
      <c r="B28">
        <v>11</v>
      </c>
    </row>
    <row r="29" spans="1:2" x14ac:dyDescent="0.25">
      <c r="A29" s="8" t="s">
        <v>1779</v>
      </c>
      <c r="B29">
        <v>9</v>
      </c>
    </row>
    <row r="30" spans="1:2" x14ac:dyDescent="0.25">
      <c r="A30" s="8" t="s">
        <v>1783</v>
      </c>
      <c r="B30">
        <v>9</v>
      </c>
    </row>
    <row r="31" spans="1:2" x14ac:dyDescent="0.25">
      <c r="A31" s="8" t="s">
        <v>1777</v>
      </c>
      <c r="B31">
        <v>6</v>
      </c>
    </row>
    <row r="32" spans="1:2" x14ac:dyDescent="0.25">
      <c r="A32" s="8" t="s">
        <v>1778</v>
      </c>
      <c r="B32">
        <v>6</v>
      </c>
    </row>
    <row r="33" spans="1:2" x14ac:dyDescent="0.25">
      <c r="A33" s="8" t="s">
        <v>1743</v>
      </c>
      <c r="B33">
        <v>831</v>
      </c>
    </row>
  </sheetData>
  <mergeCells count="1">
    <mergeCell ref="D2:F2"/>
  </mergeCells>
  <conditionalFormatting pivot="1" sqref="B3:B32">
    <cfRule type="top10" dxfId="60" priority="1" rank="10"/>
  </conditionalFormatting>
  <pageMargins left="0.7" right="0.7" top="0.75" bottom="0.75" header="0.3" footer="0.3"/>
  <ignoredErrors>
    <ignoredError sqref="D4:D13" numberStoredAsText="1"/>
  </ignoredError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51CFE-DB09-4382-A1D8-68F34D03AF8C}">
  <sheetPr>
    <tabColor rgb="FFFF9900"/>
  </sheetPr>
  <dimension ref="A1:J11"/>
  <sheetViews>
    <sheetView workbookViewId="0">
      <selection activeCell="E14" sqref="E14"/>
    </sheetView>
  </sheetViews>
  <sheetFormatPr defaultRowHeight="15" x14ac:dyDescent="0.25"/>
  <cols>
    <col min="1" max="1" width="17.28515625" bestFit="1" customWidth="1"/>
    <col min="2" max="2" width="21.42578125" bestFit="1" customWidth="1"/>
    <col min="3" max="3" width="4.42578125" customWidth="1"/>
    <col min="4" max="4" width="17.28515625" bestFit="1" customWidth="1"/>
    <col min="5" max="5" width="21.42578125" bestFit="1" customWidth="1"/>
    <col min="6" max="6" width="6.28515625" customWidth="1"/>
    <col min="7" max="7" width="19.140625" customWidth="1"/>
  </cols>
  <sheetData>
    <row r="1" spans="1:10" ht="20.25" customHeight="1" x14ac:dyDescent="0.25">
      <c r="A1" s="19" t="s">
        <v>5</v>
      </c>
      <c r="B1" t="s">
        <v>19</v>
      </c>
      <c r="D1" s="19" t="s">
        <v>5</v>
      </c>
      <c r="E1" t="s">
        <v>39</v>
      </c>
      <c r="G1" s="41" t="s">
        <v>3</v>
      </c>
      <c r="H1" s="41" t="s">
        <v>19</v>
      </c>
      <c r="I1" s="41" t="s">
        <v>39</v>
      </c>
      <c r="J1" s="41" t="s">
        <v>1748</v>
      </c>
    </row>
    <row r="2" spans="1:10" x14ac:dyDescent="0.25">
      <c r="G2" s="8" t="s">
        <v>52</v>
      </c>
      <c r="H2">
        <f>GETPIVOTDATA("Employee ID",$A$3,"Department","Accounting")</f>
        <v>42</v>
      </c>
      <c r="I2">
        <f>GETPIVOTDATA("Employee ID",$D$3,"Department","Accounting")</f>
        <v>50</v>
      </c>
      <c r="J2">
        <f>SUM(H2:I2)</f>
        <v>92</v>
      </c>
    </row>
    <row r="3" spans="1:10" x14ac:dyDescent="0.25">
      <c r="A3" s="15" t="s">
        <v>3</v>
      </c>
      <c r="B3" s="16" t="s">
        <v>1745</v>
      </c>
      <c r="D3" s="15" t="s">
        <v>3</v>
      </c>
      <c r="E3" s="16" t="s">
        <v>1745</v>
      </c>
      <c r="G3" s="8" t="s">
        <v>17</v>
      </c>
      <c r="H3">
        <f>GETPIVOTDATA("Employee ID",$A$3,"Department","Engineering")</f>
        <v>59</v>
      </c>
      <c r="I3">
        <f>GETPIVOTDATA("Employee ID",$D$3,"Department","Engineering")</f>
        <v>57</v>
      </c>
      <c r="J3">
        <f t="shared" ref="J3:J9" si="0">SUM(H3:I3)</f>
        <v>116</v>
      </c>
    </row>
    <row r="4" spans="1:10" x14ac:dyDescent="0.25">
      <c r="A4" s="8" t="s">
        <v>52</v>
      </c>
      <c r="B4">
        <v>42</v>
      </c>
      <c r="D4" s="8" t="s">
        <v>52</v>
      </c>
      <c r="E4">
        <v>50</v>
      </c>
      <c r="G4" s="8" t="s">
        <v>58</v>
      </c>
      <c r="H4">
        <f>GETPIVOTDATA("Employee ID",$A$3,"Department","Finance")</f>
        <v>41</v>
      </c>
      <c r="I4">
        <f>GETPIVOTDATA("Employee ID",$D$3,"Department","Finance")</f>
        <v>40</v>
      </c>
      <c r="J4">
        <f t="shared" si="0"/>
        <v>81</v>
      </c>
    </row>
    <row r="5" spans="1:10" x14ac:dyDescent="0.25">
      <c r="A5" s="8" t="s">
        <v>17</v>
      </c>
      <c r="B5">
        <v>59</v>
      </c>
      <c r="D5" s="8" t="s">
        <v>17</v>
      </c>
      <c r="E5">
        <v>57</v>
      </c>
      <c r="G5" s="8" t="s">
        <v>123</v>
      </c>
      <c r="H5">
        <f>GETPIVOTDATA("Employee ID",$A$3,"Department","Human Resources")</f>
        <v>41</v>
      </c>
      <c r="I5">
        <f>GETPIVOTDATA("Employee ID",$D$3,"Department","Human Resources")</f>
        <v>50</v>
      </c>
      <c r="J5">
        <f t="shared" si="0"/>
        <v>91</v>
      </c>
    </row>
    <row r="6" spans="1:10" x14ac:dyDescent="0.25">
      <c r="A6" s="8" t="s">
        <v>58</v>
      </c>
      <c r="B6">
        <v>41</v>
      </c>
      <c r="D6" s="8" t="s">
        <v>58</v>
      </c>
      <c r="E6">
        <v>40</v>
      </c>
      <c r="G6" s="8" t="s">
        <v>32</v>
      </c>
      <c r="H6">
        <f>GETPIVOTDATA("Employee ID",$A$3,"Department","IT")</f>
        <v>125</v>
      </c>
      <c r="I6">
        <f>GETPIVOTDATA("Employee ID",$D$3,"Department","IT")</f>
        <v>115</v>
      </c>
      <c r="J6">
        <f t="shared" si="0"/>
        <v>240</v>
      </c>
    </row>
    <row r="7" spans="1:10" x14ac:dyDescent="0.25">
      <c r="A7" s="8" t="s">
        <v>123</v>
      </c>
      <c r="B7">
        <v>41</v>
      </c>
      <c r="D7" s="8" t="s">
        <v>123</v>
      </c>
      <c r="E7">
        <v>50</v>
      </c>
      <c r="G7" s="8" t="s">
        <v>77</v>
      </c>
      <c r="H7">
        <f>GETPIVOTDATA("Employee ID",$A$3,"Department","Marketing")</f>
        <v>41</v>
      </c>
      <c r="I7">
        <f>GETPIVOTDATA("Employee ID",$D$3,"Department","Marketing")</f>
        <v>49</v>
      </c>
      <c r="J7">
        <f t="shared" si="0"/>
        <v>90</v>
      </c>
    </row>
    <row r="8" spans="1:10" x14ac:dyDescent="0.25">
      <c r="A8" s="8" t="s">
        <v>32</v>
      </c>
      <c r="B8">
        <v>125</v>
      </c>
      <c r="D8" s="8" t="s">
        <v>32</v>
      </c>
      <c r="E8">
        <v>115</v>
      </c>
      <c r="G8" s="8" t="s">
        <v>26</v>
      </c>
      <c r="H8">
        <f>GETPIVOTDATA("Employee ID",$A$3,"Department","Sales")</f>
        <v>61</v>
      </c>
      <c r="I8">
        <f>GETPIVOTDATA("Employee ID",$D$3,"Department","Sales")</f>
        <v>60</v>
      </c>
      <c r="J8">
        <f t="shared" si="0"/>
        <v>121</v>
      </c>
    </row>
    <row r="9" spans="1:10" ht="15.75" x14ac:dyDescent="0.25">
      <c r="A9" s="8" t="s">
        <v>77</v>
      </c>
      <c r="B9">
        <v>41</v>
      </c>
      <c r="D9" s="8" t="s">
        <v>77</v>
      </c>
      <c r="E9">
        <v>49</v>
      </c>
      <c r="G9" s="31" t="s">
        <v>1748</v>
      </c>
      <c r="H9" s="32">
        <f>SUM(H2:H8)</f>
        <v>410</v>
      </c>
      <c r="I9" s="32">
        <f>SUM(I2:I8)</f>
        <v>421</v>
      </c>
      <c r="J9" s="32">
        <f t="shared" si="0"/>
        <v>831</v>
      </c>
    </row>
    <row r="10" spans="1:10" ht="15.75" x14ac:dyDescent="0.25">
      <c r="A10" s="8" t="s">
        <v>26</v>
      </c>
      <c r="B10">
        <v>61</v>
      </c>
      <c r="D10" s="8" t="s">
        <v>26</v>
      </c>
      <c r="E10">
        <v>60</v>
      </c>
      <c r="G10" s="42" t="s">
        <v>1814</v>
      </c>
      <c r="H10" s="43">
        <f>H9/$J$9</f>
        <v>0.49338146811070999</v>
      </c>
      <c r="I10" s="43">
        <f>I9/$J$9</f>
        <v>0.50661853188928996</v>
      </c>
    </row>
    <row r="11" spans="1:10" x14ac:dyDescent="0.25">
      <c r="A11" s="8" t="s">
        <v>1743</v>
      </c>
      <c r="B11">
        <v>410</v>
      </c>
      <c r="D11" s="8" t="s">
        <v>1743</v>
      </c>
      <c r="E11">
        <v>421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5C9D7-49DF-4DFB-9E8A-409AC1C43484}">
  <sheetPr>
    <tabColor theme="0" tint="-0.499984740745262"/>
  </sheetPr>
  <dimension ref="A1:J53"/>
  <sheetViews>
    <sheetView workbookViewId="0">
      <selection activeCell="F4" sqref="F4"/>
    </sheetView>
  </sheetViews>
  <sheetFormatPr defaultRowHeight="15" x14ac:dyDescent="0.25"/>
  <cols>
    <col min="1" max="1" width="11.42578125" bestFit="1" customWidth="1"/>
    <col min="2" max="2" width="21.42578125" bestFit="1" customWidth="1"/>
    <col min="3" max="3" width="4.140625" customWidth="1"/>
    <col min="4" max="4" width="11.42578125" bestFit="1" customWidth="1"/>
    <col min="5" max="5" width="21.42578125" bestFit="1" customWidth="1"/>
    <col min="7" max="7" width="27.85546875" customWidth="1"/>
    <col min="8" max="8" width="9.85546875" customWidth="1"/>
  </cols>
  <sheetData>
    <row r="1" spans="1:10" x14ac:dyDescent="0.25">
      <c r="A1" s="19" t="s">
        <v>5</v>
      </c>
      <c r="B1" t="s">
        <v>19</v>
      </c>
      <c r="D1" s="19" t="s">
        <v>5</v>
      </c>
      <c r="E1" t="s">
        <v>39</v>
      </c>
    </row>
    <row r="3" spans="1:10" ht="20.25" customHeight="1" x14ac:dyDescent="0.25">
      <c r="A3" s="33" t="s">
        <v>13</v>
      </c>
      <c r="B3" s="11" t="s">
        <v>1745</v>
      </c>
      <c r="D3" s="33" t="s">
        <v>13</v>
      </c>
      <c r="E3" s="11" t="s">
        <v>1745</v>
      </c>
      <c r="G3" s="45"/>
      <c r="H3" s="23" t="s">
        <v>19</v>
      </c>
      <c r="I3" s="23" t="s">
        <v>39</v>
      </c>
      <c r="J3" s="39" t="s">
        <v>1748</v>
      </c>
    </row>
    <row r="4" spans="1:10" ht="15.75" x14ac:dyDescent="0.25">
      <c r="A4" s="44">
        <v>35201</v>
      </c>
      <c r="B4">
        <v>1</v>
      </c>
      <c r="D4" s="44">
        <v>39279</v>
      </c>
      <c r="E4">
        <v>1</v>
      </c>
      <c r="G4" s="12" t="s">
        <v>1818</v>
      </c>
      <c r="H4">
        <f>GETPIVOTDATA("Employee ID",$A$3)</f>
        <v>410</v>
      </c>
      <c r="I4">
        <f>GETPIVOTDATA("Employee ID",$D$3)</f>
        <v>421</v>
      </c>
      <c r="J4" s="32">
        <f>SUM(H4:I4)</f>
        <v>831</v>
      </c>
    </row>
    <row r="5" spans="1:10" ht="15.75" x14ac:dyDescent="0.25">
      <c r="A5" s="44">
        <v>37952</v>
      </c>
      <c r="B5">
        <v>1</v>
      </c>
      <c r="D5" s="44">
        <v>39778</v>
      </c>
      <c r="E5">
        <v>1</v>
      </c>
      <c r="G5" s="12" t="s">
        <v>1816</v>
      </c>
      <c r="H5">
        <f>GETPIVOTDATA("Employee ID",$A$3,"Exit Date",)</f>
        <v>362</v>
      </c>
      <c r="I5">
        <f>GETPIVOTDATA("Employee ID",$D$3,"Exit Date",)</f>
        <v>377</v>
      </c>
      <c r="J5" s="32">
        <f>SUM(H5:I5)</f>
        <v>739</v>
      </c>
    </row>
    <row r="6" spans="1:10" ht="15.75" x14ac:dyDescent="0.25">
      <c r="A6" s="44">
        <v>39247</v>
      </c>
      <c r="B6">
        <v>1</v>
      </c>
      <c r="D6" s="44">
        <v>39842</v>
      </c>
      <c r="E6">
        <v>1</v>
      </c>
      <c r="G6" s="12" t="s">
        <v>1817</v>
      </c>
      <c r="H6">
        <f>H4-H5</f>
        <v>48</v>
      </c>
      <c r="I6">
        <f>I4-I5</f>
        <v>44</v>
      </c>
      <c r="J6" s="32">
        <f>SUM(H6:I6)</f>
        <v>92</v>
      </c>
    </row>
    <row r="7" spans="1:10" x14ac:dyDescent="0.25">
      <c r="A7" s="44">
        <v>39577</v>
      </c>
      <c r="B7">
        <v>1</v>
      </c>
      <c r="D7" s="44">
        <v>40317</v>
      </c>
      <c r="E7">
        <v>1</v>
      </c>
    </row>
    <row r="8" spans="1:10" x14ac:dyDescent="0.25">
      <c r="A8" s="44">
        <v>40426</v>
      </c>
      <c r="B8">
        <v>1</v>
      </c>
      <c r="D8" s="44">
        <v>40543</v>
      </c>
      <c r="E8">
        <v>1</v>
      </c>
      <c r="G8" s="12" t="s">
        <v>1819</v>
      </c>
      <c r="H8" s="35"/>
      <c r="I8" s="35"/>
    </row>
    <row r="9" spans="1:10" x14ac:dyDescent="0.25">
      <c r="A9" s="44">
        <v>40711</v>
      </c>
      <c r="B9">
        <v>1</v>
      </c>
      <c r="D9" s="44">
        <v>42159</v>
      </c>
      <c r="E9">
        <v>1</v>
      </c>
      <c r="G9" s="12"/>
      <c r="H9" s="35"/>
      <c r="I9" s="35"/>
    </row>
    <row r="10" spans="1:10" x14ac:dyDescent="0.25">
      <c r="A10" s="44">
        <v>41046</v>
      </c>
      <c r="B10">
        <v>1</v>
      </c>
      <c r="D10" s="44">
        <v>42197</v>
      </c>
      <c r="E10">
        <v>1</v>
      </c>
    </row>
    <row r="11" spans="1:10" x14ac:dyDescent="0.25">
      <c r="A11" s="44">
        <v>41684</v>
      </c>
      <c r="B11">
        <v>1</v>
      </c>
      <c r="D11" s="44">
        <v>42285</v>
      </c>
      <c r="E11">
        <v>1</v>
      </c>
      <c r="G11" s="12"/>
    </row>
    <row r="12" spans="1:10" x14ac:dyDescent="0.25">
      <c r="A12" s="44">
        <v>41940</v>
      </c>
      <c r="B12">
        <v>1</v>
      </c>
      <c r="D12" s="44">
        <v>42676</v>
      </c>
      <c r="E12">
        <v>1</v>
      </c>
    </row>
    <row r="13" spans="1:10" x14ac:dyDescent="0.25">
      <c r="A13" s="44">
        <v>42399</v>
      </c>
      <c r="B13">
        <v>1</v>
      </c>
      <c r="D13" s="44">
        <v>42770</v>
      </c>
      <c r="E13">
        <v>1</v>
      </c>
    </row>
    <row r="14" spans="1:10" x14ac:dyDescent="0.25">
      <c r="A14" s="44">
        <v>42521</v>
      </c>
      <c r="B14">
        <v>1</v>
      </c>
      <c r="D14" s="44">
        <v>42975</v>
      </c>
      <c r="E14">
        <v>1</v>
      </c>
    </row>
    <row r="15" spans="1:10" x14ac:dyDescent="0.25">
      <c r="A15" s="44">
        <v>42654</v>
      </c>
      <c r="B15">
        <v>1</v>
      </c>
      <c r="D15" s="44">
        <v>42992</v>
      </c>
      <c r="E15">
        <v>1</v>
      </c>
    </row>
    <row r="16" spans="1:10" x14ac:dyDescent="0.25">
      <c r="A16" s="44">
        <v>42808</v>
      </c>
      <c r="B16">
        <v>1</v>
      </c>
      <c r="D16" s="44">
        <v>43055</v>
      </c>
      <c r="E16">
        <v>1</v>
      </c>
    </row>
    <row r="17" spans="1:5" x14ac:dyDescent="0.25">
      <c r="A17" s="44">
        <v>42875</v>
      </c>
      <c r="B17">
        <v>1</v>
      </c>
      <c r="D17" s="44">
        <v>43206</v>
      </c>
      <c r="E17">
        <v>1</v>
      </c>
    </row>
    <row r="18" spans="1:5" x14ac:dyDescent="0.25">
      <c r="A18" s="44">
        <v>42988</v>
      </c>
      <c r="B18">
        <v>1</v>
      </c>
      <c r="D18" s="44">
        <v>43281</v>
      </c>
      <c r="E18">
        <v>1</v>
      </c>
    </row>
    <row r="19" spans="1:5" x14ac:dyDescent="0.25">
      <c r="A19" s="44">
        <v>43130</v>
      </c>
      <c r="B19">
        <v>1</v>
      </c>
      <c r="D19" s="44">
        <v>43287</v>
      </c>
      <c r="E19">
        <v>1</v>
      </c>
    </row>
    <row r="20" spans="1:5" x14ac:dyDescent="0.25">
      <c r="A20" s="44">
        <v>43277</v>
      </c>
      <c r="B20">
        <v>1</v>
      </c>
      <c r="D20" s="44">
        <v>43308</v>
      </c>
      <c r="E20">
        <v>1</v>
      </c>
    </row>
    <row r="21" spans="1:5" x14ac:dyDescent="0.25">
      <c r="A21" s="44">
        <v>43704</v>
      </c>
      <c r="B21">
        <v>1</v>
      </c>
      <c r="D21" s="44">
        <v>43535</v>
      </c>
      <c r="E21">
        <v>1</v>
      </c>
    </row>
    <row r="22" spans="1:5" x14ac:dyDescent="0.25">
      <c r="A22" s="44">
        <v>43822</v>
      </c>
      <c r="B22">
        <v>1</v>
      </c>
      <c r="D22" s="44">
        <v>43555</v>
      </c>
      <c r="E22">
        <v>1</v>
      </c>
    </row>
    <row r="23" spans="1:5" x14ac:dyDescent="0.25">
      <c r="A23" s="44">
        <v>43847</v>
      </c>
      <c r="B23">
        <v>1</v>
      </c>
      <c r="D23" s="44">
        <v>43679</v>
      </c>
      <c r="E23">
        <v>1</v>
      </c>
    </row>
    <row r="24" spans="1:5" x14ac:dyDescent="0.25">
      <c r="A24" s="44">
        <v>43909</v>
      </c>
      <c r="B24">
        <v>1</v>
      </c>
      <c r="D24" s="44">
        <v>43709</v>
      </c>
      <c r="E24">
        <v>1</v>
      </c>
    </row>
    <row r="25" spans="1:5" x14ac:dyDescent="0.25">
      <c r="A25" s="44">
        <v>44064</v>
      </c>
      <c r="B25">
        <v>1</v>
      </c>
      <c r="D25" s="44">
        <v>43768</v>
      </c>
      <c r="E25">
        <v>1</v>
      </c>
    </row>
    <row r="26" spans="1:5" x14ac:dyDescent="0.25">
      <c r="A26" s="44">
        <v>44098</v>
      </c>
      <c r="B26">
        <v>1</v>
      </c>
      <c r="D26" s="44">
        <v>43790</v>
      </c>
      <c r="E26">
        <v>1</v>
      </c>
    </row>
    <row r="27" spans="1:5" x14ac:dyDescent="0.25">
      <c r="A27" s="44">
        <v>44286</v>
      </c>
      <c r="B27">
        <v>1</v>
      </c>
      <c r="D27" s="44">
        <v>43825</v>
      </c>
      <c r="E27">
        <v>1</v>
      </c>
    </row>
    <row r="28" spans="1:5" x14ac:dyDescent="0.25">
      <c r="A28" s="44">
        <v>44356</v>
      </c>
      <c r="B28">
        <v>1</v>
      </c>
      <c r="D28" s="44">
        <v>43984</v>
      </c>
      <c r="E28">
        <v>1</v>
      </c>
    </row>
    <row r="29" spans="1:5" x14ac:dyDescent="0.25">
      <c r="A29" s="44">
        <v>44357</v>
      </c>
      <c r="B29">
        <v>1</v>
      </c>
      <c r="D29" s="44">
        <v>44158</v>
      </c>
      <c r="E29">
        <v>1</v>
      </c>
    </row>
    <row r="30" spans="1:5" x14ac:dyDescent="0.25">
      <c r="A30" s="44">
        <v>44364</v>
      </c>
      <c r="B30">
        <v>1</v>
      </c>
      <c r="D30" s="44">
        <v>44232</v>
      </c>
      <c r="E30">
        <v>1</v>
      </c>
    </row>
    <row r="31" spans="1:5" x14ac:dyDescent="0.25">
      <c r="A31" s="44">
        <v>44449</v>
      </c>
      <c r="B31">
        <v>1</v>
      </c>
      <c r="D31" s="44">
        <v>44258</v>
      </c>
      <c r="E31">
        <v>1</v>
      </c>
    </row>
    <row r="32" spans="1:5" x14ac:dyDescent="0.25">
      <c r="A32" s="44">
        <v>44492</v>
      </c>
      <c r="B32">
        <v>1</v>
      </c>
      <c r="D32" s="44">
        <v>44284</v>
      </c>
      <c r="E32">
        <v>1</v>
      </c>
    </row>
    <row r="33" spans="1:5" x14ac:dyDescent="0.25">
      <c r="A33" s="44">
        <v>44507</v>
      </c>
      <c r="B33">
        <v>1</v>
      </c>
      <c r="D33" s="44">
        <v>44404</v>
      </c>
      <c r="E33">
        <v>1</v>
      </c>
    </row>
    <row r="34" spans="1:5" x14ac:dyDescent="0.25">
      <c r="A34" s="44">
        <v>44511</v>
      </c>
      <c r="B34">
        <v>1</v>
      </c>
      <c r="D34" s="44">
        <v>44412</v>
      </c>
      <c r="E34">
        <v>1</v>
      </c>
    </row>
    <row r="35" spans="1:5" x14ac:dyDescent="0.25">
      <c r="A35" s="44">
        <v>44629</v>
      </c>
      <c r="B35">
        <v>1</v>
      </c>
      <c r="D35" s="44">
        <v>44456</v>
      </c>
      <c r="E35">
        <v>1</v>
      </c>
    </row>
    <row r="36" spans="1:5" x14ac:dyDescent="0.25">
      <c r="A36" s="44">
        <v>44735</v>
      </c>
      <c r="B36">
        <v>1</v>
      </c>
      <c r="D36" s="44">
        <v>44476</v>
      </c>
      <c r="E36">
        <v>1</v>
      </c>
    </row>
    <row r="37" spans="1:5" x14ac:dyDescent="0.25">
      <c r="A37" s="44">
        <v>44739</v>
      </c>
      <c r="B37">
        <v>1</v>
      </c>
      <c r="D37" s="44">
        <v>44490</v>
      </c>
      <c r="E37">
        <v>1</v>
      </c>
    </row>
    <row r="38" spans="1:5" x14ac:dyDescent="0.25">
      <c r="A38" s="44">
        <v>44750</v>
      </c>
      <c r="B38">
        <v>1</v>
      </c>
      <c r="D38" s="44">
        <v>44587</v>
      </c>
      <c r="E38">
        <v>1</v>
      </c>
    </row>
    <row r="39" spans="1:5" x14ac:dyDescent="0.25">
      <c r="A39" s="44">
        <v>44754</v>
      </c>
      <c r="B39">
        <v>1</v>
      </c>
      <c r="D39" s="44">
        <v>44697</v>
      </c>
      <c r="E39">
        <v>1</v>
      </c>
    </row>
    <row r="40" spans="1:5" x14ac:dyDescent="0.25">
      <c r="A40" s="44">
        <v>44759</v>
      </c>
      <c r="B40">
        <v>1</v>
      </c>
      <c r="D40" s="44">
        <v>44723</v>
      </c>
      <c r="E40">
        <v>1</v>
      </c>
    </row>
    <row r="41" spans="1:5" x14ac:dyDescent="0.25">
      <c r="A41" s="44">
        <v>44808</v>
      </c>
      <c r="B41">
        <v>1</v>
      </c>
      <c r="D41" s="44">
        <v>44741</v>
      </c>
      <c r="E41">
        <v>1</v>
      </c>
    </row>
    <row r="42" spans="1:5" x14ac:dyDescent="0.25">
      <c r="A42" s="44">
        <v>44833</v>
      </c>
      <c r="B42">
        <v>1</v>
      </c>
      <c r="D42" s="44">
        <v>44793</v>
      </c>
      <c r="E42">
        <v>1</v>
      </c>
    </row>
    <row r="43" spans="1:5" x14ac:dyDescent="0.25">
      <c r="A43" s="44">
        <v>44851</v>
      </c>
      <c r="B43">
        <v>1</v>
      </c>
      <c r="D43" s="44">
        <v>44851</v>
      </c>
      <c r="E43">
        <v>1</v>
      </c>
    </row>
    <row r="44" spans="1:5" x14ac:dyDescent="0.25">
      <c r="A44" s="44">
        <v>44854</v>
      </c>
      <c r="B44">
        <v>1</v>
      </c>
      <c r="D44" s="44">
        <v>44883</v>
      </c>
      <c r="E44">
        <v>1</v>
      </c>
    </row>
    <row r="45" spans="1:5" x14ac:dyDescent="0.25">
      <c r="A45" s="44">
        <v>44863</v>
      </c>
      <c r="B45">
        <v>1</v>
      </c>
      <c r="D45" s="44">
        <v>44951</v>
      </c>
      <c r="E45">
        <v>1</v>
      </c>
    </row>
    <row r="46" spans="1:5" x14ac:dyDescent="0.25">
      <c r="A46" s="44">
        <v>44867</v>
      </c>
      <c r="B46">
        <v>1</v>
      </c>
      <c r="D46" s="44">
        <v>44958</v>
      </c>
      <c r="E46">
        <v>1</v>
      </c>
    </row>
    <row r="47" spans="1:5" x14ac:dyDescent="0.25">
      <c r="A47" s="44">
        <v>44902</v>
      </c>
      <c r="B47">
        <v>1</v>
      </c>
      <c r="D47" s="44">
        <v>44959</v>
      </c>
      <c r="E47">
        <v>1</v>
      </c>
    </row>
    <row r="48" spans="1:5" x14ac:dyDescent="0.25">
      <c r="A48" s="44">
        <v>44934</v>
      </c>
      <c r="B48">
        <v>1</v>
      </c>
      <c r="D48" s="8" t="s">
        <v>1815</v>
      </c>
      <c r="E48">
        <v>377</v>
      </c>
    </row>
    <row r="49" spans="1:5" x14ac:dyDescent="0.25">
      <c r="A49" s="44">
        <v>44936</v>
      </c>
      <c r="B49">
        <v>1</v>
      </c>
      <c r="D49" s="8" t="s">
        <v>1743</v>
      </c>
      <c r="E49">
        <v>421</v>
      </c>
    </row>
    <row r="50" spans="1:5" x14ac:dyDescent="0.25">
      <c r="A50" s="44">
        <v>44951</v>
      </c>
      <c r="B50">
        <v>1</v>
      </c>
    </row>
    <row r="51" spans="1:5" x14ac:dyDescent="0.25">
      <c r="A51" s="44">
        <v>44969</v>
      </c>
      <c r="B51">
        <v>1</v>
      </c>
    </row>
    <row r="52" spans="1:5" x14ac:dyDescent="0.25">
      <c r="A52" s="8" t="s">
        <v>1815</v>
      </c>
      <c r="B52">
        <v>362</v>
      </c>
    </row>
    <row r="53" spans="1:5" x14ac:dyDescent="0.25">
      <c r="A53" s="8" t="s">
        <v>1743</v>
      </c>
      <c r="B53">
        <v>410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7C4F2-776F-43AF-8BDD-AB92880CE408}">
  <sheetPr>
    <tabColor rgb="FFFFB521"/>
  </sheetPr>
  <dimension ref="A1"/>
  <sheetViews>
    <sheetView showGridLines="0" tabSelected="1" zoomScale="90" zoomScaleNormal="90" workbookViewId="0">
      <selection activeCell="W19" sqref="W19"/>
    </sheetView>
  </sheetViews>
  <sheetFormatPr defaultRowHeight="15" x14ac:dyDescent="0.25"/>
  <cols>
    <col min="1" max="16384" width="9.140625" style="5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20D28-92E0-459A-9EE0-C10E3BD8922B}">
  <dimension ref="A1:T967"/>
  <sheetViews>
    <sheetView zoomScaleNormal="100" workbookViewId="0">
      <selection activeCell="A5" sqref="A5"/>
    </sheetView>
  </sheetViews>
  <sheetFormatPr defaultRowHeight="15" x14ac:dyDescent="0.25"/>
  <cols>
    <col min="1" max="1" width="14.42578125" customWidth="1"/>
    <col min="2" max="2" width="20.7109375" customWidth="1"/>
    <col min="3" max="3" width="27.7109375" bestFit="1" customWidth="1"/>
    <col min="4" max="4" width="15.42578125" customWidth="1"/>
    <col min="5" max="5" width="23.42578125" customWidth="1"/>
    <col min="6" max="6" width="13.85546875" customWidth="1"/>
    <col min="7" max="7" width="14.85546875" customWidth="1"/>
    <col min="8" max="8" width="12.28515625" customWidth="1"/>
    <col min="9" max="10" width="15.140625" style="1" customWidth="1"/>
    <col min="11" max="11" width="16.28515625" style="1" customWidth="1"/>
    <col min="12" max="12" width="15.140625" style="1" customWidth="1"/>
    <col min="13" max="13" width="15.7109375" style="2" customWidth="1"/>
    <col min="14" max="14" width="15" style="3" customWidth="1"/>
    <col min="15" max="15" width="17.28515625" style="3" customWidth="1"/>
    <col min="16" max="16" width="15" style="3" customWidth="1"/>
    <col min="17" max="17" width="12.85546875" bestFit="1" customWidth="1"/>
    <col min="18" max="18" width="13.5703125" bestFit="1" customWidth="1"/>
    <col min="19" max="19" width="11.7109375" style="1" customWidth="1"/>
    <col min="20" max="20" width="14.5703125" customWidth="1"/>
  </cols>
  <sheetData>
    <row r="1" spans="1:20" ht="30.75" customHeight="1" x14ac:dyDescent="0.25">
      <c r="A1" s="4" t="s">
        <v>0</v>
      </c>
      <c r="B1" s="4" t="s">
        <v>1</v>
      </c>
      <c r="C1" s="4" t="s">
        <v>2</v>
      </c>
      <c r="D1" s="4" t="s">
        <v>3</v>
      </c>
      <c r="E1" s="4" t="s">
        <v>4</v>
      </c>
      <c r="F1" s="4" t="s">
        <v>5</v>
      </c>
      <c r="G1" s="4" t="s">
        <v>6</v>
      </c>
      <c r="H1" s="4" t="s">
        <v>7</v>
      </c>
      <c r="I1" s="5" t="s">
        <v>8</v>
      </c>
      <c r="J1" s="5" t="s">
        <v>1738</v>
      </c>
      <c r="K1" s="5" t="s">
        <v>1739</v>
      </c>
      <c r="L1" s="5" t="s">
        <v>1740</v>
      </c>
      <c r="M1" s="6" t="s">
        <v>9</v>
      </c>
      <c r="N1" s="7" t="s">
        <v>10</v>
      </c>
      <c r="O1" s="7" t="s">
        <v>1744</v>
      </c>
      <c r="P1" s="7" t="s">
        <v>1741</v>
      </c>
      <c r="Q1" s="4" t="s">
        <v>11</v>
      </c>
      <c r="R1" s="4" t="s">
        <v>12</v>
      </c>
      <c r="S1" s="5" t="s">
        <v>13</v>
      </c>
      <c r="T1" s="5" t="s">
        <v>1742</v>
      </c>
    </row>
    <row r="2" spans="1:20" x14ac:dyDescent="0.25">
      <c r="A2" t="s">
        <v>14</v>
      </c>
      <c r="B2" t="s">
        <v>15</v>
      </c>
      <c r="C2" t="s">
        <v>16</v>
      </c>
      <c r="D2" t="s">
        <v>17</v>
      </c>
      <c r="E2" t="s">
        <v>18</v>
      </c>
      <c r="F2" t="s">
        <v>19</v>
      </c>
      <c r="G2" t="s">
        <v>20</v>
      </c>
      <c r="H2">
        <v>47</v>
      </c>
      <c r="I2" s="1">
        <v>44597</v>
      </c>
      <c r="J2" s="1" t="str">
        <f>TEXT(Employee_Sample_Data_1[[#This Row],[Hire Date]], "dddd")</f>
        <v>Saturday</v>
      </c>
      <c r="K2" s="1" t="str">
        <f>TEXT(Employee_Sample_Data_1[[#This Row],[Hire Date]], "mmmm")</f>
        <v>February</v>
      </c>
      <c r="L2" s="1" t="str">
        <f>TEXT(Employee_Sample_Data_1[[#This Row],[Hire Date]], "yyyy")</f>
        <v>2022</v>
      </c>
      <c r="M2" s="2">
        <v>92368</v>
      </c>
      <c r="N2" s="3">
        <v>0</v>
      </c>
      <c r="O2" s="9">
        <f>PRODUCT(Employee_Sample_Data_1[[#This Row],[Annual Salary]],Employee_Sample_Data_1[[#This Row],[Bonus %]])</f>
        <v>0</v>
      </c>
      <c r="P2" s="2">
        <f>ROUND(Employee_Sample_Data_1[[#This Row],[Annual Salary]]*(1+Employee_Sample_Data_1[[#This Row],[Bonus %]]), 0)</f>
        <v>92368</v>
      </c>
      <c r="Q2" t="s">
        <v>21</v>
      </c>
      <c r="R2" t="s">
        <v>22</v>
      </c>
      <c r="T2">
        <f ca="1">DATEDIF(Employee_Sample_Data_1[[#This Row],[Hire Date]], IF(Employee_Sample_Data_1[[#This Row],[Exit Date]] = "", TODAY(), Employee_Sample_Data_1[[#This Row],[Exit Date]]), "Y")</f>
        <v>4</v>
      </c>
    </row>
    <row r="3" spans="1:20" x14ac:dyDescent="0.25">
      <c r="A3" t="s">
        <v>23</v>
      </c>
      <c r="B3" t="s">
        <v>24</v>
      </c>
      <c r="C3" t="s">
        <v>25</v>
      </c>
      <c r="D3" t="s">
        <v>26</v>
      </c>
      <c r="E3" t="s">
        <v>27</v>
      </c>
      <c r="F3" t="s">
        <v>19</v>
      </c>
      <c r="G3" t="s">
        <v>20</v>
      </c>
      <c r="H3">
        <v>58</v>
      </c>
      <c r="I3" s="1">
        <v>41570</v>
      </c>
      <c r="J3" s="1" t="str">
        <f>TEXT(Employee_Sample_Data_1[[#This Row],[Hire Date]], "dddd")</f>
        <v>Wednesday</v>
      </c>
      <c r="K3" s="1" t="str">
        <f>TEXT(Employee_Sample_Data_1[[#This Row],[Hire Date]], "mmmm")</f>
        <v>October</v>
      </c>
      <c r="L3" s="1" t="str">
        <f>TEXT(Employee_Sample_Data_1[[#This Row],[Hire Date]], "yyyy")</f>
        <v>2013</v>
      </c>
      <c r="M3" s="2">
        <v>45703</v>
      </c>
      <c r="N3" s="3">
        <v>0</v>
      </c>
      <c r="O3" s="9">
        <f>PRODUCT(Employee_Sample_Data_1[[#This Row],[Annual Salary]],Employee_Sample_Data_1[[#This Row],[Bonus %]])</f>
        <v>0</v>
      </c>
      <c r="P3" s="2">
        <f>ROUND(Employee_Sample_Data_1[[#This Row],[Annual Salary]]*(1+Employee_Sample_Data_1[[#This Row],[Bonus %]]), 0)</f>
        <v>45703</v>
      </c>
      <c r="Q3" t="s">
        <v>21</v>
      </c>
      <c r="R3" t="s">
        <v>28</v>
      </c>
      <c r="T3">
        <f ca="1">DATEDIF(Employee_Sample_Data_1[[#This Row],[Hire Date]], IF(Employee_Sample_Data_1[[#This Row],[Exit Date]] = "", TODAY(), Employee_Sample_Data_1[[#This Row],[Exit Date]]), "Y")</f>
        <v>12</v>
      </c>
    </row>
    <row r="4" spans="1:20" x14ac:dyDescent="0.25">
      <c r="A4" t="s">
        <v>29</v>
      </c>
      <c r="B4" t="s">
        <v>30</v>
      </c>
      <c r="C4" t="s">
        <v>31</v>
      </c>
      <c r="D4" t="s">
        <v>32</v>
      </c>
      <c r="E4" t="s">
        <v>33</v>
      </c>
      <c r="F4" t="s">
        <v>19</v>
      </c>
      <c r="G4" t="s">
        <v>20</v>
      </c>
      <c r="H4">
        <v>34</v>
      </c>
      <c r="I4" s="1">
        <v>43548</v>
      </c>
      <c r="J4" s="1" t="str">
        <f>TEXT(Employee_Sample_Data_1[[#This Row],[Hire Date]], "dddd")</f>
        <v>Sunday</v>
      </c>
      <c r="K4" s="1" t="str">
        <f>TEXT(Employee_Sample_Data_1[[#This Row],[Hire Date]], "mmmm")</f>
        <v>March</v>
      </c>
      <c r="L4" s="1" t="str">
        <f>TEXT(Employee_Sample_Data_1[[#This Row],[Hire Date]], "yyyy")</f>
        <v>2019</v>
      </c>
      <c r="M4" s="2">
        <v>83576</v>
      </c>
      <c r="N4" s="3">
        <v>0</v>
      </c>
      <c r="O4" s="9">
        <f>PRODUCT(Employee_Sample_Data_1[[#This Row],[Annual Salary]],Employee_Sample_Data_1[[#This Row],[Bonus %]])</f>
        <v>0</v>
      </c>
      <c r="P4" s="2">
        <f>ROUND(Employee_Sample_Data_1[[#This Row],[Annual Salary]]*(1+Employee_Sample_Data_1[[#This Row],[Bonus %]]), 0)</f>
        <v>83576</v>
      </c>
      <c r="Q4" t="s">
        <v>34</v>
      </c>
      <c r="R4" t="s">
        <v>35</v>
      </c>
      <c r="T4">
        <f ca="1">DATEDIF(Employee_Sample_Data_1[[#This Row],[Hire Date]], IF(Employee_Sample_Data_1[[#This Row],[Exit Date]] = "", TODAY(), Employee_Sample_Data_1[[#This Row],[Exit Date]]), "Y")</f>
        <v>7</v>
      </c>
    </row>
    <row r="5" spans="1:20" x14ac:dyDescent="0.25">
      <c r="A5" t="s">
        <v>36</v>
      </c>
      <c r="B5" t="s">
        <v>37</v>
      </c>
      <c r="C5" t="s">
        <v>38</v>
      </c>
      <c r="D5" t="s">
        <v>32</v>
      </c>
      <c r="E5" t="s">
        <v>27</v>
      </c>
      <c r="F5" t="s">
        <v>39</v>
      </c>
      <c r="G5" t="s">
        <v>40</v>
      </c>
      <c r="H5">
        <v>39</v>
      </c>
      <c r="I5" s="1">
        <v>43197</v>
      </c>
      <c r="J5" s="1" t="str">
        <f>TEXT(Employee_Sample_Data_1[[#This Row],[Hire Date]], "dddd")</f>
        <v>Saturday</v>
      </c>
      <c r="K5" s="1" t="str">
        <f>TEXT(Employee_Sample_Data_1[[#This Row],[Hire Date]], "mmmm")</f>
        <v>April</v>
      </c>
      <c r="L5" s="1" t="str">
        <f>TEXT(Employee_Sample_Data_1[[#This Row],[Hire Date]], "yyyy")</f>
        <v>2018</v>
      </c>
      <c r="M5" s="2">
        <v>98062</v>
      </c>
      <c r="N5" s="3">
        <v>0</v>
      </c>
      <c r="O5" s="9">
        <f>PRODUCT(Employee_Sample_Data_1[[#This Row],[Annual Salary]],Employee_Sample_Data_1[[#This Row],[Bonus %]])</f>
        <v>0</v>
      </c>
      <c r="P5" s="2">
        <f>ROUND(Employee_Sample_Data_1[[#This Row],[Annual Salary]]*(1+Employee_Sample_Data_1[[#This Row],[Bonus %]]), 0)</f>
        <v>98062</v>
      </c>
      <c r="Q5" t="s">
        <v>21</v>
      </c>
      <c r="R5" t="s">
        <v>41</v>
      </c>
      <c r="T5">
        <f ca="1">DATEDIF(Employee_Sample_Data_1[[#This Row],[Hire Date]], IF(Employee_Sample_Data_1[[#This Row],[Exit Date]] = "", TODAY(), Employee_Sample_Data_1[[#This Row],[Exit Date]]), "Y")</f>
        <v>8</v>
      </c>
    </row>
    <row r="6" spans="1:20" x14ac:dyDescent="0.25">
      <c r="A6" t="s">
        <v>42</v>
      </c>
      <c r="B6" t="s">
        <v>43</v>
      </c>
      <c r="C6" t="s">
        <v>44</v>
      </c>
      <c r="D6" t="s">
        <v>17</v>
      </c>
      <c r="E6" t="s">
        <v>27</v>
      </c>
      <c r="F6" t="s">
        <v>39</v>
      </c>
      <c r="G6" t="s">
        <v>40</v>
      </c>
      <c r="H6">
        <v>42</v>
      </c>
      <c r="I6" s="1">
        <v>38521</v>
      </c>
      <c r="J6" s="1" t="str">
        <f>TEXT(Employee_Sample_Data_1[[#This Row],[Hire Date]], "dddd")</f>
        <v>Saturday</v>
      </c>
      <c r="K6" s="1" t="str">
        <f>TEXT(Employee_Sample_Data_1[[#This Row],[Hire Date]], "mmmm")</f>
        <v>June</v>
      </c>
      <c r="L6" s="1" t="str">
        <f>TEXT(Employee_Sample_Data_1[[#This Row],[Hire Date]], "yyyy")</f>
        <v>2005</v>
      </c>
      <c r="M6" s="2">
        <v>175391</v>
      </c>
      <c r="N6" s="3">
        <v>0.24</v>
      </c>
      <c r="O6" s="9">
        <f>PRODUCT(Employee_Sample_Data_1[[#This Row],[Annual Salary]],Employee_Sample_Data_1[[#This Row],[Bonus %]])</f>
        <v>42093.84</v>
      </c>
      <c r="P6" s="2">
        <f>ROUND(Employee_Sample_Data_1[[#This Row],[Annual Salary]]*(1+Employee_Sample_Data_1[[#This Row],[Bonus %]]), 0)</f>
        <v>217485</v>
      </c>
      <c r="Q6" t="s">
        <v>21</v>
      </c>
      <c r="R6" t="s">
        <v>45</v>
      </c>
      <c r="T6">
        <f ca="1">DATEDIF(Employee_Sample_Data_1[[#This Row],[Hire Date]], IF(Employee_Sample_Data_1[[#This Row],[Exit Date]] = "", TODAY(), Employee_Sample_Data_1[[#This Row],[Exit Date]]), "Y")</f>
        <v>20</v>
      </c>
    </row>
    <row r="7" spans="1:20" x14ac:dyDescent="0.25">
      <c r="A7" t="s">
        <v>46</v>
      </c>
      <c r="B7" t="s">
        <v>47</v>
      </c>
      <c r="C7" t="s">
        <v>31</v>
      </c>
      <c r="D7" t="s">
        <v>32</v>
      </c>
      <c r="E7" t="s">
        <v>18</v>
      </c>
      <c r="F7" t="s">
        <v>19</v>
      </c>
      <c r="G7" t="s">
        <v>20</v>
      </c>
      <c r="H7">
        <v>62</v>
      </c>
      <c r="I7" s="1">
        <v>38099</v>
      </c>
      <c r="J7" s="1" t="str">
        <f>TEXT(Employee_Sample_Data_1[[#This Row],[Hire Date]], "dddd")</f>
        <v>Thursday</v>
      </c>
      <c r="K7" s="1" t="str">
        <f>TEXT(Employee_Sample_Data_1[[#This Row],[Hire Date]], "mmmm")</f>
        <v>April</v>
      </c>
      <c r="L7" s="1" t="str">
        <f>TEXT(Employee_Sample_Data_1[[#This Row],[Hire Date]], "yyyy")</f>
        <v>2004</v>
      </c>
      <c r="M7" s="2">
        <v>66227</v>
      </c>
      <c r="N7" s="3">
        <v>0</v>
      </c>
      <c r="O7" s="9">
        <f>PRODUCT(Employee_Sample_Data_1[[#This Row],[Annual Salary]],Employee_Sample_Data_1[[#This Row],[Bonus %]])</f>
        <v>0</v>
      </c>
      <c r="P7" s="2">
        <f>ROUND(Employee_Sample_Data_1[[#This Row],[Annual Salary]]*(1+Employee_Sample_Data_1[[#This Row],[Bonus %]]), 0)</f>
        <v>66227</v>
      </c>
      <c r="Q7" t="s">
        <v>21</v>
      </c>
      <c r="R7" t="s">
        <v>48</v>
      </c>
      <c r="S7" s="1">
        <v>41684</v>
      </c>
      <c r="T7">
        <f ca="1">DATEDIF(Employee_Sample_Data_1[[#This Row],[Hire Date]], IF(Employee_Sample_Data_1[[#This Row],[Exit Date]] = "", TODAY(), Employee_Sample_Data_1[[#This Row],[Exit Date]]), "Y")</f>
        <v>9</v>
      </c>
    </row>
    <row r="8" spans="1:20" x14ac:dyDescent="0.25">
      <c r="A8" t="s">
        <v>49</v>
      </c>
      <c r="B8" t="s">
        <v>50</v>
      </c>
      <c r="C8" t="s">
        <v>51</v>
      </c>
      <c r="D8" t="s">
        <v>52</v>
      </c>
      <c r="E8" t="s">
        <v>53</v>
      </c>
      <c r="F8" t="s">
        <v>39</v>
      </c>
      <c r="G8" t="s">
        <v>20</v>
      </c>
      <c r="H8">
        <v>58</v>
      </c>
      <c r="I8" s="1">
        <v>39991</v>
      </c>
      <c r="J8" s="1" t="str">
        <f>TEXT(Employee_Sample_Data_1[[#This Row],[Hire Date]], "dddd")</f>
        <v>Saturday</v>
      </c>
      <c r="K8" s="1" t="str">
        <f>TEXT(Employee_Sample_Data_1[[#This Row],[Hire Date]], "mmmm")</f>
        <v>June</v>
      </c>
      <c r="L8" s="1" t="str">
        <f>TEXT(Employee_Sample_Data_1[[#This Row],[Hire Date]], "yyyy")</f>
        <v>2009</v>
      </c>
      <c r="M8" s="2">
        <v>89744</v>
      </c>
      <c r="N8" s="3">
        <v>0</v>
      </c>
      <c r="O8" s="9">
        <f>PRODUCT(Employee_Sample_Data_1[[#This Row],[Annual Salary]],Employee_Sample_Data_1[[#This Row],[Bonus %]])</f>
        <v>0</v>
      </c>
      <c r="P8" s="2">
        <f>ROUND(Employee_Sample_Data_1[[#This Row],[Annual Salary]]*(1+Employee_Sample_Data_1[[#This Row],[Bonus %]]), 0)</f>
        <v>89744</v>
      </c>
      <c r="Q8" t="s">
        <v>34</v>
      </c>
      <c r="R8" t="s">
        <v>54</v>
      </c>
      <c r="T8">
        <f ca="1">DATEDIF(Employee_Sample_Data_1[[#This Row],[Hire Date]], IF(Employee_Sample_Data_1[[#This Row],[Exit Date]] = "", TODAY(), Employee_Sample_Data_1[[#This Row],[Exit Date]]), "Y")</f>
        <v>16</v>
      </c>
    </row>
    <row r="9" spans="1:20" x14ac:dyDescent="0.25">
      <c r="A9" t="s">
        <v>55</v>
      </c>
      <c r="B9" t="s">
        <v>56</v>
      </c>
      <c r="C9" t="s">
        <v>57</v>
      </c>
      <c r="D9" t="s">
        <v>58</v>
      </c>
      <c r="E9" t="s">
        <v>27</v>
      </c>
      <c r="F9" t="s">
        <v>19</v>
      </c>
      <c r="G9" t="s">
        <v>20</v>
      </c>
      <c r="H9">
        <v>62</v>
      </c>
      <c r="I9" s="1">
        <v>36210</v>
      </c>
      <c r="J9" s="1" t="str">
        <f>TEXT(Employee_Sample_Data_1[[#This Row],[Hire Date]], "dddd")</f>
        <v>Friday</v>
      </c>
      <c r="K9" s="1" t="str">
        <f>TEXT(Employee_Sample_Data_1[[#This Row],[Hire Date]], "mmmm")</f>
        <v>February</v>
      </c>
      <c r="L9" s="1" t="str">
        <f>TEXT(Employee_Sample_Data_1[[#This Row],[Hire Date]], "yyyy")</f>
        <v>1999</v>
      </c>
      <c r="M9" s="2">
        <v>69674</v>
      </c>
      <c r="N9" s="3">
        <v>0</v>
      </c>
      <c r="O9" s="9">
        <f>PRODUCT(Employee_Sample_Data_1[[#This Row],[Annual Salary]],Employee_Sample_Data_1[[#This Row],[Bonus %]])</f>
        <v>0</v>
      </c>
      <c r="P9" s="2">
        <f>ROUND(Employee_Sample_Data_1[[#This Row],[Annual Salary]]*(1+Employee_Sample_Data_1[[#This Row],[Bonus %]]), 0)</f>
        <v>69674</v>
      </c>
      <c r="Q9" t="s">
        <v>34</v>
      </c>
      <c r="R9" t="s">
        <v>59</v>
      </c>
      <c r="T9">
        <f ca="1">DATEDIF(Employee_Sample_Data_1[[#This Row],[Hire Date]], IF(Employee_Sample_Data_1[[#This Row],[Exit Date]] = "", TODAY(), Employee_Sample_Data_1[[#This Row],[Exit Date]]), "Y")</f>
        <v>27</v>
      </c>
    </row>
    <row r="10" spans="1:20" x14ac:dyDescent="0.25">
      <c r="A10" t="s">
        <v>60</v>
      </c>
      <c r="B10" t="s">
        <v>61</v>
      </c>
      <c r="C10" t="s">
        <v>62</v>
      </c>
      <c r="D10" t="s">
        <v>32</v>
      </c>
      <c r="E10" t="s">
        <v>18</v>
      </c>
      <c r="F10" t="s">
        <v>39</v>
      </c>
      <c r="G10" t="s">
        <v>63</v>
      </c>
      <c r="H10">
        <v>38</v>
      </c>
      <c r="I10" s="1">
        <v>40795</v>
      </c>
      <c r="J10" s="1" t="str">
        <f>TEXT(Employee_Sample_Data_1[[#This Row],[Hire Date]], "dddd")</f>
        <v>Friday</v>
      </c>
      <c r="K10" s="1" t="str">
        <f>TEXT(Employee_Sample_Data_1[[#This Row],[Hire Date]], "mmmm")</f>
        <v>September</v>
      </c>
      <c r="L10" s="1" t="str">
        <f>TEXT(Employee_Sample_Data_1[[#This Row],[Hire Date]], "yyyy")</f>
        <v>2011</v>
      </c>
      <c r="M10" s="2">
        <v>97630</v>
      </c>
      <c r="N10" s="3">
        <v>0</v>
      </c>
      <c r="O10" s="9">
        <f>PRODUCT(Employee_Sample_Data_1[[#This Row],[Annual Salary]],Employee_Sample_Data_1[[#This Row],[Bonus %]])</f>
        <v>0</v>
      </c>
      <c r="P10" s="2">
        <f>ROUND(Employee_Sample_Data_1[[#This Row],[Annual Salary]]*(1+Employee_Sample_Data_1[[#This Row],[Bonus %]]), 0)</f>
        <v>97630</v>
      </c>
      <c r="Q10" t="s">
        <v>21</v>
      </c>
      <c r="R10" t="s">
        <v>41</v>
      </c>
      <c r="T10">
        <f ca="1">DATEDIF(Employee_Sample_Data_1[[#This Row],[Hire Date]], IF(Employee_Sample_Data_1[[#This Row],[Exit Date]] = "", TODAY(), Employee_Sample_Data_1[[#This Row],[Exit Date]]), "Y")</f>
        <v>14</v>
      </c>
    </row>
    <row r="11" spans="1:20" x14ac:dyDescent="0.25">
      <c r="A11" t="s">
        <v>64</v>
      </c>
      <c r="B11" t="s">
        <v>65</v>
      </c>
      <c r="C11" t="s">
        <v>66</v>
      </c>
      <c r="D11" t="s">
        <v>58</v>
      </c>
      <c r="E11" t="s">
        <v>53</v>
      </c>
      <c r="F11" t="s">
        <v>19</v>
      </c>
      <c r="G11" t="s">
        <v>63</v>
      </c>
      <c r="H11">
        <v>52</v>
      </c>
      <c r="I11" s="1">
        <v>42040</v>
      </c>
      <c r="J11" s="1" t="str">
        <f>TEXT(Employee_Sample_Data_1[[#This Row],[Hire Date]], "dddd")</f>
        <v>Thursday</v>
      </c>
      <c r="K11" s="1" t="str">
        <f>TEXT(Employee_Sample_Data_1[[#This Row],[Hire Date]], "mmmm")</f>
        <v>February</v>
      </c>
      <c r="L11" s="1" t="str">
        <f>TEXT(Employee_Sample_Data_1[[#This Row],[Hire Date]], "yyyy")</f>
        <v>2015</v>
      </c>
      <c r="M11" s="2">
        <v>105879</v>
      </c>
      <c r="N11" s="3">
        <v>0.1</v>
      </c>
      <c r="O11" s="9">
        <f>PRODUCT(Employee_Sample_Data_1[[#This Row],[Annual Salary]],Employee_Sample_Data_1[[#This Row],[Bonus %]])</f>
        <v>10587.900000000001</v>
      </c>
      <c r="P11" s="2">
        <f>ROUND(Employee_Sample_Data_1[[#This Row],[Annual Salary]]*(1+Employee_Sample_Data_1[[#This Row],[Bonus %]]), 0)</f>
        <v>116467</v>
      </c>
      <c r="Q11" t="s">
        <v>21</v>
      </c>
      <c r="R11" t="s">
        <v>67</v>
      </c>
      <c r="T11">
        <f ca="1">DATEDIF(Employee_Sample_Data_1[[#This Row],[Hire Date]], IF(Employee_Sample_Data_1[[#This Row],[Exit Date]] = "", TODAY(), Employee_Sample_Data_1[[#This Row],[Exit Date]]), "Y")</f>
        <v>11</v>
      </c>
    </row>
    <row r="12" spans="1:20" x14ac:dyDescent="0.25">
      <c r="A12" t="s">
        <v>68</v>
      </c>
      <c r="B12" t="s">
        <v>69</v>
      </c>
      <c r="C12" t="s">
        <v>70</v>
      </c>
      <c r="D12" t="s">
        <v>32</v>
      </c>
      <c r="E12" t="s">
        <v>18</v>
      </c>
      <c r="F12" t="s">
        <v>19</v>
      </c>
      <c r="G12" t="s">
        <v>40</v>
      </c>
      <c r="H12">
        <v>49</v>
      </c>
      <c r="I12" s="1">
        <v>37906</v>
      </c>
      <c r="J12" s="1" t="str">
        <f>TEXT(Employee_Sample_Data_1[[#This Row],[Hire Date]], "dddd")</f>
        <v>Sunday</v>
      </c>
      <c r="K12" s="1" t="str">
        <f>TEXT(Employee_Sample_Data_1[[#This Row],[Hire Date]], "mmmm")</f>
        <v>October</v>
      </c>
      <c r="L12" s="1" t="str">
        <f>TEXT(Employee_Sample_Data_1[[#This Row],[Hire Date]], "yyyy")</f>
        <v>2003</v>
      </c>
      <c r="M12" s="2">
        <v>40499</v>
      </c>
      <c r="N12" s="3">
        <v>0</v>
      </c>
      <c r="O12" s="9">
        <f>PRODUCT(Employee_Sample_Data_1[[#This Row],[Annual Salary]],Employee_Sample_Data_1[[#This Row],[Bonus %]])</f>
        <v>0</v>
      </c>
      <c r="P12" s="2">
        <f>ROUND(Employee_Sample_Data_1[[#This Row],[Annual Salary]]*(1+Employee_Sample_Data_1[[#This Row],[Bonus %]]), 0)</f>
        <v>40499</v>
      </c>
      <c r="Q12" t="s">
        <v>21</v>
      </c>
      <c r="R12" t="s">
        <v>67</v>
      </c>
      <c r="T12">
        <f ca="1">DATEDIF(Employee_Sample_Data_1[[#This Row],[Hire Date]], IF(Employee_Sample_Data_1[[#This Row],[Exit Date]] = "", TODAY(), Employee_Sample_Data_1[[#This Row],[Exit Date]]), "Y")</f>
        <v>22</v>
      </c>
    </row>
    <row r="13" spans="1:20" x14ac:dyDescent="0.25">
      <c r="A13" t="s">
        <v>71</v>
      </c>
      <c r="B13" t="s">
        <v>72</v>
      </c>
      <c r="C13" t="s">
        <v>51</v>
      </c>
      <c r="D13" t="s">
        <v>58</v>
      </c>
      <c r="E13" t="s">
        <v>53</v>
      </c>
      <c r="F13" t="s">
        <v>39</v>
      </c>
      <c r="G13" t="s">
        <v>20</v>
      </c>
      <c r="H13">
        <v>63</v>
      </c>
      <c r="I13" s="1">
        <v>41854</v>
      </c>
      <c r="J13" s="1" t="str">
        <f>TEXT(Employee_Sample_Data_1[[#This Row],[Hire Date]], "dddd")</f>
        <v>Sunday</v>
      </c>
      <c r="K13" s="1" t="str">
        <f>TEXT(Employee_Sample_Data_1[[#This Row],[Hire Date]], "mmmm")</f>
        <v>August</v>
      </c>
      <c r="L13" s="1" t="str">
        <f>TEXT(Employee_Sample_Data_1[[#This Row],[Hire Date]], "yyyy")</f>
        <v>2014</v>
      </c>
      <c r="M13" s="2">
        <v>71418</v>
      </c>
      <c r="N13" s="3">
        <v>0</v>
      </c>
      <c r="O13" s="9">
        <f>PRODUCT(Employee_Sample_Data_1[[#This Row],[Annual Salary]],Employee_Sample_Data_1[[#This Row],[Bonus %]])</f>
        <v>0</v>
      </c>
      <c r="P13" s="2">
        <f>ROUND(Employee_Sample_Data_1[[#This Row],[Annual Salary]]*(1+Employee_Sample_Data_1[[#This Row],[Bonus %]]), 0)</f>
        <v>71418</v>
      </c>
      <c r="Q13" t="s">
        <v>21</v>
      </c>
      <c r="R13" t="s">
        <v>48</v>
      </c>
      <c r="T13">
        <f ca="1">DATEDIF(Employee_Sample_Data_1[[#This Row],[Hire Date]], IF(Employee_Sample_Data_1[[#This Row],[Exit Date]] = "", TODAY(), Employee_Sample_Data_1[[#This Row],[Exit Date]]), "Y")</f>
        <v>11</v>
      </c>
    </row>
    <row r="14" spans="1:20" x14ac:dyDescent="0.25">
      <c r="A14" t="s">
        <v>73</v>
      </c>
      <c r="B14" t="s">
        <v>74</v>
      </c>
      <c r="C14" t="s">
        <v>44</v>
      </c>
      <c r="D14" t="s">
        <v>32</v>
      </c>
      <c r="E14" t="s">
        <v>18</v>
      </c>
      <c r="F14" t="s">
        <v>19</v>
      </c>
      <c r="G14" t="s">
        <v>20</v>
      </c>
      <c r="H14">
        <v>45</v>
      </c>
      <c r="I14" s="1">
        <v>43054</v>
      </c>
      <c r="J14" s="1" t="str">
        <f>TEXT(Employee_Sample_Data_1[[#This Row],[Hire Date]], "dddd")</f>
        <v>Wednesday</v>
      </c>
      <c r="K14" s="1" t="str">
        <f>TEXT(Employee_Sample_Data_1[[#This Row],[Hire Date]], "mmmm")</f>
        <v>November</v>
      </c>
      <c r="L14" s="1" t="str">
        <f>TEXT(Employee_Sample_Data_1[[#This Row],[Hire Date]], "yyyy")</f>
        <v>2017</v>
      </c>
      <c r="M14" s="2">
        <v>150558</v>
      </c>
      <c r="N14" s="3">
        <v>0.23</v>
      </c>
      <c r="O14" s="9">
        <f>PRODUCT(Employee_Sample_Data_1[[#This Row],[Annual Salary]],Employee_Sample_Data_1[[#This Row],[Bonus %]])</f>
        <v>34628.340000000004</v>
      </c>
      <c r="P14" s="2">
        <f>ROUND(Employee_Sample_Data_1[[#This Row],[Annual Salary]]*(1+Employee_Sample_Data_1[[#This Row],[Bonus %]]), 0)</f>
        <v>185186</v>
      </c>
      <c r="Q14" t="s">
        <v>34</v>
      </c>
      <c r="R14" t="s">
        <v>54</v>
      </c>
      <c r="T14">
        <f ca="1">DATEDIF(Employee_Sample_Data_1[[#This Row],[Hire Date]], IF(Employee_Sample_Data_1[[#This Row],[Exit Date]] = "", TODAY(), Employee_Sample_Data_1[[#This Row],[Exit Date]]), "Y")</f>
        <v>8</v>
      </c>
    </row>
    <row r="15" spans="1:20" x14ac:dyDescent="0.25">
      <c r="A15" t="s">
        <v>75</v>
      </c>
      <c r="B15" t="s">
        <v>76</v>
      </c>
      <c r="C15" t="s">
        <v>66</v>
      </c>
      <c r="D15" t="s">
        <v>77</v>
      </c>
      <c r="E15" t="s">
        <v>27</v>
      </c>
      <c r="F15" t="s">
        <v>19</v>
      </c>
      <c r="G15" t="s">
        <v>63</v>
      </c>
      <c r="H15">
        <v>36</v>
      </c>
      <c r="I15" s="1">
        <v>43303</v>
      </c>
      <c r="J15" s="1" t="str">
        <f>TEXT(Employee_Sample_Data_1[[#This Row],[Hire Date]], "dddd")</f>
        <v>Sunday</v>
      </c>
      <c r="K15" s="1" t="str">
        <f>TEXT(Employee_Sample_Data_1[[#This Row],[Hire Date]], "mmmm")</f>
        <v>July</v>
      </c>
      <c r="L15" s="1" t="str">
        <f>TEXT(Employee_Sample_Data_1[[#This Row],[Hire Date]], "yyyy")</f>
        <v>2018</v>
      </c>
      <c r="M15" s="2">
        <v>118912</v>
      </c>
      <c r="N15" s="3">
        <v>0.08</v>
      </c>
      <c r="O15" s="9">
        <f>PRODUCT(Employee_Sample_Data_1[[#This Row],[Annual Salary]],Employee_Sample_Data_1[[#This Row],[Bonus %]])</f>
        <v>9512.9600000000009</v>
      </c>
      <c r="P15" s="2">
        <f>ROUND(Employee_Sample_Data_1[[#This Row],[Annual Salary]]*(1+Employee_Sample_Data_1[[#This Row],[Bonus %]]), 0)</f>
        <v>128425</v>
      </c>
      <c r="Q15" t="s">
        <v>21</v>
      </c>
      <c r="R15" t="s">
        <v>67</v>
      </c>
      <c r="T15">
        <f ca="1">DATEDIF(Employee_Sample_Data_1[[#This Row],[Hire Date]], IF(Employee_Sample_Data_1[[#This Row],[Exit Date]] = "", TODAY(), Employee_Sample_Data_1[[#This Row],[Exit Date]]), "Y")</f>
        <v>7</v>
      </c>
    </row>
    <row r="16" spans="1:20" x14ac:dyDescent="0.25">
      <c r="A16" t="s">
        <v>78</v>
      </c>
      <c r="B16" t="s">
        <v>79</v>
      </c>
      <c r="C16" t="s">
        <v>80</v>
      </c>
      <c r="D16" t="s">
        <v>77</v>
      </c>
      <c r="E16" t="s">
        <v>27</v>
      </c>
      <c r="F16" t="s">
        <v>19</v>
      </c>
      <c r="G16" t="s">
        <v>81</v>
      </c>
      <c r="H16">
        <v>42</v>
      </c>
      <c r="I16" s="1">
        <v>44279</v>
      </c>
      <c r="J16" s="1" t="str">
        <f>TEXT(Employee_Sample_Data_1[[#This Row],[Hire Date]], "dddd")</f>
        <v>Wednesday</v>
      </c>
      <c r="K16" s="1" t="str">
        <f>TEXT(Employee_Sample_Data_1[[#This Row],[Hire Date]], "mmmm")</f>
        <v>March</v>
      </c>
      <c r="L16" s="1" t="str">
        <f>TEXT(Employee_Sample_Data_1[[#This Row],[Hire Date]], "yyyy")</f>
        <v>2021</v>
      </c>
      <c r="M16" s="2">
        <v>131422</v>
      </c>
      <c r="N16" s="3">
        <v>0.15</v>
      </c>
      <c r="O16" s="9">
        <f>PRODUCT(Employee_Sample_Data_1[[#This Row],[Annual Salary]],Employee_Sample_Data_1[[#This Row],[Bonus %]])</f>
        <v>19713.3</v>
      </c>
      <c r="P16" s="2">
        <f>ROUND(Employee_Sample_Data_1[[#This Row],[Annual Salary]]*(1+Employee_Sample_Data_1[[#This Row],[Bonus %]]), 0)</f>
        <v>151135</v>
      </c>
      <c r="Q16" t="s">
        <v>21</v>
      </c>
      <c r="R16" t="s">
        <v>48</v>
      </c>
      <c r="T16">
        <f ca="1">DATEDIF(Employee_Sample_Data_1[[#This Row],[Hire Date]], IF(Employee_Sample_Data_1[[#This Row],[Exit Date]] = "", TODAY(), Employee_Sample_Data_1[[#This Row],[Exit Date]]), "Y")</f>
        <v>5</v>
      </c>
    </row>
    <row r="17" spans="1:20" x14ac:dyDescent="0.25">
      <c r="A17" t="s">
        <v>82</v>
      </c>
      <c r="B17" t="s">
        <v>83</v>
      </c>
      <c r="C17" t="s">
        <v>38</v>
      </c>
      <c r="D17" t="s">
        <v>32</v>
      </c>
      <c r="E17" t="s">
        <v>27</v>
      </c>
      <c r="F17" t="s">
        <v>39</v>
      </c>
      <c r="G17" t="s">
        <v>20</v>
      </c>
      <c r="H17">
        <v>62</v>
      </c>
      <c r="I17" s="1">
        <v>35637</v>
      </c>
      <c r="J17" s="1" t="str">
        <f>TEXT(Employee_Sample_Data_1[[#This Row],[Hire Date]], "dddd")</f>
        <v>Saturday</v>
      </c>
      <c r="K17" s="1" t="str">
        <f>TEXT(Employee_Sample_Data_1[[#This Row],[Hire Date]], "mmmm")</f>
        <v>July</v>
      </c>
      <c r="L17" s="1" t="str">
        <f>TEXT(Employee_Sample_Data_1[[#This Row],[Hire Date]], "yyyy")</f>
        <v>1997</v>
      </c>
      <c r="M17" s="2">
        <v>64208</v>
      </c>
      <c r="N17" s="3">
        <v>0</v>
      </c>
      <c r="O17" s="9">
        <f>PRODUCT(Employee_Sample_Data_1[[#This Row],[Annual Salary]],Employee_Sample_Data_1[[#This Row],[Bonus %]])</f>
        <v>0</v>
      </c>
      <c r="P17" s="2">
        <f>ROUND(Employee_Sample_Data_1[[#This Row],[Annual Salary]]*(1+Employee_Sample_Data_1[[#This Row],[Bonus %]]), 0)</f>
        <v>64208</v>
      </c>
      <c r="Q17" t="s">
        <v>21</v>
      </c>
      <c r="R17" t="s">
        <v>67</v>
      </c>
      <c r="T17">
        <f ca="1">DATEDIF(Employee_Sample_Data_1[[#This Row],[Hire Date]], IF(Employee_Sample_Data_1[[#This Row],[Exit Date]] = "", TODAY(), Employee_Sample_Data_1[[#This Row],[Exit Date]]), "Y")</f>
        <v>28</v>
      </c>
    </row>
    <row r="18" spans="1:20" x14ac:dyDescent="0.25">
      <c r="A18" t="s">
        <v>84</v>
      </c>
      <c r="B18" t="s">
        <v>85</v>
      </c>
      <c r="C18" t="s">
        <v>86</v>
      </c>
      <c r="D18" t="s">
        <v>17</v>
      </c>
      <c r="E18" t="s">
        <v>53</v>
      </c>
      <c r="F18" t="s">
        <v>39</v>
      </c>
      <c r="G18" t="s">
        <v>20</v>
      </c>
      <c r="H18">
        <v>45</v>
      </c>
      <c r="I18" s="1">
        <v>40395</v>
      </c>
      <c r="J18" s="1" t="str">
        <f>TEXT(Employee_Sample_Data_1[[#This Row],[Hire Date]], "dddd")</f>
        <v>Thursday</v>
      </c>
      <c r="K18" s="1" t="str">
        <f>TEXT(Employee_Sample_Data_1[[#This Row],[Hire Date]], "mmmm")</f>
        <v>August</v>
      </c>
      <c r="L18" s="1" t="str">
        <f>TEXT(Employee_Sample_Data_1[[#This Row],[Hire Date]], "yyyy")</f>
        <v>2010</v>
      </c>
      <c r="M18" s="2">
        <v>254486</v>
      </c>
      <c r="N18" s="3">
        <v>0.33</v>
      </c>
      <c r="O18" s="9">
        <f>PRODUCT(Employee_Sample_Data_1[[#This Row],[Annual Salary]],Employee_Sample_Data_1[[#This Row],[Bonus %]])</f>
        <v>83980.38</v>
      </c>
      <c r="P18" s="2">
        <f>ROUND(Employee_Sample_Data_1[[#This Row],[Annual Salary]]*(1+Employee_Sample_Data_1[[#This Row],[Bonus %]]), 0)</f>
        <v>338466</v>
      </c>
      <c r="Q18" t="s">
        <v>34</v>
      </c>
      <c r="R18" t="s">
        <v>59</v>
      </c>
      <c r="T18">
        <f ca="1">DATEDIF(Employee_Sample_Data_1[[#This Row],[Hire Date]], IF(Employee_Sample_Data_1[[#This Row],[Exit Date]] = "", TODAY(), Employee_Sample_Data_1[[#This Row],[Exit Date]]), "Y")</f>
        <v>15</v>
      </c>
    </row>
    <row r="19" spans="1:20" x14ac:dyDescent="0.25">
      <c r="A19" t="s">
        <v>87</v>
      </c>
      <c r="B19" t="s">
        <v>88</v>
      </c>
      <c r="C19" t="s">
        <v>25</v>
      </c>
      <c r="D19" t="s">
        <v>26</v>
      </c>
      <c r="E19" t="s">
        <v>53</v>
      </c>
      <c r="F19" t="s">
        <v>39</v>
      </c>
      <c r="G19" t="s">
        <v>20</v>
      </c>
      <c r="H19">
        <v>61</v>
      </c>
      <c r="I19" s="1">
        <v>43527</v>
      </c>
      <c r="J19" s="1" t="str">
        <f>TEXT(Employee_Sample_Data_1[[#This Row],[Hire Date]], "dddd")</f>
        <v>Sunday</v>
      </c>
      <c r="K19" s="1" t="str">
        <f>TEXT(Employee_Sample_Data_1[[#This Row],[Hire Date]], "mmmm")</f>
        <v>March</v>
      </c>
      <c r="L19" s="1" t="str">
        <f>TEXT(Employee_Sample_Data_1[[#This Row],[Hire Date]], "yyyy")</f>
        <v>2019</v>
      </c>
      <c r="M19" s="2">
        <v>54811</v>
      </c>
      <c r="N19" s="3">
        <v>0</v>
      </c>
      <c r="O19" s="9">
        <f>PRODUCT(Employee_Sample_Data_1[[#This Row],[Annual Salary]],Employee_Sample_Data_1[[#This Row],[Bonus %]])</f>
        <v>0</v>
      </c>
      <c r="P19" s="2">
        <f>ROUND(Employee_Sample_Data_1[[#This Row],[Annual Salary]]*(1+Employee_Sample_Data_1[[#This Row],[Bonus %]]), 0)</f>
        <v>54811</v>
      </c>
      <c r="Q19" t="s">
        <v>34</v>
      </c>
      <c r="R19" t="s">
        <v>54</v>
      </c>
      <c r="T19">
        <f ca="1">DATEDIF(Employee_Sample_Data_1[[#This Row],[Hire Date]], IF(Employee_Sample_Data_1[[#This Row],[Exit Date]] = "", TODAY(), Employee_Sample_Data_1[[#This Row],[Exit Date]]), "Y")</f>
        <v>7</v>
      </c>
    </row>
    <row r="20" spans="1:20" x14ac:dyDescent="0.25">
      <c r="A20" t="s">
        <v>89</v>
      </c>
      <c r="B20" t="s">
        <v>90</v>
      </c>
      <c r="C20" t="s">
        <v>91</v>
      </c>
      <c r="D20" t="s">
        <v>32</v>
      </c>
      <c r="E20" t="s">
        <v>53</v>
      </c>
      <c r="F20" t="s">
        <v>19</v>
      </c>
      <c r="G20" t="s">
        <v>20</v>
      </c>
      <c r="H20">
        <v>29</v>
      </c>
      <c r="I20" s="1">
        <v>43050</v>
      </c>
      <c r="J20" s="1" t="str">
        <f>TEXT(Employee_Sample_Data_1[[#This Row],[Hire Date]], "dddd")</f>
        <v>Saturday</v>
      </c>
      <c r="K20" s="1" t="str">
        <f>TEXT(Employee_Sample_Data_1[[#This Row],[Hire Date]], "mmmm")</f>
        <v>November</v>
      </c>
      <c r="L20" s="1" t="str">
        <f>TEXT(Employee_Sample_Data_1[[#This Row],[Hire Date]], "yyyy")</f>
        <v>2017</v>
      </c>
      <c r="M20" s="2">
        <v>95729</v>
      </c>
      <c r="N20" s="3">
        <v>0</v>
      </c>
      <c r="O20" s="9">
        <f>PRODUCT(Employee_Sample_Data_1[[#This Row],[Annual Salary]],Employee_Sample_Data_1[[#This Row],[Bonus %]])</f>
        <v>0</v>
      </c>
      <c r="P20" s="2">
        <f>ROUND(Employee_Sample_Data_1[[#This Row],[Annual Salary]]*(1+Employee_Sample_Data_1[[#This Row],[Bonus %]]), 0)</f>
        <v>95729</v>
      </c>
      <c r="Q20" t="s">
        <v>21</v>
      </c>
      <c r="R20" t="s">
        <v>41</v>
      </c>
      <c r="T20">
        <f ca="1">DATEDIF(Employee_Sample_Data_1[[#This Row],[Hire Date]], IF(Employee_Sample_Data_1[[#This Row],[Exit Date]] = "", TODAY(), Employee_Sample_Data_1[[#This Row],[Exit Date]]), "Y")</f>
        <v>8</v>
      </c>
    </row>
    <row r="21" spans="1:20" x14ac:dyDescent="0.25">
      <c r="A21" t="s">
        <v>92</v>
      </c>
      <c r="B21" t="s">
        <v>93</v>
      </c>
      <c r="C21" t="s">
        <v>66</v>
      </c>
      <c r="D21" t="s">
        <v>52</v>
      </c>
      <c r="E21" t="s">
        <v>53</v>
      </c>
      <c r="F21" t="s">
        <v>39</v>
      </c>
      <c r="G21" t="s">
        <v>40</v>
      </c>
      <c r="H21">
        <v>63</v>
      </c>
      <c r="I21" s="1">
        <v>39852</v>
      </c>
      <c r="J21" s="1" t="str">
        <f>TEXT(Employee_Sample_Data_1[[#This Row],[Hire Date]], "dddd")</f>
        <v>Sunday</v>
      </c>
      <c r="K21" s="1" t="str">
        <f>TEXT(Employee_Sample_Data_1[[#This Row],[Hire Date]], "mmmm")</f>
        <v>February</v>
      </c>
      <c r="L21" s="1" t="str">
        <f>TEXT(Employee_Sample_Data_1[[#This Row],[Hire Date]], "yyyy")</f>
        <v>2009</v>
      </c>
      <c r="M21" s="2">
        <v>102649</v>
      </c>
      <c r="N21" s="3">
        <v>0.06</v>
      </c>
      <c r="O21" s="9">
        <f>PRODUCT(Employee_Sample_Data_1[[#This Row],[Annual Salary]],Employee_Sample_Data_1[[#This Row],[Bonus %]])</f>
        <v>6158.94</v>
      </c>
      <c r="P21" s="2">
        <f>ROUND(Employee_Sample_Data_1[[#This Row],[Annual Salary]]*(1+Employee_Sample_Data_1[[#This Row],[Bonus %]]), 0)</f>
        <v>108808</v>
      </c>
      <c r="Q21" t="s">
        <v>21</v>
      </c>
      <c r="R21" t="s">
        <v>45</v>
      </c>
      <c r="T21">
        <f ca="1">DATEDIF(Employee_Sample_Data_1[[#This Row],[Hire Date]], IF(Employee_Sample_Data_1[[#This Row],[Exit Date]] = "", TODAY(), Employee_Sample_Data_1[[#This Row],[Exit Date]]), "Y")</f>
        <v>17</v>
      </c>
    </row>
    <row r="22" spans="1:20" x14ac:dyDescent="0.25">
      <c r="A22" t="s">
        <v>94</v>
      </c>
      <c r="B22" t="s">
        <v>95</v>
      </c>
      <c r="C22" t="s">
        <v>80</v>
      </c>
      <c r="D22" t="s">
        <v>52</v>
      </c>
      <c r="E22" t="s">
        <v>53</v>
      </c>
      <c r="F22" t="s">
        <v>19</v>
      </c>
      <c r="G22" t="s">
        <v>20</v>
      </c>
      <c r="H22">
        <v>45</v>
      </c>
      <c r="I22" s="1">
        <v>42324</v>
      </c>
      <c r="J22" s="1" t="str">
        <f>TEXT(Employee_Sample_Data_1[[#This Row],[Hire Date]], "dddd")</f>
        <v>Monday</v>
      </c>
      <c r="K22" s="1" t="str">
        <f>TEXT(Employee_Sample_Data_1[[#This Row],[Hire Date]], "mmmm")</f>
        <v>November</v>
      </c>
      <c r="L22" s="1" t="str">
        <f>TEXT(Employee_Sample_Data_1[[#This Row],[Hire Date]], "yyyy")</f>
        <v>2015</v>
      </c>
      <c r="M22" s="2">
        <v>122875</v>
      </c>
      <c r="N22" s="3">
        <v>0.12</v>
      </c>
      <c r="O22" s="9">
        <f>PRODUCT(Employee_Sample_Data_1[[#This Row],[Annual Salary]],Employee_Sample_Data_1[[#This Row],[Bonus %]])</f>
        <v>14745</v>
      </c>
      <c r="P22" s="2">
        <f>ROUND(Employee_Sample_Data_1[[#This Row],[Annual Salary]]*(1+Employee_Sample_Data_1[[#This Row],[Bonus %]]), 0)</f>
        <v>137620</v>
      </c>
      <c r="Q22" t="s">
        <v>21</v>
      </c>
      <c r="R22" t="s">
        <v>28</v>
      </c>
      <c r="T22">
        <f ca="1">DATEDIF(Employee_Sample_Data_1[[#This Row],[Hire Date]], IF(Employee_Sample_Data_1[[#This Row],[Exit Date]] = "", TODAY(), Employee_Sample_Data_1[[#This Row],[Exit Date]]), "Y")</f>
        <v>10</v>
      </c>
    </row>
    <row r="23" spans="1:20" x14ac:dyDescent="0.25">
      <c r="A23" t="s">
        <v>96</v>
      </c>
      <c r="B23" t="s">
        <v>97</v>
      </c>
      <c r="C23" t="s">
        <v>98</v>
      </c>
      <c r="D23" t="s">
        <v>32</v>
      </c>
      <c r="E23" t="s">
        <v>33</v>
      </c>
      <c r="F23" t="s">
        <v>39</v>
      </c>
      <c r="G23" t="s">
        <v>81</v>
      </c>
      <c r="H23">
        <v>43</v>
      </c>
      <c r="I23" s="1">
        <v>41500</v>
      </c>
      <c r="J23" s="1" t="str">
        <f>TEXT(Employee_Sample_Data_1[[#This Row],[Hire Date]], "dddd")</f>
        <v>Wednesday</v>
      </c>
      <c r="K23" s="1" t="str">
        <f>TEXT(Employee_Sample_Data_1[[#This Row],[Hire Date]], "mmmm")</f>
        <v>August</v>
      </c>
      <c r="L23" s="1" t="str">
        <f>TEXT(Employee_Sample_Data_1[[#This Row],[Hire Date]], "yyyy")</f>
        <v>2013</v>
      </c>
      <c r="M23" s="2">
        <v>83323</v>
      </c>
      <c r="N23" s="3">
        <v>0</v>
      </c>
      <c r="O23" s="9">
        <f>PRODUCT(Employee_Sample_Data_1[[#This Row],[Annual Salary]],Employee_Sample_Data_1[[#This Row],[Bonus %]])</f>
        <v>0</v>
      </c>
      <c r="P23" s="2">
        <f>ROUND(Employee_Sample_Data_1[[#This Row],[Annual Salary]]*(1+Employee_Sample_Data_1[[#This Row],[Bonus %]]), 0)</f>
        <v>83323</v>
      </c>
      <c r="Q23" t="s">
        <v>21</v>
      </c>
      <c r="R23" t="s">
        <v>48</v>
      </c>
      <c r="S23" s="1">
        <v>43555</v>
      </c>
      <c r="T23">
        <f ca="1">DATEDIF(Employee_Sample_Data_1[[#This Row],[Hire Date]], IF(Employee_Sample_Data_1[[#This Row],[Exit Date]] = "", TODAY(), Employee_Sample_Data_1[[#This Row],[Exit Date]]), "Y")</f>
        <v>5</v>
      </c>
    </row>
    <row r="24" spans="1:20" x14ac:dyDescent="0.25">
      <c r="A24" t="s">
        <v>99</v>
      </c>
      <c r="B24" t="s">
        <v>100</v>
      </c>
      <c r="C24" t="s">
        <v>101</v>
      </c>
      <c r="D24" t="s">
        <v>26</v>
      </c>
      <c r="E24" t="s">
        <v>18</v>
      </c>
      <c r="F24" t="s">
        <v>39</v>
      </c>
      <c r="G24" t="s">
        <v>20</v>
      </c>
      <c r="H24">
        <v>31</v>
      </c>
      <c r="I24" s="1">
        <v>43394</v>
      </c>
      <c r="J24" s="1" t="str">
        <f>TEXT(Employee_Sample_Data_1[[#This Row],[Hire Date]], "dddd")</f>
        <v>Sunday</v>
      </c>
      <c r="K24" s="1" t="str">
        <f>TEXT(Employee_Sample_Data_1[[#This Row],[Hire Date]], "mmmm")</f>
        <v>October</v>
      </c>
      <c r="L24" s="1" t="str">
        <f>TEXT(Employee_Sample_Data_1[[#This Row],[Hire Date]], "yyyy")</f>
        <v>2018</v>
      </c>
      <c r="M24" s="2">
        <v>66721</v>
      </c>
      <c r="N24" s="3">
        <v>0</v>
      </c>
      <c r="O24" s="9">
        <f>PRODUCT(Employee_Sample_Data_1[[#This Row],[Annual Salary]],Employee_Sample_Data_1[[#This Row],[Bonus %]])</f>
        <v>0</v>
      </c>
      <c r="P24" s="2">
        <f>ROUND(Employee_Sample_Data_1[[#This Row],[Annual Salary]]*(1+Employee_Sample_Data_1[[#This Row],[Bonus %]]), 0)</f>
        <v>66721</v>
      </c>
      <c r="Q24" t="s">
        <v>34</v>
      </c>
      <c r="R24" t="s">
        <v>35</v>
      </c>
      <c r="T24">
        <f ca="1">DATEDIF(Employee_Sample_Data_1[[#This Row],[Hire Date]], IF(Employee_Sample_Data_1[[#This Row],[Exit Date]] = "", TODAY(), Employee_Sample_Data_1[[#This Row],[Exit Date]]), "Y")</f>
        <v>7</v>
      </c>
    </row>
    <row r="25" spans="1:20" x14ac:dyDescent="0.25">
      <c r="A25" t="s">
        <v>102</v>
      </c>
      <c r="B25" t="s">
        <v>103</v>
      </c>
      <c r="C25" t="s">
        <v>86</v>
      </c>
      <c r="D25" t="s">
        <v>52</v>
      </c>
      <c r="E25" t="s">
        <v>53</v>
      </c>
      <c r="F25" t="s">
        <v>19</v>
      </c>
      <c r="G25" t="s">
        <v>20</v>
      </c>
      <c r="H25">
        <v>48</v>
      </c>
      <c r="I25" s="1">
        <v>39050</v>
      </c>
      <c r="J25" s="1" t="str">
        <f>TEXT(Employee_Sample_Data_1[[#This Row],[Hire Date]], "dddd")</f>
        <v>Wednesday</v>
      </c>
      <c r="K25" s="1" t="str">
        <f>TEXT(Employee_Sample_Data_1[[#This Row],[Hire Date]], "mmmm")</f>
        <v>November</v>
      </c>
      <c r="L25" s="1" t="str">
        <f>TEXT(Employee_Sample_Data_1[[#This Row],[Hire Date]], "yyyy")</f>
        <v>2006</v>
      </c>
      <c r="M25" s="2">
        <v>246400</v>
      </c>
      <c r="N25" s="3">
        <v>0.36</v>
      </c>
      <c r="O25" s="9">
        <f>PRODUCT(Employee_Sample_Data_1[[#This Row],[Annual Salary]],Employee_Sample_Data_1[[#This Row],[Bonus %]])</f>
        <v>88704</v>
      </c>
      <c r="P25" s="2">
        <f>ROUND(Employee_Sample_Data_1[[#This Row],[Annual Salary]]*(1+Employee_Sample_Data_1[[#This Row],[Bonus %]]), 0)</f>
        <v>335104</v>
      </c>
      <c r="Q25" t="s">
        <v>34</v>
      </c>
      <c r="R25" t="s">
        <v>54</v>
      </c>
      <c r="T25">
        <f ca="1">DATEDIF(Employee_Sample_Data_1[[#This Row],[Hire Date]], IF(Employee_Sample_Data_1[[#This Row],[Exit Date]] = "", TODAY(), Employee_Sample_Data_1[[#This Row],[Exit Date]]), "Y")</f>
        <v>19</v>
      </c>
    </row>
    <row r="26" spans="1:20" x14ac:dyDescent="0.25">
      <c r="A26" t="s">
        <v>104</v>
      </c>
      <c r="B26" t="s">
        <v>105</v>
      </c>
      <c r="C26" t="s">
        <v>66</v>
      </c>
      <c r="D26" t="s">
        <v>26</v>
      </c>
      <c r="E26" t="s">
        <v>53</v>
      </c>
      <c r="F26" t="s">
        <v>19</v>
      </c>
      <c r="G26" t="s">
        <v>63</v>
      </c>
      <c r="H26">
        <v>55</v>
      </c>
      <c r="I26" s="1">
        <v>35730</v>
      </c>
      <c r="J26" s="1" t="str">
        <f>TEXT(Employee_Sample_Data_1[[#This Row],[Hire Date]], "dddd")</f>
        <v>Monday</v>
      </c>
      <c r="K26" s="1" t="str">
        <f>TEXT(Employee_Sample_Data_1[[#This Row],[Hire Date]], "mmmm")</f>
        <v>October</v>
      </c>
      <c r="L26" s="1" t="str">
        <f>TEXT(Employee_Sample_Data_1[[#This Row],[Hire Date]], "yyyy")</f>
        <v>1997</v>
      </c>
      <c r="M26" s="2">
        <v>113525</v>
      </c>
      <c r="N26" s="3">
        <v>0.06</v>
      </c>
      <c r="O26" s="9">
        <f>PRODUCT(Employee_Sample_Data_1[[#This Row],[Annual Salary]],Employee_Sample_Data_1[[#This Row],[Bonus %]])</f>
        <v>6811.5</v>
      </c>
      <c r="P26" s="2">
        <f>ROUND(Employee_Sample_Data_1[[#This Row],[Annual Salary]]*(1+Employee_Sample_Data_1[[#This Row],[Bonus %]]), 0)</f>
        <v>120337</v>
      </c>
      <c r="Q26" t="s">
        <v>21</v>
      </c>
      <c r="R26" t="s">
        <v>67</v>
      </c>
      <c r="T26">
        <f ca="1">DATEDIF(Employee_Sample_Data_1[[#This Row],[Hire Date]], IF(Employee_Sample_Data_1[[#This Row],[Exit Date]] = "", TODAY(), Employee_Sample_Data_1[[#This Row],[Exit Date]]), "Y")</f>
        <v>28</v>
      </c>
    </row>
    <row r="27" spans="1:20" x14ac:dyDescent="0.25">
      <c r="A27" t="s">
        <v>106</v>
      </c>
      <c r="B27" t="s">
        <v>107</v>
      </c>
      <c r="C27" t="s">
        <v>44</v>
      </c>
      <c r="D27" t="s">
        <v>52</v>
      </c>
      <c r="E27" t="s">
        <v>18</v>
      </c>
      <c r="F27" t="s">
        <v>19</v>
      </c>
      <c r="G27" t="s">
        <v>20</v>
      </c>
      <c r="H27">
        <v>64</v>
      </c>
      <c r="I27" s="1">
        <v>38120</v>
      </c>
      <c r="J27" s="1" t="str">
        <f>TEXT(Employee_Sample_Data_1[[#This Row],[Hire Date]], "dddd")</f>
        <v>Thursday</v>
      </c>
      <c r="K27" s="1" t="str">
        <f>TEXT(Employee_Sample_Data_1[[#This Row],[Hire Date]], "mmmm")</f>
        <v>May</v>
      </c>
      <c r="L27" s="1" t="str">
        <f>TEXT(Employee_Sample_Data_1[[#This Row],[Hire Date]], "yyyy")</f>
        <v>2004</v>
      </c>
      <c r="M27" s="2">
        <v>184342</v>
      </c>
      <c r="N27" s="3">
        <v>0.22</v>
      </c>
      <c r="O27" s="9">
        <f>PRODUCT(Employee_Sample_Data_1[[#This Row],[Annual Salary]],Employee_Sample_Data_1[[#This Row],[Bonus %]])</f>
        <v>40555.24</v>
      </c>
      <c r="P27" s="2">
        <f>ROUND(Employee_Sample_Data_1[[#This Row],[Annual Salary]]*(1+Employee_Sample_Data_1[[#This Row],[Bonus %]]), 0)</f>
        <v>224897</v>
      </c>
      <c r="Q27" t="s">
        <v>34</v>
      </c>
      <c r="R27" t="s">
        <v>108</v>
      </c>
      <c r="T27">
        <f ca="1">DATEDIF(Employee_Sample_Data_1[[#This Row],[Hire Date]], IF(Employee_Sample_Data_1[[#This Row],[Exit Date]] = "", TODAY(), Employee_Sample_Data_1[[#This Row],[Exit Date]]), "Y")</f>
        <v>22</v>
      </c>
    </row>
    <row r="28" spans="1:20" x14ac:dyDescent="0.25">
      <c r="A28" t="s">
        <v>109</v>
      </c>
      <c r="B28" t="s">
        <v>110</v>
      </c>
      <c r="C28" t="s">
        <v>44</v>
      </c>
      <c r="D28" t="s">
        <v>77</v>
      </c>
      <c r="E28" t="s">
        <v>53</v>
      </c>
      <c r="F28" t="s">
        <v>19</v>
      </c>
      <c r="G28" t="s">
        <v>63</v>
      </c>
      <c r="H28">
        <v>58</v>
      </c>
      <c r="I28" s="1">
        <v>44159</v>
      </c>
      <c r="J28" s="1" t="str">
        <f>TEXT(Employee_Sample_Data_1[[#This Row],[Hire Date]], "dddd")</f>
        <v>Tuesday</v>
      </c>
      <c r="K28" s="1" t="str">
        <f>TEXT(Employee_Sample_Data_1[[#This Row],[Hire Date]], "mmmm")</f>
        <v>November</v>
      </c>
      <c r="L28" s="1" t="str">
        <f>TEXT(Employee_Sample_Data_1[[#This Row],[Hire Date]], "yyyy")</f>
        <v>2020</v>
      </c>
      <c r="M28" s="2">
        <v>151341</v>
      </c>
      <c r="N28" s="3">
        <v>0.22</v>
      </c>
      <c r="O28" s="9">
        <f>PRODUCT(Employee_Sample_Data_1[[#This Row],[Annual Salary]],Employee_Sample_Data_1[[#This Row],[Bonus %]])</f>
        <v>33295.019999999997</v>
      </c>
      <c r="P28" s="2">
        <f>ROUND(Employee_Sample_Data_1[[#This Row],[Annual Salary]]*(1+Employee_Sample_Data_1[[#This Row],[Bonus %]]), 0)</f>
        <v>184636</v>
      </c>
      <c r="Q28" t="s">
        <v>21</v>
      </c>
      <c r="R28" t="s">
        <v>41</v>
      </c>
      <c r="T28">
        <f ca="1">DATEDIF(Employee_Sample_Data_1[[#This Row],[Hire Date]], IF(Employee_Sample_Data_1[[#This Row],[Exit Date]] = "", TODAY(), Employee_Sample_Data_1[[#This Row],[Exit Date]]), "Y")</f>
        <v>5</v>
      </c>
    </row>
    <row r="29" spans="1:20" x14ac:dyDescent="0.25">
      <c r="A29" t="s">
        <v>111</v>
      </c>
      <c r="B29" t="s">
        <v>112</v>
      </c>
      <c r="C29" t="s">
        <v>66</v>
      </c>
      <c r="D29" t="s">
        <v>77</v>
      </c>
      <c r="E29" t="s">
        <v>18</v>
      </c>
      <c r="F29" t="s">
        <v>39</v>
      </c>
      <c r="G29" t="s">
        <v>63</v>
      </c>
      <c r="H29">
        <v>50</v>
      </c>
      <c r="I29" s="1">
        <v>38210</v>
      </c>
      <c r="J29" s="1" t="str">
        <f>TEXT(Employee_Sample_Data_1[[#This Row],[Hire Date]], "dddd")</f>
        <v>Wednesday</v>
      </c>
      <c r="K29" s="1" t="str">
        <f>TEXT(Employee_Sample_Data_1[[#This Row],[Hire Date]], "mmmm")</f>
        <v>August</v>
      </c>
      <c r="L29" s="1" t="str">
        <f>TEXT(Employee_Sample_Data_1[[#This Row],[Hire Date]], "yyyy")</f>
        <v>2004</v>
      </c>
      <c r="M29" s="2">
        <v>118900</v>
      </c>
      <c r="N29" s="3">
        <v>0.05</v>
      </c>
      <c r="O29" s="9">
        <f>PRODUCT(Employee_Sample_Data_1[[#This Row],[Annual Salary]],Employee_Sample_Data_1[[#This Row],[Bonus %]])</f>
        <v>5945</v>
      </c>
      <c r="P29" s="2">
        <f>ROUND(Employee_Sample_Data_1[[#This Row],[Annual Salary]]*(1+Employee_Sample_Data_1[[#This Row],[Bonus %]]), 0)</f>
        <v>124845</v>
      </c>
      <c r="Q29" t="s">
        <v>21</v>
      </c>
      <c r="R29" t="s">
        <v>41</v>
      </c>
      <c r="T29">
        <f ca="1">DATEDIF(Employee_Sample_Data_1[[#This Row],[Hire Date]], IF(Employee_Sample_Data_1[[#This Row],[Exit Date]] = "", TODAY(), Employee_Sample_Data_1[[#This Row],[Exit Date]]), "Y")</f>
        <v>21</v>
      </c>
    </row>
    <row r="30" spans="1:20" x14ac:dyDescent="0.25">
      <c r="A30" t="s">
        <v>113</v>
      </c>
      <c r="B30" t="s">
        <v>114</v>
      </c>
      <c r="C30" t="s">
        <v>80</v>
      </c>
      <c r="D30" t="s">
        <v>77</v>
      </c>
      <c r="E30" t="s">
        <v>27</v>
      </c>
      <c r="F30" t="s">
        <v>39</v>
      </c>
      <c r="G30" t="s">
        <v>81</v>
      </c>
      <c r="H30">
        <v>41</v>
      </c>
      <c r="I30" s="1">
        <v>42868</v>
      </c>
      <c r="J30" s="1" t="str">
        <f>TEXT(Employee_Sample_Data_1[[#This Row],[Hire Date]], "dddd")</f>
        <v>Saturday</v>
      </c>
      <c r="K30" s="1" t="str">
        <f>TEXT(Employee_Sample_Data_1[[#This Row],[Hire Date]], "mmmm")</f>
        <v>May</v>
      </c>
      <c r="L30" s="1" t="str">
        <f>TEXT(Employee_Sample_Data_1[[#This Row],[Hire Date]], "yyyy")</f>
        <v>2017</v>
      </c>
      <c r="M30" s="2">
        <v>153370</v>
      </c>
      <c r="N30" s="3">
        <v>0.1</v>
      </c>
      <c r="O30" s="9">
        <f>PRODUCT(Employee_Sample_Data_1[[#This Row],[Annual Salary]],Employee_Sample_Data_1[[#This Row],[Bonus %]])</f>
        <v>15337</v>
      </c>
      <c r="P30" s="2">
        <f>ROUND(Employee_Sample_Data_1[[#This Row],[Annual Salary]]*(1+Employee_Sample_Data_1[[#This Row],[Bonus %]]), 0)</f>
        <v>168707</v>
      </c>
      <c r="Q30" t="s">
        <v>21</v>
      </c>
      <c r="R30" t="s">
        <v>28</v>
      </c>
      <c r="T30">
        <f ca="1">DATEDIF(Employee_Sample_Data_1[[#This Row],[Hire Date]], IF(Employee_Sample_Data_1[[#This Row],[Exit Date]] = "", TODAY(), Employee_Sample_Data_1[[#This Row],[Exit Date]]), "Y")</f>
        <v>9</v>
      </c>
    </row>
    <row r="31" spans="1:20" x14ac:dyDescent="0.25">
      <c r="A31" t="s">
        <v>115</v>
      </c>
      <c r="B31" t="s">
        <v>116</v>
      </c>
      <c r="C31" t="s">
        <v>62</v>
      </c>
      <c r="D31" t="s">
        <v>32</v>
      </c>
      <c r="E31" t="s">
        <v>53</v>
      </c>
      <c r="F31" t="s">
        <v>19</v>
      </c>
      <c r="G31" t="s">
        <v>20</v>
      </c>
      <c r="H31">
        <v>50</v>
      </c>
      <c r="I31" s="1">
        <v>37330</v>
      </c>
      <c r="J31" s="1" t="str">
        <f>TEXT(Employee_Sample_Data_1[[#This Row],[Hire Date]], "dddd")</f>
        <v>Friday</v>
      </c>
      <c r="K31" s="1" t="str">
        <f>TEXT(Employee_Sample_Data_1[[#This Row],[Hire Date]], "mmmm")</f>
        <v>March</v>
      </c>
      <c r="L31" s="1" t="str">
        <f>TEXT(Employee_Sample_Data_1[[#This Row],[Hire Date]], "yyyy")</f>
        <v>2002</v>
      </c>
      <c r="M31" s="2">
        <v>72860</v>
      </c>
      <c r="N31" s="3">
        <v>0</v>
      </c>
      <c r="O31" s="9">
        <f>PRODUCT(Employee_Sample_Data_1[[#This Row],[Annual Salary]],Employee_Sample_Data_1[[#This Row],[Bonus %]])</f>
        <v>0</v>
      </c>
      <c r="P31" s="2">
        <f>ROUND(Employee_Sample_Data_1[[#This Row],[Annual Salary]]*(1+Employee_Sample_Data_1[[#This Row],[Bonus %]]), 0)</f>
        <v>72860</v>
      </c>
      <c r="Q31" t="s">
        <v>34</v>
      </c>
      <c r="R31" t="s">
        <v>35</v>
      </c>
      <c r="T31">
        <f ca="1">DATEDIF(Employee_Sample_Data_1[[#This Row],[Hire Date]], IF(Employee_Sample_Data_1[[#This Row],[Exit Date]] = "", TODAY(), Employee_Sample_Data_1[[#This Row],[Exit Date]]), "Y")</f>
        <v>24</v>
      </c>
    </row>
    <row r="32" spans="1:20" x14ac:dyDescent="0.25">
      <c r="A32" t="s">
        <v>117</v>
      </c>
      <c r="B32" t="s">
        <v>118</v>
      </c>
      <c r="C32" t="s">
        <v>86</v>
      </c>
      <c r="D32" t="s">
        <v>58</v>
      </c>
      <c r="E32" t="s">
        <v>33</v>
      </c>
      <c r="F32" t="s">
        <v>39</v>
      </c>
      <c r="G32" t="s">
        <v>63</v>
      </c>
      <c r="H32">
        <v>59</v>
      </c>
      <c r="I32" s="1">
        <v>37116</v>
      </c>
      <c r="J32" s="1" t="str">
        <f>TEXT(Employee_Sample_Data_1[[#This Row],[Hire Date]], "dddd")</f>
        <v>Monday</v>
      </c>
      <c r="K32" s="1" t="str">
        <f>TEXT(Employee_Sample_Data_1[[#This Row],[Hire Date]], "mmmm")</f>
        <v>August</v>
      </c>
      <c r="L32" s="1" t="str">
        <f>TEXT(Employee_Sample_Data_1[[#This Row],[Hire Date]], "yyyy")</f>
        <v>2001</v>
      </c>
      <c r="M32" s="2">
        <v>255610</v>
      </c>
      <c r="N32" s="3">
        <v>0.36</v>
      </c>
      <c r="O32" s="9">
        <f>PRODUCT(Employee_Sample_Data_1[[#This Row],[Annual Salary]],Employee_Sample_Data_1[[#This Row],[Bonus %]])</f>
        <v>92019.599999999991</v>
      </c>
      <c r="P32" s="2">
        <f>ROUND(Employee_Sample_Data_1[[#This Row],[Annual Salary]]*(1+Employee_Sample_Data_1[[#This Row],[Bonus %]]), 0)</f>
        <v>347630</v>
      </c>
      <c r="Q32" t="s">
        <v>21</v>
      </c>
      <c r="R32" t="s">
        <v>48</v>
      </c>
      <c r="T32">
        <f ca="1">DATEDIF(Employee_Sample_Data_1[[#This Row],[Hire Date]], IF(Employee_Sample_Data_1[[#This Row],[Exit Date]] = "", TODAY(), Employee_Sample_Data_1[[#This Row],[Exit Date]]), "Y")</f>
        <v>24</v>
      </c>
    </row>
    <row r="33" spans="1:20" x14ac:dyDescent="0.25">
      <c r="A33" t="s">
        <v>119</v>
      </c>
      <c r="B33" t="s">
        <v>120</v>
      </c>
      <c r="C33" t="s">
        <v>51</v>
      </c>
      <c r="D33" t="s">
        <v>26</v>
      </c>
      <c r="E33" t="s">
        <v>27</v>
      </c>
      <c r="F33" t="s">
        <v>19</v>
      </c>
      <c r="G33" t="s">
        <v>20</v>
      </c>
      <c r="H33">
        <v>26</v>
      </c>
      <c r="I33" s="1">
        <v>44128</v>
      </c>
      <c r="J33" s="1" t="str">
        <f>TEXT(Employee_Sample_Data_1[[#This Row],[Hire Date]], "dddd")</f>
        <v>Saturday</v>
      </c>
      <c r="K33" s="1" t="str">
        <f>TEXT(Employee_Sample_Data_1[[#This Row],[Hire Date]], "mmmm")</f>
        <v>October</v>
      </c>
      <c r="L33" s="1" t="str">
        <f>TEXT(Employee_Sample_Data_1[[#This Row],[Hire Date]], "yyyy")</f>
        <v>2020</v>
      </c>
      <c r="M33" s="2">
        <v>84962</v>
      </c>
      <c r="N33" s="3">
        <v>0</v>
      </c>
      <c r="O33" s="9">
        <f>PRODUCT(Employee_Sample_Data_1[[#This Row],[Annual Salary]],Employee_Sample_Data_1[[#This Row],[Bonus %]])</f>
        <v>0</v>
      </c>
      <c r="P33" s="2">
        <f>ROUND(Employee_Sample_Data_1[[#This Row],[Annual Salary]]*(1+Employee_Sample_Data_1[[#This Row],[Bonus %]]), 0)</f>
        <v>84962</v>
      </c>
      <c r="Q33" t="s">
        <v>34</v>
      </c>
      <c r="R33" t="s">
        <v>59</v>
      </c>
      <c r="T33">
        <f ca="1">DATEDIF(Employee_Sample_Data_1[[#This Row],[Hire Date]], IF(Employee_Sample_Data_1[[#This Row],[Exit Date]] = "", TODAY(), Employee_Sample_Data_1[[#This Row],[Exit Date]]), "Y")</f>
        <v>5</v>
      </c>
    </row>
    <row r="34" spans="1:20" x14ac:dyDescent="0.25">
      <c r="A34" t="s">
        <v>121</v>
      </c>
      <c r="B34" t="s">
        <v>122</v>
      </c>
      <c r="C34" t="s">
        <v>66</v>
      </c>
      <c r="D34" t="s">
        <v>123</v>
      </c>
      <c r="E34" t="s">
        <v>53</v>
      </c>
      <c r="F34" t="s">
        <v>19</v>
      </c>
      <c r="G34" t="s">
        <v>40</v>
      </c>
      <c r="H34">
        <v>55</v>
      </c>
      <c r="I34" s="1">
        <v>43073</v>
      </c>
      <c r="J34" s="1" t="str">
        <f>TEXT(Employee_Sample_Data_1[[#This Row],[Hire Date]], "dddd")</f>
        <v>Monday</v>
      </c>
      <c r="K34" s="1" t="str">
        <f>TEXT(Employee_Sample_Data_1[[#This Row],[Hire Date]], "mmmm")</f>
        <v>December</v>
      </c>
      <c r="L34" s="1" t="str">
        <f>TEXT(Employee_Sample_Data_1[[#This Row],[Hire Date]], "yyyy")</f>
        <v>2017</v>
      </c>
      <c r="M34" s="2">
        <v>103795</v>
      </c>
      <c r="N34" s="3">
        <v>7.0000000000000007E-2</v>
      </c>
      <c r="O34" s="9">
        <f>PRODUCT(Employee_Sample_Data_1[[#This Row],[Annual Salary]],Employee_Sample_Data_1[[#This Row],[Bonus %]])</f>
        <v>7265.6500000000005</v>
      </c>
      <c r="P34" s="2">
        <f>ROUND(Employee_Sample_Data_1[[#This Row],[Annual Salary]]*(1+Employee_Sample_Data_1[[#This Row],[Bonus %]]), 0)</f>
        <v>111061</v>
      </c>
      <c r="Q34" t="s">
        <v>21</v>
      </c>
      <c r="R34" t="s">
        <v>41</v>
      </c>
      <c r="T34">
        <f ca="1">DATEDIF(Employee_Sample_Data_1[[#This Row],[Hire Date]], IF(Employee_Sample_Data_1[[#This Row],[Exit Date]] = "", TODAY(), Employee_Sample_Data_1[[#This Row],[Exit Date]]), "Y")</f>
        <v>8</v>
      </c>
    </row>
    <row r="35" spans="1:20" x14ac:dyDescent="0.25">
      <c r="A35" t="s">
        <v>124</v>
      </c>
      <c r="B35" t="s">
        <v>125</v>
      </c>
      <c r="C35" t="s">
        <v>91</v>
      </c>
      <c r="D35" t="s">
        <v>32</v>
      </c>
      <c r="E35" t="s">
        <v>27</v>
      </c>
      <c r="F35" t="s">
        <v>39</v>
      </c>
      <c r="G35" t="s">
        <v>20</v>
      </c>
      <c r="H35">
        <v>32</v>
      </c>
      <c r="I35" s="1">
        <v>43111</v>
      </c>
      <c r="J35" s="1" t="str">
        <f>TEXT(Employee_Sample_Data_1[[#This Row],[Hire Date]], "dddd")</f>
        <v>Thursday</v>
      </c>
      <c r="K35" s="1" t="str">
        <f>TEXT(Employee_Sample_Data_1[[#This Row],[Hire Date]], "mmmm")</f>
        <v>January</v>
      </c>
      <c r="L35" s="1" t="str">
        <f>TEXT(Employee_Sample_Data_1[[#This Row],[Hire Date]], "yyyy")</f>
        <v>2018</v>
      </c>
      <c r="M35" s="2">
        <v>97509</v>
      </c>
      <c r="N35" s="3">
        <v>0</v>
      </c>
      <c r="O35" s="9">
        <f>PRODUCT(Employee_Sample_Data_1[[#This Row],[Annual Salary]],Employee_Sample_Data_1[[#This Row],[Bonus %]])</f>
        <v>0</v>
      </c>
      <c r="P35" s="2">
        <f>ROUND(Employee_Sample_Data_1[[#This Row],[Annual Salary]]*(1+Employee_Sample_Data_1[[#This Row],[Bonus %]]), 0)</f>
        <v>97509</v>
      </c>
      <c r="Q35" t="s">
        <v>34</v>
      </c>
      <c r="R35" t="s">
        <v>35</v>
      </c>
      <c r="T35">
        <f ca="1">DATEDIF(Employee_Sample_Data_1[[#This Row],[Hire Date]], IF(Employee_Sample_Data_1[[#This Row],[Exit Date]] = "", TODAY(), Employee_Sample_Data_1[[#This Row],[Exit Date]]), "Y")</f>
        <v>8</v>
      </c>
    </row>
    <row r="36" spans="1:20" x14ac:dyDescent="0.25">
      <c r="A36" t="s">
        <v>126</v>
      </c>
      <c r="B36" t="s">
        <v>127</v>
      </c>
      <c r="C36" t="s">
        <v>128</v>
      </c>
      <c r="D36" t="s">
        <v>123</v>
      </c>
      <c r="E36" t="s">
        <v>53</v>
      </c>
      <c r="F36" t="s">
        <v>19</v>
      </c>
      <c r="G36" t="s">
        <v>63</v>
      </c>
      <c r="H36">
        <v>50</v>
      </c>
      <c r="I36" s="1">
        <v>44811</v>
      </c>
      <c r="J36" s="1" t="str">
        <f>TEXT(Employee_Sample_Data_1[[#This Row],[Hire Date]], "dddd")</f>
        <v>Wednesday</v>
      </c>
      <c r="K36" s="1" t="str">
        <f>TEXT(Employee_Sample_Data_1[[#This Row],[Hire Date]], "mmmm")</f>
        <v>September</v>
      </c>
      <c r="L36" s="1" t="str">
        <f>TEXT(Employee_Sample_Data_1[[#This Row],[Hire Date]], "yyyy")</f>
        <v>2022</v>
      </c>
      <c r="M36" s="2">
        <v>54931</v>
      </c>
      <c r="N36" s="3">
        <v>0</v>
      </c>
      <c r="O36" s="9">
        <f>PRODUCT(Employee_Sample_Data_1[[#This Row],[Annual Salary]],Employee_Sample_Data_1[[#This Row],[Bonus %]])</f>
        <v>0</v>
      </c>
      <c r="P36" s="2">
        <f>ROUND(Employee_Sample_Data_1[[#This Row],[Annual Salary]]*(1+Employee_Sample_Data_1[[#This Row],[Bonus %]]), 0)</f>
        <v>54931</v>
      </c>
      <c r="Q36" t="s">
        <v>21</v>
      </c>
      <c r="R36" t="s">
        <v>45</v>
      </c>
      <c r="T36">
        <f ca="1">DATEDIF(Employee_Sample_Data_1[[#This Row],[Hire Date]], IF(Employee_Sample_Data_1[[#This Row],[Exit Date]] = "", TODAY(), Employee_Sample_Data_1[[#This Row],[Exit Date]]), "Y")</f>
        <v>3</v>
      </c>
    </row>
    <row r="37" spans="1:20" x14ac:dyDescent="0.25">
      <c r="A37" t="s">
        <v>129</v>
      </c>
      <c r="B37" t="s">
        <v>130</v>
      </c>
      <c r="C37" t="s">
        <v>131</v>
      </c>
      <c r="D37" t="s">
        <v>17</v>
      </c>
      <c r="E37" t="s">
        <v>53</v>
      </c>
      <c r="F37" t="s">
        <v>19</v>
      </c>
      <c r="G37" t="s">
        <v>40</v>
      </c>
      <c r="H37">
        <v>54</v>
      </c>
      <c r="I37" s="1">
        <v>40055</v>
      </c>
      <c r="J37" s="1" t="str">
        <f>TEXT(Employee_Sample_Data_1[[#This Row],[Hire Date]], "dddd")</f>
        <v>Sunday</v>
      </c>
      <c r="K37" s="1" t="str">
        <f>TEXT(Employee_Sample_Data_1[[#This Row],[Hire Date]], "mmmm")</f>
        <v>August</v>
      </c>
      <c r="L37" s="1" t="str">
        <f>TEXT(Employee_Sample_Data_1[[#This Row],[Hire Date]], "yyyy")</f>
        <v>2009</v>
      </c>
      <c r="M37" s="2">
        <v>88689</v>
      </c>
      <c r="N37" s="3">
        <v>0</v>
      </c>
      <c r="O37" s="9">
        <f>PRODUCT(Employee_Sample_Data_1[[#This Row],[Annual Salary]],Employee_Sample_Data_1[[#This Row],[Bonus %]])</f>
        <v>0</v>
      </c>
      <c r="P37" s="2">
        <f>ROUND(Employee_Sample_Data_1[[#This Row],[Annual Salary]]*(1+Employee_Sample_Data_1[[#This Row],[Bonus %]]), 0)</f>
        <v>88689</v>
      </c>
      <c r="Q37" t="s">
        <v>21</v>
      </c>
      <c r="R37" t="s">
        <v>48</v>
      </c>
      <c r="T37">
        <f ca="1">DATEDIF(Employee_Sample_Data_1[[#This Row],[Hire Date]], IF(Employee_Sample_Data_1[[#This Row],[Exit Date]] = "", TODAY(), Employee_Sample_Data_1[[#This Row],[Exit Date]]), "Y")</f>
        <v>16</v>
      </c>
    </row>
    <row r="38" spans="1:20" x14ac:dyDescent="0.25">
      <c r="A38" t="s">
        <v>132</v>
      </c>
      <c r="B38" t="s">
        <v>133</v>
      </c>
      <c r="C38" t="s">
        <v>80</v>
      </c>
      <c r="D38" t="s">
        <v>52</v>
      </c>
      <c r="E38" t="s">
        <v>27</v>
      </c>
      <c r="F38" t="s">
        <v>39</v>
      </c>
      <c r="G38" t="s">
        <v>40</v>
      </c>
      <c r="H38">
        <v>31</v>
      </c>
      <c r="I38" s="1">
        <v>42270</v>
      </c>
      <c r="J38" s="1" t="str">
        <f>TEXT(Employee_Sample_Data_1[[#This Row],[Hire Date]], "dddd")</f>
        <v>Wednesday</v>
      </c>
      <c r="K38" s="1" t="str">
        <f>TEXT(Employee_Sample_Data_1[[#This Row],[Hire Date]], "mmmm")</f>
        <v>September</v>
      </c>
      <c r="L38" s="1" t="str">
        <f>TEXT(Employee_Sample_Data_1[[#This Row],[Hire Date]], "yyyy")</f>
        <v>2015</v>
      </c>
      <c r="M38" s="2">
        <v>158184</v>
      </c>
      <c r="N38" s="3">
        <v>0.15</v>
      </c>
      <c r="O38" s="9">
        <f>PRODUCT(Employee_Sample_Data_1[[#This Row],[Annual Salary]],Employee_Sample_Data_1[[#This Row],[Bonus %]])</f>
        <v>23727.599999999999</v>
      </c>
      <c r="P38" s="2">
        <f>ROUND(Employee_Sample_Data_1[[#This Row],[Annual Salary]]*(1+Employee_Sample_Data_1[[#This Row],[Bonus %]]), 0)</f>
        <v>181912</v>
      </c>
      <c r="Q38" t="s">
        <v>134</v>
      </c>
      <c r="R38" t="s">
        <v>135</v>
      </c>
      <c r="S38" s="1">
        <v>43308</v>
      </c>
      <c r="T38">
        <f ca="1">DATEDIF(Employee_Sample_Data_1[[#This Row],[Hire Date]], IF(Employee_Sample_Data_1[[#This Row],[Exit Date]] = "", TODAY(), Employee_Sample_Data_1[[#This Row],[Exit Date]]), "Y")</f>
        <v>2</v>
      </c>
    </row>
    <row r="39" spans="1:20" x14ac:dyDescent="0.25">
      <c r="A39" t="s">
        <v>136</v>
      </c>
      <c r="B39" t="s">
        <v>137</v>
      </c>
      <c r="C39" t="s">
        <v>25</v>
      </c>
      <c r="D39" t="s">
        <v>77</v>
      </c>
      <c r="E39" t="s">
        <v>33</v>
      </c>
      <c r="F39" t="s">
        <v>19</v>
      </c>
      <c r="G39" t="s">
        <v>63</v>
      </c>
      <c r="H39">
        <v>47</v>
      </c>
      <c r="I39" s="1">
        <v>42410</v>
      </c>
      <c r="J39" s="1" t="str">
        <f>TEXT(Employee_Sample_Data_1[[#This Row],[Hire Date]], "dddd")</f>
        <v>Wednesday</v>
      </c>
      <c r="K39" s="1" t="str">
        <f>TEXT(Employee_Sample_Data_1[[#This Row],[Hire Date]], "mmmm")</f>
        <v>February</v>
      </c>
      <c r="L39" s="1" t="str">
        <f>TEXT(Employee_Sample_Data_1[[#This Row],[Hire Date]], "yyyy")</f>
        <v>2016</v>
      </c>
      <c r="M39" s="2">
        <v>48523</v>
      </c>
      <c r="N39" s="3">
        <v>0</v>
      </c>
      <c r="O39" s="9">
        <f>PRODUCT(Employee_Sample_Data_1[[#This Row],[Annual Salary]],Employee_Sample_Data_1[[#This Row],[Bonus %]])</f>
        <v>0</v>
      </c>
      <c r="P39" s="2">
        <f>ROUND(Employee_Sample_Data_1[[#This Row],[Annual Salary]]*(1+Employee_Sample_Data_1[[#This Row],[Bonus %]]), 0)</f>
        <v>48523</v>
      </c>
      <c r="Q39" t="s">
        <v>21</v>
      </c>
      <c r="R39" t="s">
        <v>45</v>
      </c>
      <c r="T39">
        <f ca="1">DATEDIF(Employee_Sample_Data_1[[#This Row],[Hire Date]], IF(Employee_Sample_Data_1[[#This Row],[Exit Date]] = "", TODAY(), Employee_Sample_Data_1[[#This Row],[Exit Date]]), "Y")</f>
        <v>10</v>
      </c>
    </row>
    <row r="40" spans="1:20" x14ac:dyDescent="0.25">
      <c r="A40" t="s">
        <v>138</v>
      </c>
      <c r="B40" t="s">
        <v>139</v>
      </c>
      <c r="C40" t="s">
        <v>51</v>
      </c>
      <c r="D40" t="s">
        <v>77</v>
      </c>
      <c r="E40" t="s">
        <v>53</v>
      </c>
      <c r="F40" t="s">
        <v>19</v>
      </c>
      <c r="G40" t="s">
        <v>20</v>
      </c>
      <c r="H40">
        <v>26</v>
      </c>
      <c r="I40" s="1">
        <v>44597</v>
      </c>
      <c r="J40" s="1" t="str">
        <f>TEXT(Employee_Sample_Data_1[[#This Row],[Hire Date]], "dddd")</f>
        <v>Saturday</v>
      </c>
      <c r="K40" s="1" t="str">
        <f>TEXT(Employee_Sample_Data_1[[#This Row],[Hire Date]], "mmmm")</f>
        <v>February</v>
      </c>
      <c r="L40" s="1" t="str">
        <f>TEXT(Employee_Sample_Data_1[[#This Row],[Hire Date]], "yyyy")</f>
        <v>2022</v>
      </c>
      <c r="M40" s="2">
        <v>70946</v>
      </c>
      <c r="N40" s="3">
        <v>0</v>
      </c>
      <c r="O40" s="9">
        <f>PRODUCT(Employee_Sample_Data_1[[#This Row],[Annual Salary]],Employee_Sample_Data_1[[#This Row],[Bonus %]])</f>
        <v>0</v>
      </c>
      <c r="P40" s="2">
        <f>ROUND(Employee_Sample_Data_1[[#This Row],[Annual Salary]]*(1+Employee_Sample_Data_1[[#This Row],[Bonus %]]), 0)</f>
        <v>70946</v>
      </c>
      <c r="Q40" t="s">
        <v>34</v>
      </c>
      <c r="R40" t="s">
        <v>35</v>
      </c>
      <c r="T40">
        <f ca="1">DATEDIF(Employee_Sample_Data_1[[#This Row],[Hire Date]], IF(Employee_Sample_Data_1[[#This Row],[Exit Date]] = "", TODAY(), Employee_Sample_Data_1[[#This Row],[Exit Date]]), "Y")</f>
        <v>4</v>
      </c>
    </row>
    <row r="41" spans="1:20" x14ac:dyDescent="0.25">
      <c r="A41" t="s">
        <v>140</v>
      </c>
      <c r="B41" t="s">
        <v>141</v>
      </c>
      <c r="C41" t="s">
        <v>80</v>
      </c>
      <c r="D41" t="s">
        <v>58</v>
      </c>
      <c r="E41" t="s">
        <v>53</v>
      </c>
      <c r="F41" t="s">
        <v>39</v>
      </c>
      <c r="G41" t="s">
        <v>20</v>
      </c>
      <c r="H41">
        <v>62</v>
      </c>
      <c r="I41" s="1">
        <v>44513</v>
      </c>
      <c r="J41" s="1" t="str">
        <f>TEXT(Employee_Sample_Data_1[[#This Row],[Hire Date]], "dddd")</f>
        <v>Saturday</v>
      </c>
      <c r="K41" s="1" t="str">
        <f>TEXT(Employee_Sample_Data_1[[#This Row],[Hire Date]], "mmmm")</f>
        <v>November</v>
      </c>
      <c r="L41" s="1" t="str">
        <f>TEXT(Employee_Sample_Data_1[[#This Row],[Hire Date]], "yyyy")</f>
        <v>2021</v>
      </c>
      <c r="M41" s="2">
        <v>134487</v>
      </c>
      <c r="N41" s="3">
        <v>0.1</v>
      </c>
      <c r="O41" s="9">
        <f>PRODUCT(Employee_Sample_Data_1[[#This Row],[Annual Salary]],Employee_Sample_Data_1[[#This Row],[Bonus %]])</f>
        <v>13448.7</v>
      </c>
      <c r="P41" s="2">
        <f>ROUND(Employee_Sample_Data_1[[#This Row],[Annual Salary]]*(1+Employee_Sample_Data_1[[#This Row],[Bonus %]]), 0)</f>
        <v>147936</v>
      </c>
      <c r="Q41" t="s">
        <v>21</v>
      </c>
      <c r="R41" t="s">
        <v>41</v>
      </c>
      <c r="T41">
        <f ca="1">DATEDIF(Employee_Sample_Data_1[[#This Row],[Hire Date]], IF(Employee_Sample_Data_1[[#This Row],[Exit Date]] = "", TODAY(), Employee_Sample_Data_1[[#This Row],[Exit Date]]), "Y")</f>
        <v>4</v>
      </c>
    </row>
    <row r="42" spans="1:20" x14ac:dyDescent="0.25">
      <c r="A42" t="s">
        <v>142</v>
      </c>
      <c r="B42" t="s">
        <v>143</v>
      </c>
      <c r="C42" t="s">
        <v>51</v>
      </c>
      <c r="D42" t="s">
        <v>58</v>
      </c>
      <c r="E42" t="s">
        <v>33</v>
      </c>
      <c r="F42" t="s">
        <v>39</v>
      </c>
      <c r="G42" t="s">
        <v>40</v>
      </c>
      <c r="H42">
        <v>35</v>
      </c>
      <c r="I42" s="1">
        <v>41005</v>
      </c>
      <c r="J42" s="1" t="str">
        <f>TEXT(Employee_Sample_Data_1[[#This Row],[Hire Date]], "dddd")</f>
        <v>Friday</v>
      </c>
      <c r="K42" s="1" t="str">
        <f>TEXT(Employee_Sample_Data_1[[#This Row],[Hire Date]], "mmmm")</f>
        <v>April</v>
      </c>
      <c r="L42" s="1" t="str">
        <f>TEXT(Employee_Sample_Data_1[[#This Row],[Hire Date]], "yyyy")</f>
        <v>2012</v>
      </c>
      <c r="M42" s="2">
        <v>76111</v>
      </c>
      <c r="N42" s="3">
        <v>0</v>
      </c>
      <c r="O42" s="9">
        <f>PRODUCT(Employee_Sample_Data_1[[#This Row],[Annual Salary]],Employee_Sample_Data_1[[#This Row],[Bonus %]])</f>
        <v>0</v>
      </c>
      <c r="P42" s="2">
        <f>ROUND(Employee_Sample_Data_1[[#This Row],[Annual Salary]]*(1+Employee_Sample_Data_1[[#This Row],[Bonus %]]), 0)</f>
        <v>76111</v>
      </c>
      <c r="Q42" t="s">
        <v>21</v>
      </c>
      <c r="R42" t="s">
        <v>28</v>
      </c>
      <c r="T42">
        <f ca="1">DATEDIF(Employee_Sample_Data_1[[#This Row],[Hire Date]], IF(Employee_Sample_Data_1[[#This Row],[Exit Date]] = "", TODAY(), Employee_Sample_Data_1[[#This Row],[Exit Date]]), "Y")</f>
        <v>14</v>
      </c>
    </row>
    <row r="43" spans="1:20" x14ac:dyDescent="0.25">
      <c r="A43" t="s">
        <v>144</v>
      </c>
      <c r="B43" t="s">
        <v>145</v>
      </c>
      <c r="C43" t="s">
        <v>66</v>
      </c>
      <c r="D43" t="s">
        <v>52</v>
      </c>
      <c r="E43" t="s">
        <v>33</v>
      </c>
      <c r="F43" t="s">
        <v>39</v>
      </c>
      <c r="G43" t="s">
        <v>63</v>
      </c>
      <c r="H43">
        <v>48</v>
      </c>
      <c r="I43" s="1">
        <v>36064</v>
      </c>
      <c r="J43" s="1" t="str">
        <f>TEXT(Employee_Sample_Data_1[[#This Row],[Hire Date]], "dddd")</f>
        <v>Saturday</v>
      </c>
      <c r="K43" s="1" t="str">
        <f>TEXT(Employee_Sample_Data_1[[#This Row],[Hire Date]], "mmmm")</f>
        <v>September</v>
      </c>
      <c r="L43" s="1" t="str">
        <f>TEXT(Employee_Sample_Data_1[[#This Row],[Hire Date]], "yyyy")</f>
        <v>1998</v>
      </c>
      <c r="M43" s="2">
        <v>119220</v>
      </c>
      <c r="N43" s="3">
        <v>0.09</v>
      </c>
      <c r="O43" s="9">
        <f>PRODUCT(Employee_Sample_Data_1[[#This Row],[Annual Salary]],Employee_Sample_Data_1[[#This Row],[Bonus %]])</f>
        <v>10729.8</v>
      </c>
      <c r="P43" s="2">
        <f>ROUND(Employee_Sample_Data_1[[#This Row],[Annual Salary]]*(1+Employee_Sample_Data_1[[#This Row],[Bonus %]]), 0)</f>
        <v>129950</v>
      </c>
      <c r="Q43" t="s">
        <v>21</v>
      </c>
      <c r="R43" t="s">
        <v>22</v>
      </c>
      <c r="S43" s="1">
        <v>42676</v>
      </c>
      <c r="T43">
        <f ca="1">DATEDIF(Employee_Sample_Data_1[[#This Row],[Hire Date]], IF(Employee_Sample_Data_1[[#This Row],[Exit Date]] = "", TODAY(), Employee_Sample_Data_1[[#This Row],[Exit Date]]), "Y")</f>
        <v>18</v>
      </c>
    </row>
    <row r="44" spans="1:20" x14ac:dyDescent="0.25">
      <c r="A44" t="s">
        <v>146</v>
      </c>
      <c r="B44" t="s">
        <v>147</v>
      </c>
      <c r="C44" t="s">
        <v>86</v>
      </c>
      <c r="D44" t="s">
        <v>52</v>
      </c>
      <c r="E44" t="s">
        <v>18</v>
      </c>
      <c r="F44" t="s">
        <v>19</v>
      </c>
      <c r="G44" t="s">
        <v>20</v>
      </c>
      <c r="H44">
        <v>35</v>
      </c>
      <c r="I44" s="1">
        <v>44297</v>
      </c>
      <c r="J44" s="1" t="str">
        <f>TEXT(Employee_Sample_Data_1[[#This Row],[Hire Date]], "dddd")</f>
        <v>Sunday</v>
      </c>
      <c r="K44" s="1" t="str">
        <f>TEXT(Employee_Sample_Data_1[[#This Row],[Hire Date]], "mmmm")</f>
        <v>April</v>
      </c>
      <c r="L44" s="1" t="str">
        <f>TEXT(Employee_Sample_Data_1[[#This Row],[Hire Date]], "yyyy")</f>
        <v>2021</v>
      </c>
      <c r="M44" s="2">
        <v>180858</v>
      </c>
      <c r="N44" s="3">
        <v>0.32</v>
      </c>
      <c r="O44" s="9">
        <f>PRODUCT(Employee_Sample_Data_1[[#This Row],[Annual Salary]],Employee_Sample_Data_1[[#This Row],[Bonus %]])</f>
        <v>57874.559999999998</v>
      </c>
      <c r="P44" s="2">
        <f>ROUND(Employee_Sample_Data_1[[#This Row],[Annual Salary]]*(1+Employee_Sample_Data_1[[#This Row],[Bonus %]]), 0)</f>
        <v>238733</v>
      </c>
      <c r="Q44" t="s">
        <v>34</v>
      </c>
      <c r="R44" t="s">
        <v>54</v>
      </c>
      <c r="T44">
        <f ca="1">DATEDIF(Employee_Sample_Data_1[[#This Row],[Hire Date]], IF(Employee_Sample_Data_1[[#This Row],[Exit Date]] = "", TODAY(), Employee_Sample_Data_1[[#This Row],[Exit Date]]), "Y")</f>
        <v>5</v>
      </c>
    </row>
    <row r="45" spans="1:20" x14ac:dyDescent="0.25">
      <c r="A45" t="s">
        <v>148</v>
      </c>
      <c r="B45" t="s">
        <v>149</v>
      </c>
      <c r="C45" t="s">
        <v>66</v>
      </c>
      <c r="D45" t="s">
        <v>52</v>
      </c>
      <c r="E45" t="s">
        <v>53</v>
      </c>
      <c r="F45" t="s">
        <v>39</v>
      </c>
      <c r="G45" t="s">
        <v>20</v>
      </c>
      <c r="H45">
        <v>45</v>
      </c>
      <c r="I45" s="1">
        <v>38666</v>
      </c>
      <c r="J45" s="1" t="str">
        <f>TEXT(Employee_Sample_Data_1[[#This Row],[Hire Date]], "dddd")</f>
        <v>Thursday</v>
      </c>
      <c r="K45" s="1" t="str">
        <f>TEXT(Employee_Sample_Data_1[[#This Row],[Hire Date]], "mmmm")</f>
        <v>November</v>
      </c>
      <c r="L45" s="1" t="str">
        <f>TEXT(Employee_Sample_Data_1[[#This Row],[Hire Date]], "yyyy")</f>
        <v>2005</v>
      </c>
      <c r="M45" s="2">
        <v>114072</v>
      </c>
      <c r="N45" s="3">
        <v>0.08</v>
      </c>
      <c r="O45" s="9">
        <f>PRODUCT(Employee_Sample_Data_1[[#This Row],[Annual Salary]],Employee_Sample_Data_1[[#This Row],[Bonus %]])</f>
        <v>9125.76</v>
      </c>
      <c r="P45" s="2">
        <f>ROUND(Employee_Sample_Data_1[[#This Row],[Annual Salary]]*(1+Employee_Sample_Data_1[[#This Row],[Bonus %]]), 0)</f>
        <v>123198</v>
      </c>
      <c r="Q45" t="s">
        <v>21</v>
      </c>
      <c r="R45" t="s">
        <v>48</v>
      </c>
      <c r="T45">
        <f ca="1">DATEDIF(Employee_Sample_Data_1[[#This Row],[Hire Date]], IF(Employee_Sample_Data_1[[#This Row],[Exit Date]] = "", TODAY(), Employee_Sample_Data_1[[#This Row],[Exit Date]]), "Y")</f>
        <v>20</v>
      </c>
    </row>
    <row r="46" spans="1:20" x14ac:dyDescent="0.25">
      <c r="A46" t="s">
        <v>150</v>
      </c>
      <c r="B46" t="s">
        <v>151</v>
      </c>
      <c r="C46" t="s">
        <v>131</v>
      </c>
      <c r="D46" t="s">
        <v>17</v>
      </c>
      <c r="E46" t="s">
        <v>33</v>
      </c>
      <c r="F46" t="s">
        <v>39</v>
      </c>
      <c r="G46" t="s">
        <v>20</v>
      </c>
      <c r="H46">
        <v>26</v>
      </c>
      <c r="I46" s="1">
        <v>44373</v>
      </c>
      <c r="J46" s="1" t="str">
        <f>TEXT(Employee_Sample_Data_1[[#This Row],[Hire Date]], "dddd")</f>
        <v>Saturday</v>
      </c>
      <c r="K46" s="1" t="str">
        <f>TEXT(Employee_Sample_Data_1[[#This Row],[Hire Date]], "mmmm")</f>
        <v>June</v>
      </c>
      <c r="L46" s="1" t="str">
        <f>TEXT(Employee_Sample_Data_1[[#This Row],[Hire Date]], "yyyy")</f>
        <v>2021</v>
      </c>
      <c r="M46" s="2">
        <v>91672</v>
      </c>
      <c r="N46" s="3">
        <v>0</v>
      </c>
      <c r="O46" s="9">
        <f>PRODUCT(Employee_Sample_Data_1[[#This Row],[Annual Salary]],Employee_Sample_Data_1[[#This Row],[Bonus %]])</f>
        <v>0</v>
      </c>
      <c r="P46" s="2">
        <f>ROUND(Employee_Sample_Data_1[[#This Row],[Annual Salary]]*(1+Employee_Sample_Data_1[[#This Row],[Bonus %]]), 0)</f>
        <v>91672</v>
      </c>
      <c r="Q46" t="s">
        <v>34</v>
      </c>
      <c r="R46" t="s">
        <v>108</v>
      </c>
      <c r="T46">
        <f ca="1">DATEDIF(Employee_Sample_Data_1[[#This Row],[Hire Date]], IF(Employee_Sample_Data_1[[#This Row],[Exit Date]] = "", TODAY(), Employee_Sample_Data_1[[#This Row],[Exit Date]]), "Y")</f>
        <v>4</v>
      </c>
    </row>
    <row r="47" spans="1:20" x14ac:dyDescent="0.25">
      <c r="A47" t="s">
        <v>152</v>
      </c>
      <c r="B47" t="s">
        <v>153</v>
      </c>
      <c r="C47" t="s">
        <v>57</v>
      </c>
      <c r="D47" t="s">
        <v>77</v>
      </c>
      <c r="E47" t="s">
        <v>27</v>
      </c>
      <c r="F47" t="s">
        <v>39</v>
      </c>
      <c r="G47" t="s">
        <v>40</v>
      </c>
      <c r="H47">
        <v>48</v>
      </c>
      <c r="I47" s="1">
        <v>38378</v>
      </c>
      <c r="J47" s="1" t="str">
        <f>TEXT(Employee_Sample_Data_1[[#This Row],[Hire Date]], "dddd")</f>
        <v>Wednesday</v>
      </c>
      <c r="K47" s="1" t="str">
        <f>TEXT(Employee_Sample_Data_1[[#This Row],[Hire Date]], "mmmm")</f>
        <v>January</v>
      </c>
      <c r="L47" s="1" t="str">
        <f>TEXT(Employee_Sample_Data_1[[#This Row],[Hire Date]], "yyyy")</f>
        <v>2005</v>
      </c>
      <c r="M47" s="2">
        <v>71542</v>
      </c>
      <c r="N47" s="3">
        <v>0</v>
      </c>
      <c r="O47" s="9">
        <f>PRODUCT(Employee_Sample_Data_1[[#This Row],[Annual Salary]],Employee_Sample_Data_1[[#This Row],[Bonus %]])</f>
        <v>0</v>
      </c>
      <c r="P47" s="2">
        <f>ROUND(Employee_Sample_Data_1[[#This Row],[Annual Salary]]*(1+Employee_Sample_Data_1[[#This Row],[Bonus %]]), 0)</f>
        <v>71542</v>
      </c>
      <c r="Q47" t="s">
        <v>21</v>
      </c>
      <c r="R47" t="s">
        <v>28</v>
      </c>
      <c r="T47">
        <f ca="1">DATEDIF(Employee_Sample_Data_1[[#This Row],[Hire Date]], IF(Employee_Sample_Data_1[[#This Row],[Exit Date]] = "", TODAY(), Employee_Sample_Data_1[[#This Row],[Exit Date]]), "Y")</f>
        <v>21</v>
      </c>
    </row>
    <row r="48" spans="1:20" x14ac:dyDescent="0.25">
      <c r="A48" t="s">
        <v>154</v>
      </c>
      <c r="B48" t="s">
        <v>155</v>
      </c>
      <c r="C48" t="s">
        <v>156</v>
      </c>
      <c r="D48" t="s">
        <v>32</v>
      </c>
      <c r="E48" t="s">
        <v>53</v>
      </c>
      <c r="F48" t="s">
        <v>19</v>
      </c>
      <c r="G48" t="s">
        <v>63</v>
      </c>
      <c r="H48">
        <v>33</v>
      </c>
      <c r="I48" s="1">
        <v>42722</v>
      </c>
      <c r="J48" s="1" t="str">
        <f>TEXT(Employee_Sample_Data_1[[#This Row],[Hire Date]], "dddd")</f>
        <v>Sunday</v>
      </c>
      <c r="K48" s="1" t="str">
        <f>TEXT(Employee_Sample_Data_1[[#This Row],[Hire Date]], "mmmm")</f>
        <v>December</v>
      </c>
      <c r="L48" s="1" t="str">
        <f>TEXT(Employee_Sample_Data_1[[#This Row],[Hire Date]], "yyyy")</f>
        <v>2016</v>
      </c>
      <c r="M48" s="2">
        <v>54700</v>
      </c>
      <c r="N48" s="3">
        <v>0</v>
      </c>
      <c r="O48" s="9">
        <f>PRODUCT(Employee_Sample_Data_1[[#This Row],[Annual Salary]],Employee_Sample_Data_1[[#This Row],[Bonus %]])</f>
        <v>0</v>
      </c>
      <c r="P48" s="2">
        <f>ROUND(Employee_Sample_Data_1[[#This Row],[Annual Salary]]*(1+Employee_Sample_Data_1[[#This Row],[Bonus %]]), 0)</f>
        <v>54700</v>
      </c>
      <c r="Q48" t="s">
        <v>21</v>
      </c>
      <c r="R48" t="s">
        <v>67</v>
      </c>
      <c r="T48">
        <f ca="1">DATEDIF(Employee_Sample_Data_1[[#This Row],[Hire Date]], IF(Employee_Sample_Data_1[[#This Row],[Exit Date]] = "", TODAY(), Employee_Sample_Data_1[[#This Row],[Exit Date]]), "Y")</f>
        <v>9</v>
      </c>
    </row>
    <row r="49" spans="1:20" x14ac:dyDescent="0.25">
      <c r="A49" t="s">
        <v>157</v>
      </c>
      <c r="B49" t="s">
        <v>158</v>
      </c>
      <c r="C49" t="s">
        <v>57</v>
      </c>
      <c r="D49" t="s">
        <v>26</v>
      </c>
      <c r="E49" t="s">
        <v>27</v>
      </c>
      <c r="F49" t="s">
        <v>19</v>
      </c>
      <c r="G49" t="s">
        <v>20</v>
      </c>
      <c r="H49">
        <v>55</v>
      </c>
      <c r="I49" s="1">
        <v>40671</v>
      </c>
      <c r="J49" s="1" t="str">
        <f>TEXT(Employee_Sample_Data_1[[#This Row],[Hire Date]], "dddd")</f>
        <v>Sunday</v>
      </c>
      <c r="K49" s="1" t="str">
        <f>TEXT(Employee_Sample_Data_1[[#This Row],[Hire Date]], "mmmm")</f>
        <v>May</v>
      </c>
      <c r="L49" s="1" t="str">
        <f>TEXT(Employee_Sample_Data_1[[#This Row],[Hire Date]], "yyyy")</f>
        <v>2011</v>
      </c>
      <c r="M49" s="2">
        <v>65022</v>
      </c>
      <c r="N49" s="3">
        <v>0</v>
      </c>
      <c r="O49" s="9">
        <f>PRODUCT(Employee_Sample_Data_1[[#This Row],[Annual Salary]],Employee_Sample_Data_1[[#This Row],[Bonus %]])</f>
        <v>0</v>
      </c>
      <c r="P49" s="2">
        <f>ROUND(Employee_Sample_Data_1[[#This Row],[Annual Salary]]*(1+Employee_Sample_Data_1[[#This Row],[Bonus %]]), 0)</f>
        <v>65022</v>
      </c>
      <c r="Q49" t="s">
        <v>34</v>
      </c>
      <c r="R49" t="s">
        <v>54</v>
      </c>
      <c r="T49">
        <f ca="1">DATEDIF(Employee_Sample_Data_1[[#This Row],[Hire Date]], IF(Employee_Sample_Data_1[[#This Row],[Exit Date]] = "", TODAY(), Employee_Sample_Data_1[[#This Row],[Exit Date]]), "Y")</f>
        <v>15</v>
      </c>
    </row>
    <row r="50" spans="1:20" x14ac:dyDescent="0.25">
      <c r="A50" t="s">
        <v>159</v>
      </c>
      <c r="B50" t="s">
        <v>160</v>
      </c>
      <c r="C50" t="s">
        <v>161</v>
      </c>
      <c r="D50" t="s">
        <v>32</v>
      </c>
      <c r="E50" t="s">
        <v>33</v>
      </c>
      <c r="F50" t="s">
        <v>19</v>
      </c>
      <c r="G50" t="s">
        <v>20</v>
      </c>
      <c r="H50">
        <v>38</v>
      </c>
      <c r="I50" s="1">
        <v>40645</v>
      </c>
      <c r="J50" s="1" t="str">
        <f>TEXT(Employee_Sample_Data_1[[#This Row],[Hire Date]], "dddd")</f>
        <v>Tuesday</v>
      </c>
      <c r="K50" s="1" t="str">
        <f>TEXT(Employee_Sample_Data_1[[#This Row],[Hire Date]], "mmmm")</f>
        <v>April</v>
      </c>
      <c r="L50" s="1" t="str">
        <f>TEXT(Employee_Sample_Data_1[[#This Row],[Hire Date]], "yyyy")</f>
        <v>2011</v>
      </c>
      <c r="M50" s="2">
        <v>65109</v>
      </c>
      <c r="N50" s="3">
        <v>0</v>
      </c>
      <c r="O50" s="9">
        <f>PRODUCT(Employee_Sample_Data_1[[#This Row],[Annual Salary]],Employee_Sample_Data_1[[#This Row],[Bonus %]])</f>
        <v>0</v>
      </c>
      <c r="P50" s="2">
        <f>ROUND(Employee_Sample_Data_1[[#This Row],[Annual Salary]]*(1+Employee_Sample_Data_1[[#This Row],[Bonus %]]), 0)</f>
        <v>65109</v>
      </c>
      <c r="Q50" t="s">
        <v>21</v>
      </c>
      <c r="R50" t="s">
        <v>48</v>
      </c>
      <c r="T50">
        <f ca="1">DATEDIF(Employee_Sample_Data_1[[#This Row],[Hire Date]], IF(Employee_Sample_Data_1[[#This Row],[Exit Date]] = "", TODAY(), Employee_Sample_Data_1[[#This Row],[Exit Date]]), "Y")</f>
        <v>15</v>
      </c>
    </row>
    <row r="51" spans="1:20" x14ac:dyDescent="0.25">
      <c r="A51" t="s">
        <v>162</v>
      </c>
      <c r="B51" t="s">
        <v>163</v>
      </c>
      <c r="C51" t="s">
        <v>66</v>
      </c>
      <c r="D51" t="s">
        <v>52</v>
      </c>
      <c r="E51" t="s">
        <v>53</v>
      </c>
      <c r="F51" t="s">
        <v>39</v>
      </c>
      <c r="G51" t="s">
        <v>20</v>
      </c>
      <c r="H51">
        <v>49</v>
      </c>
      <c r="I51" s="1">
        <v>44562</v>
      </c>
      <c r="J51" s="1" t="str">
        <f>TEXT(Employee_Sample_Data_1[[#This Row],[Hire Date]], "dddd")</f>
        <v>Saturday</v>
      </c>
      <c r="K51" s="1" t="str">
        <f>TEXT(Employee_Sample_Data_1[[#This Row],[Hire Date]], "mmmm")</f>
        <v>January</v>
      </c>
      <c r="L51" s="1" t="str">
        <f>TEXT(Employee_Sample_Data_1[[#This Row],[Hire Date]], "yyyy")</f>
        <v>2022</v>
      </c>
      <c r="M51" s="2">
        <v>126598</v>
      </c>
      <c r="N51" s="3">
        <v>0.09</v>
      </c>
      <c r="O51" s="9">
        <f>PRODUCT(Employee_Sample_Data_1[[#This Row],[Annual Salary]],Employee_Sample_Data_1[[#This Row],[Bonus %]])</f>
        <v>11393.82</v>
      </c>
      <c r="P51" s="2">
        <f>ROUND(Employee_Sample_Data_1[[#This Row],[Annual Salary]]*(1+Employee_Sample_Data_1[[#This Row],[Bonus %]]), 0)</f>
        <v>137992</v>
      </c>
      <c r="Q51" t="s">
        <v>21</v>
      </c>
      <c r="R51" t="s">
        <v>67</v>
      </c>
      <c r="T51">
        <f ca="1">DATEDIF(Employee_Sample_Data_1[[#This Row],[Hire Date]], IF(Employee_Sample_Data_1[[#This Row],[Exit Date]] = "", TODAY(), Employee_Sample_Data_1[[#This Row],[Exit Date]]), "Y")</f>
        <v>4</v>
      </c>
    </row>
    <row r="52" spans="1:20" x14ac:dyDescent="0.25">
      <c r="A52" t="s">
        <v>164</v>
      </c>
      <c r="B52" t="s">
        <v>165</v>
      </c>
      <c r="C52" t="s">
        <v>161</v>
      </c>
      <c r="D52" t="s">
        <v>32</v>
      </c>
      <c r="E52" t="s">
        <v>27</v>
      </c>
      <c r="F52" t="s">
        <v>39</v>
      </c>
      <c r="G52" t="s">
        <v>40</v>
      </c>
      <c r="H52">
        <v>52</v>
      </c>
      <c r="I52" s="1">
        <v>43258</v>
      </c>
      <c r="J52" s="1" t="str">
        <f>TEXT(Employee_Sample_Data_1[[#This Row],[Hire Date]], "dddd")</f>
        <v>Thursday</v>
      </c>
      <c r="K52" s="1" t="str">
        <f>TEXT(Employee_Sample_Data_1[[#This Row],[Hire Date]], "mmmm")</f>
        <v>June</v>
      </c>
      <c r="L52" s="1" t="str">
        <f>TEXT(Employee_Sample_Data_1[[#This Row],[Hire Date]], "yyyy")</f>
        <v>2018</v>
      </c>
      <c r="M52" s="2">
        <v>72388</v>
      </c>
      <c r="N52" s="3">
        <v>0</v>
      </c>
      <c r="O52" s="9">
        <f>PRODUCT(Employee_Sample_Data_1[[#This Row],[Annual Salary]],Employee_Sample_Data_1[[#This Row],[Bonus %]])</f>
        <v>0</v>
      </c>
      <c r="P52" s="2">
        <f>ROUND(Employee_Sample_Data_1[[#This Row],[Annual Salary]]*(1+Employee_Sample_Data_1[[#This Row],[Bonus %]]), 0)</f>
        <v>72388</v>
      </c>
      <c r="Q52" t="s">
        <v>21</v>
      </c>
      <c r="R52" t="s">
        <v>67</v>
      </c>
      <c r="T52">
        <f ca="1">DATEDIF(Employee_Sample_Data_1[[#This Row],[Hire Date]], IF(Employee_Sample_Data_1[[#This Row],[Exit Date]] = "", TODAY(), Employee_Sample_Data_1[[#This Row],[Exit Date]]), "Y")</f>
        <v>7</v>
      </c>
    </row>
    <row r="53" spans="1:20" x14ac:dyDescent="0.25">
      <c r="A53" t="s">
        <v>166</v>
      </c>
      <c r="B53" t="s">
        <v>167</v>
      </c>
      <c r="C53" t="s">
        <v>86</v>
      </c>
      <c r="D53" t="s">
        <v>58</v>
      </c>
      <c r="E53" t="s">
        <v>27</v>
      </c>
      <c r="F53" t="s">
        <v>19</v>
      </c>
      <c r="G53" t="s">
        <v>20</v>
      </c>
      <c r="H53">
        <v>27</v>
      </c>
      <c r="I53" s="1">
        <v>44334</v>
      </c>
      <c r="J53" s="1" t="str">
        <f>TEXT(Employee_Sample_Data_1[[#This Row],[Hire Date]], "dddd")</f>
        <v>Tuesday</v>
      </c>
      <c r="K53" s="1" t="str">
        <f>TEXT(Employee_Sample_Data_1[[#This Row],[Hire Date]], "mmmm")</f>
        <v>May</v>
      </c>
      <c r="L53" s="1" t="str">
        <f>TEXT(Employee_Sample_Data_1[[#This Row],[Hire Date]], "yyyy")</f>
        <v>2021</v>
      </c>
      <c r="M53" s="2">
        <v>205216</v>
      </c>
      <c r="N53" s="3">
        <v>0.36</v>
      </c>
      <c r="O53" s="9">
        <f>PRODUCT(Employee_Sample_Data_1[[#This Row],[Annual Salary]],Employee_Sample_Data_1[[#This Row],[Bonus %]])</f>
        <v>73877.759999999995</v>
      </c>
      <c r="P53" s="2">
        <f>ROUND(Employee_Sample_Data_1[[#This Row],[Annual Salary]]*(1+Employee_Sample_Data_1[[#This Row],[Bonus %]]), 0)</f>
        <v>279094</v>
      </c>
      <c r="Q53" t="s">
        <v>21</v>
      </c>
      <c r="R53" t="s">
        <v>28</v>
      </c>
      <c r="T53">
        <f ca="1">DATEDIF(Employee_Sample_Data_1[[#This Row],[Hire Date]], IF(Employee_Sample_Data_1[[#This Row],[Exit Date]] = "", TODAY(), Employee_Sample_Data_1[[#This Row],[Exit Date]]), "Y")</f>
        <v>5</v>
      </c>
    </row>
    <row r="54" spans="1:20" x14ac:dyDescent="0.25">
      <c r="A54" t="s">
        <v>168</v>
      </c>
      <c r="B54" t="s">
        <v>169</v>
      </c>
      <c r="C54" t="s">
        <v>170</v>
      </c>
      <c r="D54" t="s">
        <v>32</v>
      </c>
      <c r="E54" t="s">
        <v>53</v>
      </c>
      <c r="F54" t="s">
        <v>19</v>
      </c>
      <c r="G54" t="s">
        <v>63</v>
      </c>
      <c r="H54">
        <v>34</v>
      </c>
      <c r="I54" s="1">
        <v>41256</v>
      </c>
      <c r="J54" s="1" t="str">
        <f>TEXT(Employee_Sample_Data_1[[#This Row],[Hire Date]], "dddd")</f>
        <v>Thursday</v>
      </c>
      <c r="K54" s="1" t="str">
        <f>TEXT(Employee_Sample_Data_1[[#This Row],[Hire Date]], "mmmm")</f>
        <v>December</v>
      </c>
      <c r="L54" s="1" t="str">
        <f>TEXT(Employee_Sample_Data_1[[#This Row],[Hire Date]], "yyyy")</f>
        <v>2012</v>
      </c>
      <c r="M54" s="2">
        <v>74004</v>
      </c>
      <c r="N54" s="3">
        <v>0</v>
      </c>
      <c r="O54" s="9">
        <f>PRODUCT(Employee_Sample_Data_1[[#This Row],[Annual Salary]],Employee_Sample_Data_1[[#This Row],[Bonus %]])</f>
        <v>0</v>
      </c>
      <c r="P54" s="2">
        <f>ROUND(Employee_Sample_Data_1[[#This Row],[Annual Salary]]*(1+Employee_Sample_Data_1[[#This Row],[Bonus %]]), 0)</f>
        <v>74004</v>
      </c>
      <c r="Q54" t="s">
        <v>21</v>
      </c>
      <c r="R54" t="s">
        <v>22</v>
      </c>
      <c r="T54">
        <f ca="1">DATEDIF(Employee_Sample_Data_1[[#This Row],[Hire Date]], IF(Employee_Sample_Data_1[[#This Row],[Exit Date]] = "", TODAY(), Employee_Sample_Data_1[[#This Row],[Exit Date]]), "Y")</f>
        <v>13</v>
      </c>
    </row>
    <row r="55" spans="1:20" x14ac:dyDescent="0.25">
      <c r="A55" t="s">
        <v>171</v>
      </c>
      <c r="B55" t="s">
        <v>172</v>
      </c>
      <c r="C55" t="s">
        <v>86</v>
      </c>
      <c r="D55" t="s">
        <v>17</v>
      </c>
      <c r="E55" t="s">
        <v>27</v>
      </c>
      <c r="F55" t="s">
        <v>39</v>
      </c>
      <c r="G55" t="s">
        <v>63</v>
      </c>
      <c r="H55">
        <v>65</v>
      </c>
      <c r="I55" s="1">
        <v>37098</v>
      </c>
      <c r="J55" s="1" t="str">
        <f>TEXT(Employee_Sample_Data_1[[#This Row],[Hire Date]], "dddd")</f>
        <v>Thursday</v>
      </c>
      <c r="K55" s="1" t="str">
        <f>TEXT(Employee_Sample_Data_1[[#This Row],[Hire Date]], "mmmm")</f>
        <v>July</v>
      </c>
      <c r="L55" s="1" t="str">
        <f>TEXT(Employee_Sample_Data_1[[#This Row],[Hire Date]], "yyyy")</f>
        <v>2001</v>
      </c>
      <c r="M55" s="2">
        <v>203030</v>
      </c>
      <c r="N55" s="3">
        <v>0.31</v>
      </c>
      <c r="O55" s="9">
        <f>PRODUCT(Employee_Sample_Data_1[[#This Row],[Annual Salary]],Employee_Sample_Data_1[[#This Row],[Bonus %]])</f>
        <v>62939.3</v>
      </c>
      <c r="P55" s="2">
        <f>ROUND(Employee_Sample_Data_1[[#This Row],[Annual Salary]]*(1+Employee_Sample_Data_1[[#This Row],[Bonus %]]), 0)</f>
        <v>265969</v>
      </c>
      <c r="Q55" t="s">
        <v>21</v>
      </c>
      <c r="R55" t="s">
        <v>28</v>
      </c>
      <c r="T55">
        <f ca="1">DATEDIF(Employee_Sample_Data_1[[#This Row],[Hire Date]], IF(Employee_Sample_Data_1[[#This Row],[Exit Date]] = "", TODAY(), Employee_Sample_Data_1[[#This Row],[Exit Date]]), "Y")</f>
        <v>24</v>
      </c>
    </row>
    <row r="56" spans="1:20" x14ac:dyDescent="0.25">
      <c r="A56" t="s">
        <v>173</v>
      </c>
      <c r="B56" t="s">
        <v>174</v>
      </c>
      <c r="C56" t="s">
        <v>44</v>
      </c>
      <c r="D56" t="s">
        <v>26</v>
      </c>
      <c r="E56" t="s">
        <v>53</v>
      </c>
      <c r="F56" t="s">
        <v>39</v>
      </c>
      <c r="G56" t="s">
        <v>40</v>
      </c>
      <c r="H56">
        <v>38</v>
      </c>
      <c r="I56" s="1">
        <v>42500</v>
      </c>
      <c r="J56" s="1" t="str">
        <f>TEXT(Employee_Sample_Data_1[[#This Row],[Hire Date]], "dddd")</f>
        <v>Tuesday</v>
      </c>
      <c r="K56" s="1" t="str">
        <f>TEXT(Employee_Sample_Data_1[[#This Row],[Hire Date]], "mmmm")</f>
        <v>May</v>
      </c>
      <c r="L56" s="1" t="str">
        <f>TEXT(Employee_Sample_Data_1[[#This Row],[Hire Date]], "yyyy")</f>
        <v>2016</v>
      </c>
      <c r="M56" s="2">
        <v>194864</v>
      </c>
      <c r="N56" s="3">
        <v>0.24</v>
      </c>
      <c r="O56" s="9">
        <f>PRODUCT(Employee_Sample_Data_1[[#This Row],[Annual Salary]],Employee_Sample_Data_1[[#This Row],[Bonus %]])</f>
        <v>46767.360000000001</v>
      </c>
      <c r="P56" s="2">
        <f>ROUND(Employee_Sample_Data_1[[#This Row],[Annual Salary]]*(1+Employee_Sample_Data_1[[#This Row],[Bonus %]]), 0)</f>
        <v>241631</v>
      </c>
      <c r="Q56" t="s">
        <v>21</v>
      </c>
      <c r="R56" t="s">
        <v>45</v>
      </c>
      <c r="T56">
        <f ca="1">DATEDIF(Employee_Sample_Data_1[[#This Row],[Hire Date]], IF(Employee_Sample_Data_1[[#This Row],[Exit Date]] = "", TODAY(), Employee_Sample_Data_1[[#This Row],[Exit Date]]), "Y")</f>
        <v>10</v>
      </c>
    </row>
    <row r="57" spans="1:20" x14ac:dyDescent="0.25">
      <c r="A57" t="s">
        <v>175</v>
      </c>
      <c r="B57" t="s">
        <v>176</v>
      </c>
      <c r="C57" t="s">
        <v>177</v>
      </c>
      <c r="D57" t="s">
        <v>32</v>
      </c>
      <c r="E57" t="s">
        <v>18</v>
      </c>
      <c r="F57" t="s">
        <v>39</v>
      </c>
      <c r="G57" t="s">
        <v>20</v>
      </c>
      <c r="H57">
        <v>63</v>
      </c>
      <c r="I57" s="1">
        <v>37283</v>
      </c>
      <c r="J57" s="1" t="str">
        <f>TEXT(Employee_Sample_Data_1[[#This Row],[Hire Date]], "dddd")</f>
        <v>Sunday</v>
      </c>
      <c r="K57" s="1" t="str">
        <f>TEXT(Employee_Sample_Data_1[[#This Row],[Hire Date]], "mmmm")</f>
        <v>January</v>
      </c>
      <c r="L57" s="1" t="str">
        <f>TEXT(Employee_Sample_Data_1[[#This Row],[Hire Date]], "yyyy")</f>
        <v>2002</v>
      </c>
      <c r="M57" s="2">
        <v>76659</v>
      </c>
      <c r="N57" s="3">
        <v>0.05</v>
      </c>
      <c r="O57" s="9">
        <f>PRODUCT(Employee_Sample_Data_1[[#This Row],[Annual Salary]],Employee_Sample_Data_1[[#This Row],[Bonus %]])</f>
        <v>3832.9500000000003</v>
      </c>
      <c r="P57" s="2">
        <f>ROUND(Employee_Sample_Data_1[[#This Row],[Annual Salary]]*(1+Employee_Sample_Data_1[[#This Row],[Bonus %]]), 0)</f>
        <v>80492</v>
      </c>
      <c r="Q57" t="s">
        <v>21</v>
      </c>
      <c r="R57" t="s">
        <v>48</v>
      </c>
      <c r="T57">
        <f ca="1">DATEDIF(Employee_Sample_Data_1[[#This Row],[Hire Date]], IF(Employee_Sample_Data_1[[#This Row],[Exit Date]] = "", TODAY(), Employee_Sample_Data_1[[#This Row],[Exit Date]]), "Y")</f>
        <v>24</v>
      </c>
    </row>
    <row r="58" spans="1:20" x14ac:dyDescent="0.25">
      <c r="A58" t="s">
        <v>178</v>
      </c>
      <c r="B58" t="s">
        <v>179</v>
      </c>
      <c r="C58" t="s">
        <v>66</v>
      </c>
      <c r="D58" t="s">
        <v>26</v>
      </c>
      <c r="E58" t="s">
        <v>27</v>
      </c>
      <c r="F58" t="s">
        <v>19</v>
      </c>
      <c r="G58" t="s">
        <v>40</v>
      </c>
      <c r="H58">
        <v>42</v>
      </c>
      <c r="I58" s="1">
        <v>38513</v>
      </c>
      <c r="J58" s="1" t="str">
        <f>TEXT(Employee_Sample_Data_1[[#This Row],[Hire Date]], "dddd")</f>
        <v>Friday</v>
      </c>
      <c r="K58" s="1" t="str">
        <f>TEXT(Employee_Sample_Data_1[[#This Row],[Hire Date]], "mmmm")</f>
        <v>June</v>
      </c>
      <c r="L58" s="1" t="str">
        <f>TEXT(Employee_Sample_Data_1[[#This Row],[Hire Date]], "yyyy")</f>
        <v>2005</v>
      </c>
      <c r="M58" s="2">
        <v>101630</v>
      </c>
      <c r="N58" s="3">
        <v>0.08</v>
      </c>
      <c r="O58" s="9">
        <f>PRODUCT(Employee_Sample_Data_1[[#This Row],[Annual Salary]],Employee_Sample_Data_1[[#This Row],[Bonus %]])</f>
        <v>8130.4000000000005</v>
      </c>
      <c r="P58" s="2">
        <f>ROUND(Employee_Sample_Data_1[[#This Row],[Annual Salary]]*(1+Employee_Sample_Data_1[[#This Row],[Bonus %]]), 0)</f>
        <v>109760</v>
      </c>
      <c r="Q58" t="s">
        <v>134</v>
      </c>
      <c r="R58" t="s">
        <v>180</v>
      </c>
      <c r="T58">
        <f ca="1">DATEDIF(Employee_Sample_Data_1[[#This Row],[Hire Date]], IF(Employee_Sample_Data_1[[#This Row],[Exit Date]] = "", TODAY(), Employee_Sample_Data_1[[#This Row],[Exit Date]]), "Y")</f>
        <v>20</v>
      </c>
    </row>
    <row r="59" spans="1:20" x14ac:dyDescent="0.25">
      <c r="A59" t="s">
        <v>181</v>
      </c>
      <c r="B59" t="s">
        <v>182</v>
      </c>
      <c r="C59" t="s">
        <v>80</v>
      </c>
      <c r="D59" t="s">
        <v>26</v>
      </c>
      <c r="E59" t="s">
        <v>33</v>
      </c>
      <c r="F59" t="s">
        <v>39</v>
      </c>
      <c r="G59" t="s">
        <v>40</v>
      </c>
      <c r="H59">
        <v>60</v>
      </c>
      <c r="I59" s="1">
        <v>34297</v>
      </c>
      <c r="J59" s="1" t="str">
        <f>TEXT(Employee_Sample_Data_1[[#This Row],[Hire Date]], "dddd")</f>
        <v>Wednesday</v>
      </c>
      <c r="K59" s="1" t="str">
        <f>TEXT(Employee_Sample_Data_1[[#This Row],[Hire Date]], "mmmm")</f>
        <v>November</v>
      </c>
      <c r="L59" s="1" t="str">
        <f>TEXT(Employee_Sample_Data_1[[#This Row],[Hire Date]], "yyyy")</f>
        <v>1993</v>
      </c>
      <c r="M59" s="2">
        <v>126929</v>
      </c>
      <c r="N59" s="3">
        <v>0.12</v>
      </c>
      <c r="O59" s="9">
        <f>PRODUCT(Employee_Sample_Data_1[[#This Row],[Annual Salary]],Employee_Sample_Data_1[[#This Row],[Bonus %]])</f>
        <v>15231.48</v>
      </c>
      <c r="P59" s="2">
        <f>ROUND(Employee_Sample_Data_1[[#This Row],[Annual Salary]]*(1+Employee_Sample_Data_1[[#This Row],[Bonus %]]), 0)</f>
        <v>142160</v>
      </c>
      <c r="Q59" t="s">
        <v>134</v>
      </c>
      <c r="R59" t="s">
        <v>180</v>
      </c>
      <c r="T59">
        <f ca="1">DATEDIF(Employee_Sample_Data_1[[#This Row],[Hire Date]], IF(Employee_Sample_Data_1[[#This Row],[Exit Date]] = "", TODAY(), Employee_Sample_Data_1[[#This Row],[Exit Date]]), "Y")</f>
        <v>32</v>
      </c>
    </row>
    <row r="60" spans="1:20" x14ac:dyDescent="0.25">
      <c r="A60" t="s">
        <v>183</v>
      </c>
      <c r="B60" t="s">
        <v>184</v>
      </c>
      <c r="C60" t="s">
        <v>44</v>
      </c>
      <c r="D60" t="s">
        <v>26</v>
      </c>
      <c r="E60" t="s">
        <v>18</v>
      </c>
      <c r="F60" t="s">
        <v>19</v>
      </c>
      <c r="G60" t="s">
        <v>20</v>
      </c>
      <c r="H60">
        <v>47</v>
      </c>
      <c r="I60" s="1">
        <v>36490</v>
      </c>
      <c r="J60" s="1" t="str">
        <f>TEXT(Employee_Sample_Data_1[[#This Row],[Hire Date]], "dddd")</f>
        <v>Friday</v>
      </c>
      <c r="K60" s="1" t="str">
        <f>TEXT(Employee_Sample_Data_1[[#This Row],[Hire Date]], "mmmm")</f>
        <v>November</v>
      </c>
      <c r="L60" s="1" t="str">
        <f>TEXT(Employee_Sample_Data_1[[#This Row],[Hire Date]], "yyyy")</f>
        <v>1999</v>
      </c>
      <c r="M60" s="2">
        <v>155890</v>
      </c>
      <c r="N60" s="3">
        <v>0.17</v>
      </c>
      <c r="O60" s="9">
        <f>PRODUCT(Employee_Sample_Data_1[[#This Row],[Annual Salary]],Employee_Sample_Data_1[[#This Row],[Bonus %]])</f>
        <v>26501.300000000003</v>
      </c>
      <c r="P60" s="2">
        <f>ROUND(Employee_Sample_Data_1[[#This Row],[Annual Salary]]*(1+Employee_Sample_Data_1[[#This Row],[Bonus %]]), 0)</f>
        <v>182391</v>
      </c>
      <c r="Q60" t="s">
        <v>21</v>
      </c>
      <c r="R60" t="s">
        <v>22</v>
      </c>
      <c r="S60" s="1">
        <v>37952</v>
      </c>
      <c r="T60">
        <f ca="1">DATEDIF(Employee_Sample_Data_1[[#This Row],[Hire Date]], IF(Employee_Sample_Data_1[[#This Row],[Exit Date]] = "", TODAY(), Employee_Sample_Data_1[[#This Row],[Exit Date]]), "Y")</f>
        <v>4</v>
      </c>
    </row>
    <row r="61" spans="1:20" x14ac:dyDescent="0.25">
      <c r="A61" t="s">
        <v>185</v>
      </c>
      <c r="B61" t="s">
        <v>186</v>
      </c>
      <c r="C61" t="s">
        <v>44</v>
      </c>
      <c r="D61" t="s">
        <v>58</v>
      </c>
      <c r="E61" t="s">
        <v>27</v>
      </c>
      <c r="F61" t="s">
        <v>19</v>
      </c>
      <c r="G61" t="s">
        <v>20</v>
      </c>
      <c r="H61">
        <v>50</v>
      </c>
      <c r="I61" s="1">
        <v>43740</v>
      </c>
      <c r="J61" s="1" t="str">
        <f>TEXT(Employee_Sample_Data_1[[#This Row],[Hire Date]], "dddd")</f>
        <v>Wednesday</v>
      </c>
      <c r="K61" s="1" t="str">
        <f>TEXT(Employee_Sample_Data_1[[#This Row],[Hire Date]], "mmmm")</f>
        <v>October</v>
      </c>
      <c r="L61" s="1" t="str">
        <f>TEXT(Employee_Sample_Data_1[[#This Row],[Hire Date]], "yyyy")</f>
        <v>2019</v>
      </c>
      <c r="M61" s="2">
        <v>150631</v>
      </c>
      <c r="N61" s="3">
        <v>0.17</v>
      </c>
      <c r="O61" s="9">
        <f>PRODUCT(Employee_Sample_Data_1[[#This Row],[Annual Salary]],Employee_Sample_Data_1[[#This Row],[Bonus %]])</f>
        <v>25607.27</v>
      </c>
      <c r="P61" s="2">
        <f>ROUND(Employee_Sample_Data_1[[#This Row],[Annual Salary]]*(1+Employee_Sample_Data_1[[#This Row],[Bonus %]]), 0)</f>
        <v>176238</v>
      </c>
      <c r="Q61" t="s">
        <v>21</v>
      </c>
      <c r="R61" t="s">
        <v>48</v>
      </c>
      <c r="T61">
        <f ca="1">DATEDIF(Employee_Sample_Data_1[[#This Row],[Hire Date]], IF(Employee_Sample_Data_1[[#This Row],[Exit Date]] = "", TODAY(), Employee_Sample_Data_1[[#This Row],[Exit Date]]), "Y")</f>
        <v>6</v>
      </c>
    </row>
    <row r="62" spans="1:20" x14ac:dyDescent="0.25">
      <c r="A62" t="s">
        <v>187</v>
      </c>
      <c r="B62" t="s">
        <v>188</v>
      </c>
      <c r="C62" t="s">
        <v>51</v>
      </c>
      <c r="D62" t="s">
        <v>26</v>
      </c>
      <c r="E62" t="s">
        <v>53</v>
      </c>
      <c r="F62" t="s">
        <v>39</v>
      </c>
      <c r="G62" t="s">
        <v>20</v>
      </c>
      <c r="H62">
        <v>39</v>
      </c>
      <c r="I62" s="1">
        <v>41096</v>
      </c>
      <c r="J62" s="1" t="str">
        <f>TEXT(Employee_Sample_Data_1[[#This Row],[Hire Date]], "dddd")</f>
        <v>Friday</v>
      </c>
      <c r="K62" s="1" t="str">
        <f>TEXT(Employee_Sample_Data_1[[#This Row],[Hire Date]], "mmmm")</f>
        <v>July</v>
      </c>
      <c r="L62" s="1" t="str">
        <f>TEXT(Employee_Sample_Data_1[[#This Row],[Hire Date]], "yyyy")</f>
        <v>2012</v>
      </c>
      <c r="M62" s="2">
        <v>72850</v>
      </c>
      <c r="N62" s="3">
        <v>0</v>
      </c>
      <c r="O62" s="9">
        <f>PRODUCT(Employee_Sample_Data_1[[#This Row],[Annual Salary]],Employee_Sample_Data_1[[#This Row],[Bonus %]])</f>
        <v>0</v>
      </c>
      <c r="P62" s="2">
        <f>ROUND(Employee_Sample_Data_1[[#This Row],[Annual Salary]]*(1+Employee_Sample_Data_1[[#This Row],[Bonus %]]), 0)</f>
        <v>72850</v>
      </c>
      <c r="Q62" t="s">
        <v>21</v>
      </c>
      <c r="R62" t="s">
        <v>67</v>
      </c>
      <c r="T62">
        <f ca="1">DATEDIF(Employee_Sample_Data_1[[#This Row],[Hire Date]], IF(Employee_Sample_Data_1[[#This Row],[Exit Date]] = "", TODAY(), Employee_Sample_Data_1[[#This Row],[Exit Date]]), "Y")</f>
        <v>13</v>
      </c>
    </row>
    <row r="63" spans="1:20" x14ac:dyDescent="0.25">
      <c r="A63" t="s">
        <v>189</v>
      </c>
      <c r="B63" t="s">
        <v>190</v>
      </c>
      <c r="C63" t="s">
        <v>101</v>
      </c>
      <c r="D63" t="s">
        <v>26</v>
      </c>
      <c r="E63" t="s">
        <v>27</v>
      </c>
      <c r="F63" t="s">
        <v>19</v>
      </c>
      <c r="G63" t="s">
        <v>40</v>
      </c>
      <c r="H63">
        <v>46</v>
      </c>
      <c r="I63" s="1">
        <v>40408</v>
      </c>
      <c r="J63" s="1" t="str">
        <f>TEXT(Employee_Sample_Data_1[[#This Row],[Hire Date]], "dddd")</f>
        <v>Wednesday</v>
      </c>
      <c r="K63" s="1" t="str">
        <f>TEXT(Employee_Sample_Data_1[[#This Row],[Hire Date]], "mmmm")</f>
        <v>August</v>
      </c>
      <c r="L63" s="1" t="str">
        <f>TEXT(Employee_Sample_Data_1[[#This Row],[Hire Date]], "yyyy")</f>
        <v>2010</v>
      </c>
      <c r="M63" s="2">
        <v>57951</v>
      </c>
      <c r="N63" s="3">
        <v>0</v>
      </c>
      <c r="O63" s="9">
        <f>PRODUCT(Employee_Sample_Data_1[[#This Row],[Annual Salary]],Employee_Sample_Data_1[[#This Row],[Bonus %]])</f>
        <v>0</v>
      </c>
      <c r="P63" s="2">
        <f>ROUND(Employee_Sample_Data_1[[#This Row],[Annual Salary]]*(1+Employee_Sample_Data_1[[#This Row],[Bonus %]]), 0)</f>
        <v>57951</v>
      </c>
      <c r="Q63" t="s">
        <v>21</v>
      </c>
      <c r="R63" t="s">
        <v>48</v>
      </c>
      <c r="T63">
        <f ca="1">DATEDIF(Employee_Sample_Data_1[[#This Row],[Hire Date]], IF(Employee_Sample_Data_1[[#This Row],[Exit Date]] = "", TODAY(), Employee_Sample_Data_1[[#This Row],[Exit Date]]), "Y")</f>
        <v>15</v>
      </c>
    </row>
    <row r="64" spans="1:20" x14ac:dyDescent="0.25">
      <c r="A64" t="s">
        <v>191</v>
      </c>
      <c r="B64" t="s">
        <v>192</v>
      </c>
      <c r="C64" t="s">
        <v>57</v>
      </c>
      <c r="D64" t="s">
        <v>26</v>
      </c>
      <c r="E64" t="s">
        <v>18</v>
      </c>
      <c r="F64" t="s">
        <v>19</v>
      </c>
      <c r="G64" t="s">
        <v>63</v>
      </c>
      <c r="H64">
        <v>50</v>
      </c>
      <c r="I64" s="1">
        <v>40388</v>
      </c>
      <c r="J64" s="1" t="str">
        <f>TEXT(Employee_Sample_Data_1[[#This Row],[Hire Date]], "dddd")</f>
        <v>Thursday</v>
      </c>
      <c r="K64" s="1" t="str">
        <f>TEXT(Employee_Sample_Data_1[[#This Row],[Hire Date]], "mmmm")</f>
        <v>July</v>
      </c>
      <c r="L64" s="1" t="str">
        <f>TEXT(Employee_Sample_Data_1[[#This Row],[Hire Date]], "yyyy")</f>
        <v>2010</v>
      </c>
      <c r="M64" s="2">
        <v>70340</v>
      </c>
      <c r="N64" s="3">
        <v>0</v>
      </c>
      <c r="O64" s="9">
        <f>PRODUCT(Employee_Sample_Data_1[[#This Row],[Annual Salary]],Employee_Sample_Data_1[[#This Row],[Bonus %]])</f>
        <v>0</v>
      </c>
      <c r="P64" s="2">
        <f>ROUND(Employee_Sample_Data_1[[#This Row],[Annual Salary]]*(1+Employee_Sample_Data_1[[#This Row],[Bonus %]]), 0)</f>
        <v>70340</v>
      </c>
      <c r="Q64" t="s">
        <v>21</v>
      </c>
      <c r="R64" t="s">
        <v>67</v>
      </c>
      <c r="T64">
        <f ca="1">DATEDIF(Employee_Sample_Data_1[[#This Row],[Hire Date]], IF(Employee_Sample_Data_1[[#This Row],[Exit Date]] = "", TODAY(), Employee_Sample_Data_1[[#This Row],[Exit Date]]), "Y")</f>
        <v>15</v>
      </c>
    </row>
    <row r="65" spans="1:20" x14ac:dyDescent="0.25">
      <c r="A65" t="s">
        <v>193</v>
      </c>
      <c r="B65" t="s">
        <v>194</v>
      </c>
      <c r="C65" t="s">
        <v>195</v>
      </c>
      <c r="D65" t="s">
        <v>17</v>
      </c>
      <c r="E65" t="s">
        <v>18</v>
      </c>
      <c r="F65" t="s">
        <v>39</v>
      </c>
      <c r="G65" t="s">
        <v>20</v>
      </c>
      <c r="H65">
        <v>55</v>
      </c>
      <c r="I65" s="1">
        <v>39685</v>
      </c>
      <c r="J65" s="1" t="str">
        <f>TEXT(Employee_Sample_Data_1[[#This Row],[Hire Date]], "dddd")</f>
        <v>Monday</v>
      </c>
      <c r="K65" s="1" t="str">
        <f>TEXT(Employee_Sample_Data_1[[#This Row],[Hire Date]], "mmmm")</f>
        <v>August</v>
      </c>
      <c r="L65" s="1" t="str">
        <f>TEXT(Employee_Sample_Data_1[[#This Row],[Hire Date]], "yyyy")</f>
        <v>2008</v>
      </c>
      <c r="M65" s="2">
        <v>98221</v>
      </c>
      <c r="N65" s="3">
        <v>0</v>
      </c>
      <c r="O65" s="9">
        <f>PRODUCT(Employee_Sample_Data_1[[#This Row],[Annual Salary]],Employee_Sample_Data_1[[#This Row],[Bonus %]])</f>
        <v>0</v>
      </c>
      <c r="P65" s="2">
        <f>ROUND(Employee_Sample_Data_1[[#This Row],[Annual Salary]]*(1+Employee_Sample_Data_1[[#This Row],[Bonus %]]), 0)</f>
        <v>98221</v>
      </c>
      <c r="Q65" t="s">
        <v>34</v>
      </c>
      <c r="R65" t="s">
        <v>35</v>
      </c>
      <c r="T65">
        <f ca="1">DATEDIF(Employee_Sample_Data_1[[#This Row],[Hire Date]], IF(Employee_Sample_Data_1[[#This Row],[Exit Date]] = "", TODAY(), Employee_Sample_Data_1[[#This Row],[Exit Date]]), "Y")</f>
        <v>17</v>
      </c>
    </row>
    <row r="66" spans="1:20" x14ac:dyDescent="0.25">
      <c r="A66" t="s">
        <v>196</v>
      </c>
      <c r="B66" t="s">
        <v>197</v>
      </c>
      <c r="C66" t="s">
        <v>80</v>
      </c>
      <c r="D66" t="s">
        <v>26</v>
      </c>
      <c r="E66" t="s">
        <v>53</v>
      </c>
      <c r="F66" t="s">
        <v>19</v>
      </c>
      <c r="G66" t="s">
        <v>20</v>
      </c>
      <c r="H66">
        <v>43</v>
      </c>
      <c r="I66" s="1">
        <v>37888</v>
      </c>
      <c r="J66" s="1" t="str">
        <f>TEXT(Employee_Sample_Data_1[[#This Row],[Hire Date]], "dddd")</f>
        <v>Wednesday</v>
      </c>
      <c r="K66" s="1" t="str">
        <f>TEXT(Employee_Sample_Data_1[[#This Row],[Hire Date]], "mmmm")</f>
        <v>September</v>
      </c>
      <c r="L66" s="1" t="str">
        <f>TEXT(Employee_Sample_Data_1[[#This Row],[Hire Date]], "yyyy")</f>
        <v>2003</v>
      </c>
      <c r="M66" s="2">
        <v>127175</v>
      </c>
      <c r="N66" s="3">
        <v>0.12</v>
      </c>
      <c r="O66" s="9">
        <f>PRODUCT(Employee_Sample_Data_1[[#This Row],[Annual Salary]],Employee_Sample_Data_1[[#This Row],[Bonus %]])</f>
        <v>15261</v>
      </c>
      <c r="P66" s="2">
        <f>ROUND(Employee_Sample_Data_1[[#This Row],[Annual Salary]]*(1+Employee_Sample_Data_1[[#This Row],[Bonus %]]), 0)</f>
        <v>142436</v>
      </c>
      <c r="Q66" t="s">
        <v>21</v>
      </c>
      <c r="R66" t="s">
        <v>41</v>
      </c>
      <c r="T66">
        <f ca="1">DATEDIF(Employee_Sample_Data_1[[#This Row],[Hire Date]], IF(Employee_Sample_Data_1[[#This Row],[Exit Date]] = "", TODAY(), Employee_Sample_Data_1[[#This Row],[Exit Date]]), "Y")</f>
        <v>22</v>
      </c>
    </row>
    <row r="67" spans="1:20" x14ac:dyDescent="0.25">
      <c r="A67" t="s">
        <v>198</v>
      </c>
      <c r="B67" t="s">
        <v>199</v>
      </c>
      <c r="C67" t="s">
        <v>51</v>
      </c>
      <c r="D67" t="s">
        <v>58</v>
      </c>
      <c r="E67" t="s">
        <v>18</v>
      </c>
      <c r="F67" t="s">
        <v>39</v>
      </c>
      <c r="G67" t="s">
        <v>81</v>
      </c>
      <c r="H67">
        <v>26</v>
      </c>
      <c r="I67" s="1">
        <v>44332</v>
      </c>
      <c r="J67" s="1" t="str">
        <f>TEXT(Employee_Sample_Data_1[[#This Row],[Hire Date]], "dddd")</f>
        <v>Sunday</v>
      </c>
      <c r="K67" s="1" t="str">
        <f>TEXT(Employee_Sample_Data_1[[#This Row],[Hire Date]], "mmmm")</f>
        <v>May</v>
      </c>
      <c r="L67" s="1" t="str">
        <f>TEXT(Employee_Sample_Data_1[[#This Row],[Hire Date]], "yyyy")</f>
        <v>2021</v>
      </c>
      <c r="M67" s="2">
        <v>97542</v>
      </c>
      <c r="N67" s="3">
        <v>0</v>
      </c>
      <c r="O67" s="9">
        <f>PRODUCT(Employee_Sample_Data_1[[#This Row],[Annual Salary]],Employee_Sample_Data_1[[#This Row],[Bonus %]])</f>
        <v>0</v>
      </c>
      <c r="P67" s="2">
        <f>ROUND(Employee_Sample_Data_1[[#This Row],[Annual Salary]]*(1+Employee_Sample_Data_1[[#This Row],[Bonus %]]), 0)</f>
        <v>97542</v>
      </c>
      <c r="Q67" t="s">
        <v>21</v>
      </c>
      <c r="R67" t="s">
        <v>48</v>
      </c>
      <c r="T67">
        <f ca="1">DATEDIF(Employee_Sample_Data_1[[#This Row],[Hire Date]], IF(Employee_Sample_Data_1[[#This Row],[Exit Date]] = "", TODAY(), Employee_Sample_Data_1[[#This Row],[Exit Date]]), "Y")</f>
        <v>5</v>
      </c>
    </row>
    <row r="68" spans="1:20" x14ac:dyDescent="0.25">
      <c r="A68" t="s">
        <v>200</v>
      </c>
      <c r="B68" t="s">
        <v>201</v>
      </c>
      <c r="C68" t="s">
        <v>51</v>
      </c>
      <c r="D68" t="s">
        <v>77</v>
      </c>
      <c r="E68" t="s">
        <v>33</v>
      </c>
      <c r="F68" t="s">
        <v>19</v>
      </c>
      <c r="G68" t="s">
        <v>40</v>
      </c>
      <c r="H68">
        <v>34</v>
      </c>
      <c r="I68" s="1">
        <v>43600</v>
      </c>
      <c r="J68" s="1" t="str">
        <f>TEXT(Employee_Sample_Data_1[[#This Row],[Hire Date]], "dddd")</f>
        <v>Wednesday</v>
      </c>
      <c r="K68" s="1" t="str">
        <f>TEXT(Employee_Sample_Data_1[[#This Row],[Hire Date]], "mmmm")</f>
        <v>May</v>
      </c>
      <c r="L68" s="1" t="str">
        <f>TEXT(Employee_Sample_Data_1[[#This Row],[Hire Date]], "yyyy")</f>
        <v>2019</v>
      </c>
      <c r="M68" s="2">
        <v>81646</v>
      </c>
      <c r="N68" s="3">
        <v>0</v>
      </c>
      <c r="O68" s="9">
        <f>PRODUCT(Employee_Sample_Data_1[[#This Row],[Annual Salary]],Employee_Sample_Data_1[[#This Row],[Bonus %]])</f>
        <v>0</v>
      </c>
      <c r="P68" s="2">
        <f>ROUND(Employee_Sample_Data_1[[#This Row],[Annual Salary]]*(1+Employee_Sample_Data_1[[#This Row],[Bonus %]]), 0)</f>
        <v>81646</v>
      </c>
      <c r="Q68" t="s">
        <v>21</v>
      </c>
      <c r="R68" t="s">
        <v>48</v>
      </c>
      <c r="T68">
        <f ca="1">DATEDIF(Employee_Sample_Data_1[[#This Row],[Hire Date]], IF(Employee_Sample_Data_1[[#This Row],[Exit Date]] = "", TODAY(), Employee_Sample_Data_1[[#This Row],[Exit Date]]), "Y")</f>
        <v>7</v>
      </c>
    </row>
    <row r="69" spans="1:20" x14ac:dyDescent="0.25">
      <c r="A69" t="s">
        <v>202</v>
      </c>
      <c r="B69" t="s">
        <v>203</v>
      </c>
      <c r="C69" t="s">
        <v>44</v>
      </c>
      <c r="D69" t="s">
        <v>26</v>
      </c>
      <c r="E69" t="s">
        <v>53</v>
      </c>
      <c r="F69" t="s">
        <v>19</v>
      </c>
      <c r="G69" t="s">
        <v>40</v>
      </c>
      <c r="H69">
        <v>38</v>
      </c>
      <c r="I69" s="1">
        <v>39999</v>
      </c>
      <c r="J69" s="1" t="str">
        <f>TEXT(Employee_Sample_Data_1[[#This Row],[Hire Date]], "dddd")</f>
        <v>Sunday</v>
      </c>
      <c r="K69" s="1" t="str">
        <f>TEXT(Employee_Sample_Data_1[[#This Row],[Hire Date]], "mmmm")</f>
        <v>July</v>
      </c>
      <c r="L69" s="1" t="str">
        <f>TEXT(Employee_Sample_Data_1[[#This Row],[Hire Date]], "yyyy")</f>
        <v>2009</v>
      </c>
      <c r="M69" s="2">
        <v>182055</v>
      </c>
      <c r="N69" s="3">
        <v>0.27</v>
      </c>
      <c r="O69" s="9">
        <f>PRODUCT(Employee_Sample_Data_1[[#This Row],[Annual Salary]],Employee_Sample_Data_1[[#This Row],[Bonus %]])</f>
        <v>49154.850000000006</v>
      </c>
      <c r="P69" s="2">
        <f>ROUND(Employee_Sample_Data_1[[#This Row],[Annual Salary]]*(1+Employee_Sample_Data_1[[#This Row],[Bonus %]]), 0)</f>
        <v>231210</v>
      </c>
      <c r="Q69" t="s">
        <v>134</v>
      </c>
      <c r="R69" t="s">
        <v>135</v>
      </c>
      <c r="T69">
        <f ca="1">DATEDIF(Employee_Sample_Data_1[[#This Row],[Hire Date]], IF(Employee_Sample_Data_1[[#This Row],[Exit Date]] = "", TODAY(), Employee_Sample_Data_1[[#This Row],[Exit Date]]), "Y")</f>
        <v>16</v>
      </c>
    </row>
    <row r="70" spans="1:20" x14ac:dyDescent="0.25">
      <c r="A70" t="s">
        <v>204</v>
      </c>
      <c r="B70" t="s">
        <v>205</v>
      </c>
      <c r="C70" t="s">
        <v>51</v>
      </c>
      <c r="D70" t="s">
        <v>77</v>
      </c>
      <c r="E70" t="s">
        <v>53</v>
      </c>
      <c r="F70" t="s">
        <v>19</v>
      </c>
      <c r="G70" t="s">
        <v>20</v>
      </c>
      <c r="H70">
        <v>35</v>
      </c>
      <c r="I70" s="1">
        <v>44584</v>
      </c>
      <c r="J70" s="1" t="str">
        <f>TEXT(Employee_Sample_Data_1[[#This Row],[Hire Date]], "dddd")</f>
        <v>Sunday</v>
      </c>
      <c r="K70" s="1" t="str">
        <f>TEXT(Employee_Sample_Data_1[[#This Row],[Hire Date]], "mmmm")</f>
        <v>January</v>
      </c>
      <c r="L70" s="1" t="str">
        <f>TEXT(Employee_Sample_Data_1[[#This Row],[Hire Date]], "yyyy")</f>
        <v>2022</v>
      </c>
      <c r="M70" s="2">
        <v>86777</v>
      </c>
      <c r="N70" s="3">
        <v>0</v>
      </c>
      <c r="O70" s="9">
        <f>PRODUCT(Employee_Sample_Data_1[[#This Row],[Annual Salary]],Employee_Sample_Data_1[[#This Row],[Bonus %]])</f>
        <v>0</v>
      </c>
      <c r="P70" s="2">
        <f>ROUND(Employee_Sample_Data_1[[#This Row],[Annual Salary]]*(1+Employee_Sample_Data_1[[#This Row],[Bonus %]]), 0)</f>
        <v>86777</v>
      </c>
      <c r="Q70" t="s">
        <v>34</v>
      </c>
      <c r="R70" t="s">
        <v>59</v>
      </c>
      <c r="T70">
        <f ca="1">DATEDIF(Employee_Sample_Data_1[[#This Row],[Hire Date]], IF(Employee_Sample_Data_1[[#This Row],[Exit Date]] = "", TODAY(), Employee_Sample_Data_1[[#This Row],[Exit Date]]), "Y")</f>
        <v>4</v>
      </c>
    </row>
    <row r="71" spans="1:20" x14ac:dyDescent="0.25">
      <c r="A71" t="s">
        <v>206</v>
      </c>
      <c r="B71" t="s">
        <v>207</v>
      </c>
      <c r="C71" t="s">
        <v>66</v>
      </c>
      <c r="D71" t="s">
        <v>77</v>
      </c>
      <c r="E71" t="s">
        <v>27</v>
      </c>
      <c r="F71" t="s">
        <v>19</v>
      </c>
      <c r="G71" t="s">
        <v>20</v>
      </c>
      <c r="H71">
        <v>39</v>
      </c>
      <c r="I71" s="1">
        <v>42172</v>
      </c>
      <c r="J71" s="1" t="str">
        <f>TEXT(Employee_Sample_Data_1[[#This Row],[Hire Date]], "dddd")</f>
        <v>Wednesday</v>
      </c>
      <c r="K71" s="1" t="str">
        <f>TEXT(Employee_Sample_Data_1[[#This Row],[Hire Date]], "mmmm")</f>
        <v>June</v>
      </c>
      <c r="L71" s="1" t="str">
        <f>TEXT(Employee_Sample_Data_1[[#This Row],[Hire Date]], "yyyy")</f>
        <v>2015</v>
      </c>
      <c r="M71" s="2">
        <v>129949</v>
      </c>
      <c r="N71" s="3">
        <v>0.09</v>
      </c>
      <c r="O71" s="9">
        <f>PRODUCT(Employee_Sample_Data_1[[#This Row],[Annual Salary]],Employee_Sample_Data_1[[#This Row],[Bonus %]])</f>
        <v>11695.41</v>
      </c>
      <c r="P71" s="2">
        <f>ROUND(Employee_Sample_Data_1[[#This Row],[Annual Salary]]*(1+Employee_Sample_Data_1[[#This Row],[Bonus %]]), 0)</f>
        <v>141644</v>
      </c>
      <c r="Q71" t="s">
        <v>34</v>
      </c>
      <c r="R71" t="s">
        <v>108</v>
      </c>
      <c r="T71">
        <f ca="1">DATEDIF(Employee_Sample_Data_1[[#This Row],[Hire Date]], IF(Employee_Sample_Data_1[[#This Row],[Exit Date]] = "", TODAY(), Employee_Sample_Data_1[[#This Row],[Exit Date]]), "Y")</f>
        <v>10</v>
      </c>
    </row>
    <row r="72" spans="1:20" x14ac:dyDescent="0.25">
      <c r="A72" t="s">
        <v>208</v>
      </c>
      <c r="B72" t="s">
        <v>209</v>
      </c>
      <c r="C72" t="s">
        <v>66</v>
      </c>
      <c r="D72" t="s">
        <v>26</v>
      </c>
      <c r="E72" t="s">
        <v>53</v>
      </c>
      <c r="F72" t="s">
        <v>39</v>
      </c>
      <c r="G72" t="s">
        <v>20</v>
      </c>
      <c r="H72">
        <v>26</v>
      </c>
      <c r="I72" s="1">
        <v>44062</v>
      </c>
      <c r="J72" s="1" t="str">
        <f>TEXT(Employee_Sample_Data_1[[#This Row],[Hire Date]], "dddd")</f>
        <v>Wednesday</v>
      </c>
      <c r="K72" s="1" t="str">
        <f>TEXT(Employee_Sample_Data_1[[#This Row],[Hire Date]], "mmmm")</f>
        <v>August</v>
      </c>
      <c r="L72" s="1" t="str">
        <f>TEXT(Employee_Sample_Data_1[[#This Row],[Hire Date]], "yyyy")</f>
        <v>2020</v>
      </c>
      <c r="M72" s="2">
        <v>124535</v>
      </c>
      <c r="N72" s="3">
        <v>0.06</v>
      </c>
      <c r="O72" s="9">
        <f>PRODUCT(Employee_Sample_Data_1[[#This Row],[Annual Salary]],Employee_Sample_Data_1[[#This Row],[Bonus %]])</f>
        <v>7472.0999999999995</v>
      </c>
      <c r="P72" s="2">
        <f>ROUND(Employee_Sample_Data_1[[#This Row],[Annual Salary]]*(1+Employee_Sample_Data_1[[#This Row],[Bonus %]]), 0)</f>
        <v>132007</v>
      </c>
      <c r="Q72" t="s">
        <v>21</v>
      </c>
      <c r="R72" t="s">
        <v>28</v>
      </c>
      <c r="T72">
        <f ca="1">DATEDIF(Employee_Sample_Data_1[[#This Row],[Hire Date]], IF(Employee_Sample_Data_1[[#This Row],[Exit Date]] = "", TODAY(), Employee_Sample_Data_1[[#This Row],[Exit Date]]), "Y")</f>
        <v>5</v>
      </c>
    </row>
    <row r="73" spans="1:20" x14ac:dyDescent="0.25">
      <c r="A73" t="s">
        <v>210</v>
      </c>
      <c r="B73" t="s">
        <v>211</v>
      </c>
      <c r="C73" t="s">
        <v>62</v>
      </c>
      <c r="D73" t="s">
        <v>32</v>
      </c>
      <c r="E73" t="s">
        <v>33</v>
      </c>
      <c r="F73" t="s">
        <v>39</v>
      </c>
      <c r="G73" t="s">
        <v>20</v>
      </c>
      <c r="H73">
        <v>60</v>
      </c>
      <c r="I73" s="1">
        <v>34167</v>
      </c>
      <c r="J73" s="1" t="str">
        <f>TEXT(Employee_Sample_Data_1[[#This Row],[Hire Date]], "dddd")</f>
        <v>Saturday</v>
      </c>
      <c r="K73" s="1" t="str">
        <f>TEXT(Employee_Sample_Data_1[[#This Row],[Hire Date]], "mmmm")</f>
        <v>July</v>
      </c>
      <c r="L73" s="1" t="str">
        <f>TEXT(Employee_Sample_Data_1[[#This Row],[Hire Date]], "yyyy")</f>
        <v>1993</v>
      </c>
      <c r="M73" s="2">
        <v>81083</v>
      </c>
      <c r="N73" s="3">
        <v>0</v>
      </c>
      <c r="O73" s="9">
        <f>PRODUCT(Employee_Sample_Data_1[[#This Row],[Annual Salary]],Employee_Sample_Data_1[[#This Row],[Bonus %]])</f>
        <v>0</v>
      </c>
      <c r="P73" s="2">
        <f>ROUND(Employee_Sample_Data_1[[#This Row],[Annual Salary]]*(1+Employee_Sample_Data_1[[#This Row],[Bonus %]]), 0)</f>
        <v>81083</v>
      </c>
      <c r="Q73" t="s">
        <v>21</v>
      </c>
      <c r="R73" t="s">
        <v>22</v>
      </c>
      <c r="T73">
        <f ca="1">DATEDIF(Employee_Sample_Data_1[[#This Row],[Hire Date]], IF(Employee_Sample_Data_1[[#This Row],[Exit Date]] = "", TODAY(), Employee_Sample_Data_1[[#This Row],[Exit Date]]), "Y")</f>
        <v>32</v>
      </c>
    </row>
    <row r="74" spans="1:20" x14ac:dyDescent="0.25">
      <c r="A74" t="s">
        <v>212</v>
      </c>
      <c r="B74" t="s">
        <v>213</v>
      </c>
      <c r="C74" t="s">
        <v>25</v>
      </c>
      <c r="D74" t="s">
        <v>77</v>
      </c>
      <c r="E74" t="s">
        <v>27</v>
      </c>
      <c r="F74" t="s">
        <v>19</v>
      </c>
      <c r="G74" t="s">
        <v>20</v>
      </c>
      <c r="H74">
        <v>32</v>
      </c>
      <c r="I74" s="1">
        <v>43626</v>
      </c>
      <c r="J74" s="1" t="str">
        <f>TEXT(Employee_Sample_Data_1[[#This Row],[Hire Date]], "dddd")</f>
        <v>Monday</v>
      </c>
      <c r="K74" s="1" t="str">
        <f>TEXT(Employee_Sample_Data_1[[#This Row],[Hire Date]], "mmmm")</f>
        <v>June</v>
      </c>
      <c r="L74" s="1" t="str">
        <f>TEXT(Employee_Sample_Data_1[[#This Row],[Hire Date]], "yyyy")</f>
        <v>2019</v>
      </c>
      <c r="M74" s="2">
        <v>57727</v>
      </c>
      <c r="N74" s="3">
        <v>0</v>
      </c>
      <c r="O74" s="9">
        <f>PRODUCT(Employee_Sample_Data_1[[#This Row],[Annual Salary]],Employee_Sample_Data_1[[#This Row],[Bonus %]])</f>
        <v>0</v>
      </c>
      <c r="P74" s="2">
        <f>ROUND(Employee_Sample_Data_1[[#This Row],[Annual Salary]]*(1+Employee_Sample_Data_1[[#This Row],[Bonus %]]), 0)</f>
        <v>57727</v>
      </c>
      <c r="Q74" t="s">
        <v>34</v>
      </c>
      <c r="R74" t="s">
        <v>59</v>
      </c>
      <c r="T74">
        <f ca="1">DATEDIF(Employee_Sample_Data_1[[#This Row],[Hire Date]], IF(Employee_Sample_Data_1[[#This Row],[Exit Date]] = "", TODAY(), Employee_Sample_Data_1[[#This Row],[Exit Date]]), "Y")</f>
        <v>6</v>
      </c>
    </row>
    <row r="75" spans="1:20" x14ac:dyDescent="0.25">
      <c r="A75" t="s">
        <v>214</v>
      </c>
      <c r="B75" t="s">
        <v>215</v>
      </c>
      <c r="C75" t="s">
        <v>57</v>
      </c>
      <c r="D75" t="s">
        <v>58</v>
      </c>
      <c r="E75" t="s">
        <v>18</v>
      </c>
      <c r="F75" t="s">
        <v>39</v>
      </c>
      <c r="G75" t="s">
        <v>63</v>
      </c>
      <c r="H75">
        <v>65</v>
      </c>
      <c r="I75" s="1">
        <v>44023</v>
      </c>
      <c r="J75" s="1" t="str">
        <f>TEXT(Employee_Sample_Data_1[[#This Row],[Hire Date]], "dddd")</f>
        <v>Saturday</v>
      </c>
      <c r="K75" s="1" t="str">
        <f>TEXT(Employee_Sample_Data_1[[#This Row],[Hire Date]], "mmmm")</f>
        <v>July</v>
      </c>
      <c r="L75" s="1" t="str">
        <f>TEXT(Employee_Sample_Data_1[[#This Row],[Hire Date]], "yyyy")</f>
        <v>2020</v>
      </c>
      <c r="M75" s="2">
        <v>59344</v>
      </c>
      <c r="N75" s="3">
        <v>0</v>
      </c>
      <c r="O75" s="9">
        <f>PRODUCT(Employee_Sample_Data_1[[#This Row],[Annual Salary]],Employee_Sample_Data_1[[#This Row],[Bonus %]])</f>
        <v>0</v>
      </c>
      <c r="P75" s="2">
        <f>ROUND(Employee_Sample_Data_1[[#This Row],[Annual Salary]]*(1+Employee_Sample_Data_1[[#This Row],[Bonus %]]), 0)</f>
        <v>59344</v>
      </c>
      <c r="Q75" t="s">
        <v>21</v>
      </c>
      <c r="R75" t="s">
        <v>22</v>
      </c>
      <c r="T75">
        <f ca="1">DATEDIF(Employee_Sample_Data_1[[#This Row],[Hire Date]], IF(Employee_Sample_Data_1[[#This Row],[Exit Date]] = "", TODAY(), Employee_Sample_Data_1[[#This Row],[Exit Date]]), "Y")</f>
        <v>5</v>
      </c>
    </row>
    <row r="76" spans="1:20" x14ac:dyDescent="0.25">
      <c r="A76" t="s">
        <v>216</v>
      </c>
      <c r="B76" t="s">
        <v>217</v>
      </c>
      <c r="C76" t="s">
        <v>51</v>
      </c>
      <c r="D76" t="s">
        <v>26</v>
      </c>
      <c r="E76" t="s">
        <v>33</v>
      </c>
      <c r="F76" t="s">
        <v>19</v>
      </c>
      <c r="G76" t="s">
        <v>20</v>
      </c>
      <c r="H76">
        <v>27</v>
      </c>
      <c r="I76" s="1">
        <v>44817</v>
      </c>
      <c r="J76" s="1" t="str">
        <f>TEXT(Employee_Sample_Data_1[[#This Row],[Hire Date]], "dddd")</f>
        <v>Tuesday</v>
      </c>
      <c r="K76" s="1" t="str">
        <f>TEXT(Employee_Sample_Data_1[[#This Row],[Hire Date]], "mmmm")</f>
        <v>September</v>
      </c>
      <c r="L76" s="1" t="str">
        <f>TEXT(Employee_Sample_Data_1[[#This Row],[Hire Date]], "yyyy")</f>
        <v>2022</v>
      </c>
      <c r="M76" s="2">
        <v>73203</v>
      </c>
      <c r="N76" s="3">
        <v>0</v>
      </c>
      <c r="O76" s="9">
        <f>PRODUCT(Employee_Sample_Data_1[[#This Row],[Annual Salary]],Employee_Sample_Data_1[[#This Row],[Bonus %]])</f>
        <v>0</v>
      </c>
      <c r="P76" s="2">
        <f>ROUND(Employee_Sample_Data_1[[#This Row],[Annual Salary]]*(1+Employee_Sample_Data_1[[#This Row],[Bonus %]]), 0)</f>
        <v>73203</v>
      </c>
      <c r="Q76" t="s">
        <v>21</v>
      </c>
      <c r="R76" t="s">
        <v>67</v>
      </c>
      <c r="T76">
        <f ca="1">DATEDIF(Employee_Sample_Data_1[[#This Row],[Hire Date]], IF(Employee_Sample_Data_1[[#This Row],[Exit Date]] = "", TODAY(), Employee_Sample_Data_1[[#This Row],[Exit Date]]), "Y")</f>
        <v>3</v>
      </c>
    </row>
    <row r="77" spans="1:20" x14ac:dyDescent="0.25">
      <c r="A77" t="s">
        <v>218</v>
      </c>
      <c r="B77" t="s">
        <v>219</v>
      </c>
      <c r="C77" t="s">
        <v>38</v>
      </c>
      <c r="D77" t="s">
        <v>32</v>
      </c>
      <c r="E77" t="s">
        <v>53</v>
      </c>
      <c r="F77" t="s">
        <v>39</v>
      </c>
      <c r="G77" t="s">
        <v>40</v>
      </c>
      <c r="H77">
        <v>63</v>
      </c>
      <c r="I77" s="1">
        <v>38003</v>
      </c>
      <c r="J77" s="1" t="str">
        <f>TEXT(Employee_Sample_Data_1[[#This Row],[Hire Date]], "dddd")</f>
        <v>Saturday</v>
      </c>
      <c r="K77" s="1" t="str">
        <f>TEXT(Employee_Sample_Data_1[[#This Row],[Hire Date]], "mmmm")</f>
        <v>January</v>
      </c>
      <c r="L77" s="1" t="str">
        <f>TEXT(Employee_Sample_Data_1[[#This Row],[Hire Date]], "yyyy")</f>
        <v>2004</v>
      </c>
      <c r="M77" s="2">
        <v>83070</v>
      </c>
      <c r="N77" s="3">
        <v>0</v>
      </c>
      <c r="O77" s="9">
        <f>PRODUCT(Employee_Sample_Data_1[[#This Row],[Annual Salary]],Employee_Sample_Data_1[[#This Row],[Bonus %]])</f>
        <v>0</v>
      </c>
      <c r="P77" s="2">
        <f>ROUND(Employee_Sample_Data_1[[#This Row],[Annual Salary]]*(1+Employee_Sample_Data_1[[#This Row],[Bonus %]]), 0)</f>
        <v>83070</v>
      </c>
      <c r="Q77" t="s">
        <v>134</v>
      </c>
      <c r="R77" t="s">
        <v>180</v>
      </c>
      <c r="T77">
        <f ca="1">DATEDIF(Employee_Sample_Data_1[[#This Row],[Hire Date]], IF(Employee_Sample_Data_1[[#This Row],[Exit Date]] = "", TODAY(), Employee_Sample_Data_1[[#This Row],[Exit Date]]), "Y")</f>
        <v>22</v>
      </c>
    </row>
    <row r="78" spans="1:20" x14ac:dyDescent="0.25">
      <c r="A78" t="s">
        <v>220</v>
      </c>
      <c r="B78" t="s">
        <v>221</v>
      </c>
      <c r="C78" t="s">
        <v>66</v>
      </c>
      <c r="D78" t="s">
        <v>123</v>
      </c>
      <c r="E78" t="s">
        <v>33</v>
      </c>
      <c r="F78" t="s">
        <v>39</v>
      </c>
      <c r="G78" t="s">
        <v>20</v>
      </c>
      <c r="H78">
        <v>51</v>
      </c>
      <c r="I78" s="1">
        <v>44034</v>
      </c>
      <c r="J78" s="1" t="str">
        <f>TEXT(Employee_Sample_Data_1[[#This Row],[Hire Date]], "dddd")</f>
        <v>Wednesday</v>
      </c>
      <c r="K78" s="1" t="str">
        <f>TEXT(Employee_Sample_Data_1[[#This Row],[Hire Date]], "mmmm")</f>
        <v>July</v>
      </c>
      <c r="L78" s="1" t="str">
        <f>TEXT(Employee_Sample_Data_1[[#This Row],[Hire Date]], "yyyy")</f>
        <v>2020</v>
      </c>
      <c r="M78" s="2">
        <v>104008</v>
      </c>
      <c r="N78" s="3">
        <v>0.1</v>
      </c>
      <c r="O78" s="9">
        <f>PRODUCT(Employee_Sample_Data_1[[#This Row],[Annual Salary]],Employee_Sample_Data_1[[#This Row],[Bonus %]])</f>
        <v>10400.800000000001</v>
      </c>
      <c r="P78" s="2">
        <f>ROUND(Employee_Sample_Data_1[[#This Row],[Annual Salary]]*(1+Employee_Sample_Data_1[[#This Row],[Bonus %]]), 0)</f>
        <v>114409</v>
      </c>
      <c r="Q78" t="s">
        <v>34</v>
      </c>
      <c r="R78" t="s">
        <v>108</v>
      </c>
      <c r="T78">
        <f ca="1">DATEDIF(Employee_Sample_Data_1[[#This Row],[Hire Date]], IF(Employee_Sample_Data_1[[#This Row],[Exit Date]] = "", TODAY(), Employee_Sample_Data_1[[#This Row],[Exit Date]]), "Y")</f>
        <v>5</v>
      </c>
    </row>
    <row r="79" spans="1:20" x14ac:dyDescent="0.25">
      <c r="A79" t="s">
        <v>222</v>
      </c>
      <c r="B79" t="s">
        <v>223</v>
      </c>
      <c r="C79" t="s">
        <v>224</v>
      </c>
      <c r="D79" t="s">
        <v>32</v>
      </c>
      <c r="E79" t="s">
        <v>27</v>
      </c>
      <c r="F79" t="s">
        <v>39</v>
      </c>
      <c r="G79" t="s">
        <v>63</v>
      </c>
      <c r="H79">
        <v>43</v>
      </c>
      <c r="I79" s="1">
        <v>39129</v>
      </c>
      <c r="J79" s="1" t="str">
        <f>TEXT(Employee_Sample_Data_1[[#This Row],[Hire Date]], "dddd")</f>
        <v>Friday</v>
      </c>
      <c r="K79" s="1" t="str">
        <f>TEXT(Employee_Sample_Data_1[[#This Row],[Hire Date]], "mmmm")</f>
        <v>February</v>
      </c>
      <c r="L79" s="1" t="str">
        <f>TEXT(Employee_Sample_Data_1[[#This Row],[Hire Date]], "yyyy")</f>
        <v>2007</v>
      </c>
      <c r="M79" s="2">
        <v>70923</v>
      </c>
      <c r="N79" s="3">
        <v>0</v>
      </c>
      <c r="O79" s="9">
        <f>PRODUCT(Employee_Sample_Data_1[[#This Row],[Annual Salary]],Employee_Sample_Data_1[[#This Row],[Bonus %]])</f>
        <v>0</v>
      </c>
      <c r="P79" s="2">
        <f>ROUND(Employee_Sample_Data_1[[#This Row],[Annual Salary]]*(1+Employee_Sample_Data_1[[#This Row],[Bonus %]]), 0)</f>
        <v>70923</v>
      </c>
      <c r="Q79" t="s">
        <v>21</v>
      </c>
      <c r="R79" t="s">
        <v>22</v>
      </c>
      <c r="T79">
        <f ca="1">DATEDIF(Employee_Sample_Data_1[[#This Row],[Hire Date]], IF(Employee_Sample_Data_1[[#This Row],[Exit Date]] = "", TODAY(), Employee_Sample_Data_1[[#This Row],[Exit Date]]), "Y")</f>
        <v>19</v>
      </c>
    </row>
    <row r="80" spans="1:20" x14ac:dyDescent="0.25">
      <c r="A80" t="s">
        <v>225</v>
      </c>
      <c r="B80" t="s">
        <v>226</v>
      </c>
      <c r="C80" t="s">
        <v>80</v>
      </c>
      <c r="D80" t="s">
        <v>77</v>
      </c>
      <c r="E80" t="s">
        <v>53</v>
      </c>
      <c r="F80" t="s">
        <v>19</v>
      </c>
      <c r="G80" t="s">
        <v>81</v>
      </c>
      <c r="H80">
        <v>31</v>
      </c>
      <c r="I80" s="1">
        <v>43198</v>
      </c>
      <c r="J80" s="1" t="str">
        <f>TEXT(Employee_Sample_Data_1[[#This Row],[Hire Date]], "dddd")</f>
        <v>Sunday</v>
      </c>
      <c r="K80" s="1" t="str">
        <f>TEXT(Employee_Sample_Data_1[[#This Row],[Hire Date]], "mmmm")</f>
        <v>April</v>
      </c>
      <c r="L80" s="1" t="str">
        <f>TEXT(Employee_Sample_Data_1[[#This Row],[Hire Date]], "yyyy")</f>
        <v>2018</v>
      </c>
      <c r="M80" s="2">
        <v>159121</v>
      </c>
      <c r="N80" s="3">
        <v>0.14000000000000001</v>
      </c>
      <c r="O80" s="9">
        <f>PRODUCT(Employee_Sample_Data_1[[#This Row],[Annual Salary]],Employee_Sample_Data_1[[#This Row],[Bonus %]])</f>
        <v>22276.940000000002</v>
      </c>
      <c r="P80" s="2">
        <f>ROUND(Employee_Sample_Data_1[[#This Row],[Annual Salary]]*(1+Employee_Sample_Data_1[[#This Row],[Bonus %]]), 0)</f>
        <v>181398</v>
      </c>
      <c r="Q80" t="s">
        <v>21</v>
      </c>
      <c r="R80" t="s">
        <v>48</v>
      </c>
      <c r="T80">
        <f ca="1">DATEDIF(Employee_Sample_Data_1[[#This Row],[Hire Date]], IF(Employee_Sample_Data_1[[#This Row],[Exit Date]] = "", TODAY(), Employee_Sample_Data_1[[#This Row],[Exit Date]]), "Y")</f>
        <v>8</v>
      </c>
    </row>
    <row r="81" spans="1:20" x14ac:dyDescent="0.25">
      <c r="A81" t="s">
        <v>227</v>
      </c>
      <c r="B81" t="s">
        <v>228</v>
      </c>
      <c r="C81" t="s">
        <v>229</v>
      </c>
      <c r="D81" t="s">
        <v>123</v>
      </c>
      <c r="E81" t="s">
        <v>33</v>
      </c>
      <c r="F81" t="s">
        <v>39</v>
      </c>
      <c r="G81" t="s">
        <v>63</v>
      </c>
      <c r="H81">
        <v>26</v>
      </c>
      <c r="I81" s="1">
        <v>44167</v>
      </c>
      <c r="J81" s="1" t="str">
        <f>TEXT(Employee_Sample_Data_1[[#This Row],[Hire Date]], "dddd")</f>
        <v>Wednesday</v>
      </c>
      <c r="K81" s="1" t="str">
        <f>TEXT(Employee_Sample_Data_1[[#This Row],[Hire Date]], "mmmm")</f>
        <v>December</v>
      </c>
      <c r="L81" s="1" t="str">
        <f>TEXT(Employee_Sample_Data_1[[#This Row],[Hire Date]], "yyyy")</f>
        <v>2020</v>
      </c>
      <c r="M81" s="2">
        <v>88921</v>
      </c>
      <c r="N81" s="3">
        <v>0</v>
      </c>
      <c r="O81" s="9">
        <f>PRODUCT(Employee_Sample_Data_1[[#This Row],[Annual Salary]],Employee_Sample_Data_1[[#This Row],[Bonus %]])</f>
        <v>0</v>
      </c>
      <c r="P81" s="2">
        <f>ROUND(Employee_Sample_Data_1[[#This Row],[Annual Salary]]*(1+Employee_Sample_Data_1[[#This Row],[Bonus %]]), 0)</f>
        <v>88921</v>
      </c>
      <c r="Q81" t="s">
        <v>21</v>
      </c>
      <c r="R81" t="s">
        <v>28</v>
      </c>
      <c r="T81">
        <f ca="1">DATEDIF(Employee_Sample_Data_1[[#This Row],[Hire Date]], IF(Employee_Sample_Data_1[[#This Row],[Exit Date]] = "", TODAY(), Employee_Sample_Data_1[[#This Row],[Exit Date]]), "Y")</f>
        <v>5</v>
      </c>
    </row>
    <row r="82" spans="1:20" x14ac:dyDescent="0.25">
      <c r="A82" t="s">
        <v>230</v>
      </c>
      <c r="B82" t="s">
        <v>231</v>
      </c>
      <c r="C82" t="s">
        <v>80</v>
      </c>
      <c r="D82" t="s">
        <v>26</v>
      </c>
      <c r="E82" t="s">
        <v>53</v>
      </c>
      <c r="F82" t="s">
        <v>19</v>
      </c>
      <c r="G82" t="s">
        <v>20</v>
      </c>
      <c r="H82">
        <v>46</v>
      </c>
      <c r="I82" s="1">
        <v>42246</v>
      </c>
      <c r="J82" s="1" t="str">
        <f>TEXT(Employee_Sample_Data_1[[#This Row],[Hire Date]], "dddd")</f>
        <v>Sunday</v>
      </c>
      <c r="K82" s="1" t="str">
        <f>TEXT(Employee_Sample_Data_1[[#This Row],[Hire Date]], "mmmm")</f>
        <v>August</v>
      </c>
      <c r="L82" s="1" t="str">
        <f>TEXT(Employee_Sample_Data_1[[#This Row],[Hire Date]], "yyyy")</f>
        <v>2015</v>
      </c>
      <c r="M82" s="2">
        <v>126704</v>
      </c>
      <c r="N82" s="3">
        <v>0.14000000000000001</v>
      </c>
      <c r="O82" s="9">
        <f>PRODUCT(Employee_Sample_Data_1[[#This Row],[Annual Salary]],Employee_Sample_Data_1[[#This Row],[Bonus %]])</f>
        <v>17738.560000000001</v>
      </c>
      <c r="P82" s="2">
        <f>ROUND(Employee_Sample_Data_1[[#This Row],[Annual Salary]]*(1+Employee_Sample_Data_1[[#This Row],[Bonus %]]), 0)</f>
        <v>144443</v>
      </c>
      <c r="Q82" t="s">
        <v>21</v>
      </c>
      <c r="R82" t="s">
        <v>48</v>
      </c>
      <c r="T82">
        <f ca="1">DATEDIF(Employee_Sample_Data_1[[#This Row],[Hire Date]], IF(Employee_Sample_Data_1[[#This Row],[Exit Date]] = "", TODAY(), Employee_Sample_Data_1[[#This Row],[Exit Date]]), "Y")</f>
        <v>10</v>
      </c>
    </row>
    <row r="83" spans="1:20" x14ac:dyDescent="0.25">
      <c r="A83" t="s">
        <v>232</v>
      </c>
      <c r="B83" t="s">
        <v>233</v>
      </c>
      <c r="C83" t="s">
        <v>57</v>
      </c>
      <c r="D83" t="s">
        <v>52</v>
      </c>
      <c r="E83" t="s">
        <v>18</v>
      </c>
      <c r="F83" t="s">
        <v>39</v>
      </c>
      <c r="G83" t="s">
        <v>20</v>
      </c>
      <c r="H83">
        <v>59</v>
      </c>
      <c r="I83" s="1">
        <v>41049</v>
      </c>
      <c r="J83" s="1" t="str">
        <f>TEXT(Employee_Sample_Data_1[[#This Row],[Hire Date]], "dddd")</f>
        <v>Sunday</v>
      </c>
      <c r="K83" s="1" t="str">
        <f>TEXT(Employee_Sample_Data_1[[#This Row],[Hire Date]], "mmmm")</f>
        <v>May</v>
      </c>
      <c r="L83" s="1" t="str">
        <f>TEXT(Employee_Sample_Data_1[[#This Row],[Hire Date]], "yyyy")</f>
        <v>2012</v>
      </c>
      <c r="M83" s="2">
        <v>57704</v>
      </c>
      <c r="N83" s="3">
        <v>0</v>
      </c>
      <c r="O83" s="9">
        <f>PRODUCT(Employee_Sample_Data_1[[#This Row],[Annual Salary]],Employee_Sample_Data_1[[#This Row],[Bonus %]])</f>
        <v>0</v>
      </c>
      <c r="P83" s="2">
        <f>ROUND(Employee_Sample_Data_1[[#This Row],[Annual Salary]]*(1+Employee_Sample_Data_1[[#This Row],[Bonus %]]), 0)</f>
        <v>57704</v>
      </c>
      <c r="Q83" t="s">
        <v>34</v>
      </c>
      <c r="R83" t="s">
        <v>35</v>
      </c>
      <c r="S83" s="1">
        <v>43790</v>
      </c>
      <c r="T83">
        <f ca="1">DATEDIF(Employee_Sample_Data_1[[#This Row],[Hire Date]], IF(Employee_Sample_Data_1[[#This Row],[Exit Date]] = "", TODAY(), Employee_Sample_Data_1[[#This Row],[Exit Date]]), "Y")</f>
        <v>7</v>
      </c>
    </row>
    <row r="84" spans="1:20" x14ac:dyDescent="0.25">
      <c r="A84" t="s">
        <v>234</v>
      </c>
      <c r="B84" t="s">
        <v>235</v>
      </c>
      <c r="C84" t="s">
        <v>44</v>
      </c>
      <c r="D84" t="s">
        <v>26</v>
      </c>
      <c r="E84" t="s">
        <v>33</v>
      </c>
      <c r="F84" t="s">
        <v>39</v>
      </c>
      <c r="G84" t="s">
        <v>40</v>
      </c>
      <c r="H84">
        <v>52</v>
      </c>
      <c r="I84" s="1">
        <v>35275</v>
      </c>
      <c r="J84" s="1" t="str">
        <f>TEXT(Employee_Sample_Data_1[[#This Row],[Hire Date]], "dddd")</f>
        <v>Monday</v>
      </c>
      <c r="K84" s="1" t="str">
        <f>TEXT(Employee_Sample_Data_1[[#This Row],[Hire Date]], "mmmm")</f>
        <v>July</v>
      </c>
      <c r="L84" s="1" t="str">
        <f>TEXT(Employee_Sample_Data_1[[#This Row],[Hire Date]], "yyyy")</f>
        <v>1996</v>
      </c>
      <c r="M84" s="2">
        <v>191455</v>
      </c>
      <c r="N84" s="3">
        <v>0.24</v>
      </c>
      <c r="O84" s="9">
        <f>PRODUCT(Employee_Sample_Data_1[[#This Row],[Annual Salary]],Employee_Sample_Data_1[[#This Row],[Bonus %]])</f>
        <v>45949.2</v>
      </c>
      <c r="P84" s="2">
        <f>ROUND(Employee_Sample_Data_1[[#This Row],[Annual Salary]]*(1+Employee_Sample_Data_1[[#This Row],[Bonus %]]), 0)</f>
        <v>237404</v>
      </c>
      <c r="Q84" t="s">
        <v>134</v>
      </c>
      <c r="R84" t="s">
        <v>180</v>
      </c>
      <c r="T84">
        <f ca="1">DATEDIF(Employee_Sample_Data_1[[#This Row],[Hire Date]], IF(Employee_Sample_Data_1[[#This Row],[Exit Date]] = "", TODAY(), Employee_Sample_Data_1[[#This Row],[Exit Date]]), "Y")</f>
        <v>29</v>
      </c>
    </row>
    <row r="85" spans="1:20" x14ac:dyDescent="0.25">
      <c r="A85" t="s">
        <v>236</v>
      </c>
      <c r="B85" t="s">
        <v>237</v>
      </c>
      <c r="C85" t="s">
        <v>224</v>
      </c>
      <c r="D85" t="s">
        <v>32</v>
      </c>
      <c r="E85" t="s">
        <v>18</v>
      </c>
      <c r="F85" t="s">
        <v>19</v>
      </c>
      <c r="G85" t="s">
        <v>63</v>
      </c>
      <c r="H85">
        <v>31</v>
      </c>
      <c r="I85" s="1">
        <v>44350</v>
      </c>
      <c r="J85" s="1" t="str">
        <f>TEXT(Employee_Sample_Data_1[[#This Row],[Hire Date]], "dddd")</f>
        <v>Thursday</v>
      </c>
      <c r="K85" s="1" t="str">
        <f>TEXT(Employee_Sample_Data_1[[#This Row],[Hire Date]], "mmmm")</f>
        <v>June</v>
      </c>
      <c r="L85" s="1" t="str">
        <f>TEXT(Employee_Sample_Data_1[[#This Row],[Hire Date]], "yyyy")</f>
        <v>2021</v>
      </c>
      <c r="M85" s="2">
        <v>99937</v>
      </c>
      <c r="N85" s="3">
        <v>0</v>
      </c>
      <c r="O85" s="9">
        <f>PRODUCT(Employee_Sample_Data_1[[#This Row],[Annual Salary]],Employee_Sample_Data_1[[#This Row],[Bonus %]])</f>
        <v>0</v>
      </c>
      <c r="P85" s="2">
        <f>ROUND(Employee_Sample_Data_1[[#This Row],[Annual Salary]]*(1+Employee_Sample_Data_1[[#This Row],[Bonus %]]), 0)</f>
        <v>99937</v>
      </c>
      <c r="Q85" t="s">
        <v>21</v>
      </c>
      <c r="R85" t="s">
        <v>48</v>
      </c>
      <c r="T85">
        <f ca="1">DATEDIF(Employee_Sample_Data_1[[#This Row],[Hire Date]], IF(Employee_Sample_Data_1[[#This Row],[Exit Date]] = "", TODAY(), Employee_Sample_Data_1[[#This Row],[Exit Date]]), "Y")</f>
        <v>5</v>
      </c>
    </row>
    <row r="86" spans="1:20" x14ac:dyDescent="0.25">
      <c r="A86" t="s">
        <v>238</v>
      </c>
      <c r="B86" t="s">
        <v>239</v>
      </c>
      <c r="C86" t="s">
        <v>25</v>
      </c>
      <c r="D86" t="s">
        <v>77</v>
      </c>
      <c r="E86" t="s">
        <v>53</v>
      </c>
      <c r="F86" t="s">
        <v>19</v>
      </c>
      <c r="G86" t="s">
        <v>20</v>
      </c>
      <c r="H86">
        <v>42</v>
      </c>
      <c r="I86" s="1">
        <v>39519</v>
      </c>
      <c r="J86" s="1" t="str">
        <f>TEXT(Employee_Sample_Data_1[[#This Row],[Hire Date]], "dddd")</f>
        <v>Wednesday</v>
      </c>
      <c r="K86" s="1" t="str">
        <f>TEXT(Employee_Sample_Data_1[[#This Row],[Hire Date]], "mmmm")</f>
        <v>March</v>
      </c>
      <c r="L86" s="1" t="str">
        <f>TEXT(Employee_Sample_Data_1[[#This Row],[Hire Date]], "yyyy")</f>
        <v>2008</v>
      </c>
      <c r="M86" s="2">
        <v>40778</v>
      </c>
      <c r="N86" s="3">
        <v>0</v>
      </c>
      <c r="O86" s="9">
        <f>PRODUCT(Employee_Sample_Data_1[[#This Row],[Annual Salary]],Employee_Sample_Data_1[[#This Row],[Bonus %]])</f>
        <v>0</v>
      </c>
      <c r="P86" s="2">
        <f>ROUND(Employee_Sample_Data_1[[#This Row],[Annual Salary]]*(1+Employee_Sample_Data_1[[#This Row],[Bonus %]]), 0)</f>
        <v>40778</v>
      </c>
      <c r="Q86" t="s">
        <v>34</v>
      </c>
      <c r="R86" t="s">
        <v>59</v>
      </c>
      <c r="T86">
        <f ca="1">DATEDIF(Employee_Sample_Data_1[[#This Row],[Hire Date]], IF(Employee_Sample_Data_1[[#This Row],[Exit Date]] = "", TODAY(), Employee_Sample_Data_1[[#This Row],[Exit Date]]), "Y")</f>
        <v>18</v>
      </c>
    </row>
    <row r="87" spans="1:20" x14ac:dyDescent="0.25">
      <c r="A87" t="s">
        <v>240</v>
      </c>
      <c r="B87" t="s">
        <v>241</v>
      </c>
      <c r="C87" t="s">
        <v>44</v>
      </c>
      <c r="D87" t="s">
        <v>77</v>
      </c>
      <c r="E87" t="s">
        <v>53</v>
      </c>
      <c r="F87" t="s">
        <v>19</v>
      </c>
      <c r="G87" t="s">
        <v>20</v>
      </c>
      <c r="H87">
        <v>53</v>
      </c>
      <c r="I87" s="1">
        <v>44516</v>
      </c>
      <c r="J87" s="1" t="str">
        <f>TEXT(Employee_Sample_Data_1[[#This Row],[Hire Date]], "dddd")</f>
        <v>Tuesday</v>
      </c>
      <c r="K87" s="1" t="str">
        <f>TEXT(Employee_Sample_Data_1[[#This Row],[Hire Date]], "mmmm")</f>
        <v>November</v>
      </c>
      <c r="L87" s="1" t="str">
        <f>TEXT(Employee_Sample_Data_1[[#This Row],[Hire Date]], "yyyy")</f>
        <v>2021</v>
      </c>
      <c r="M87" s="2">
        <v>187740</v>
      </c>
      <c r="N87" s="3">
        <v>0.16</v>
      </c>
      <c r="O87" s="9">
        <f>PRODUCT(Employee_Sample_Data_1[[#This Row],[Annual Salary]],Employee_Sample_Data_1[[#This Row],[Bonus %]])</f>
        <v>30038.400000000001</v>
      </c>
      <c r="P87" s="2">
        <f>ROUND(Employee_Sample_Data_1[[#This Row],[Annual Salary]]*(1+Employee_Sample_Data_1[[#This Row],[Bonus %]]), 0)</f>
        <v>217778</v>
      </c>
      <c r="Q87" t="s">
        <v>21</v>
      </c>
      <c r="R87" t="s">
        <v>22</v>
      </c>
      <c r="T87">
        <f ca="1">DATEDIF(Employee_Sample_Data_1[[#This Row],[Hire Date]], IF(Employee_Sample_Data_1[[#This Row],[Exit Date]] = "", TODAY(), Employee_Sample_Data_1[[#This Row],[Exit Date]]), "Y")</f>
        <v>4</v>
      </c>
    </row>
    <row r="88" spans="1:20" x14ac:dyDescent="0.25">
      <c r="A88" t="s">
        <v>242</v>
      </c>
      <c r="B88" t="s">
        <v>243</v>
      </c>
      <c r="C88" t="s">
        <v>244</v>
      </c>
      <c r="D88" t="s">
        <v>123</v>
      </c>
      <c r="E88" t="s">
        <v>33</v>
      </c>
      <c r="F88" t="s">
        <v>19</v>
      </c>
      <c r="G88" t="s">
        <v>40</v>
      </c>
      <c r="H88">
        <v>47</v>
      </c>
      <c r="I88" s="1">
        <v>39701</v>
      </c>
      <c r="J88" s="1" t="str">
        <f>TEXT(Employee_Sample_Data_1[[#This Row],[Hire Date]], "dddd")</f>
        <v>Wednesday</v>
      </c>
      <c r="K88" s="1" t="str">
        <f>TEXT(Employee_Sample_Data_1[[#This Row],[Hire Date]], "mmmm")</f>
        <v>September</v>
      </c>
      <c r="L88" s="1" t="str">
        <f>TEXT(Employee_Sample_Data_1[[#This Row],[Hire Date]], "yyyy")</f>
        <v>2008</v>
      </c>
      <c r="M88" s="2">
        <v>72384</v>
      </c>
      <c r="N88" s="3">
        <v>0</v>
      </c>
      <c r="O88" s="9">
        <f>PRODUCT(Employee_Sample_Data_1[[#This Row],[Annual Salary]],Employee_Sample_Data_1[[#This Row],[Bonus %]])</f>
        <v>0</v>
      </c>
      <c r="P88" s="2">
        <f>ROUND(Employee_Sample_Data_1[[#This Row],[Annual Salary]]*(1+Employee_Sample_Data_1[[#This Row],[Bonus %]]), 0)</f>
        <v>72384</v>
      </c>
      <c r="Q88" t="s">
        <v>134</v>
      </c>
      <c r="R88" t="s">
        <v>135</v>
      </c>
      <c r="T88">
        <f ca="1">DATEDIF(Employee_Sample_Data_1[[#This Row],[Hire Date]], IF(Employee_Sample_Data_1[[#This Row],[Exit Date]] = "", TODAY(), Employee_Sample_Data_1[[#This Row],[Exit Date]]), "Y")</f>
        <v>17</v>
      </c>
    </row>
    <row r="89" spans="1:20" x14ac:dyDescent="0.25">
      <c r="A89" t="s">
        <v>245</v>
      </c>
      <c r="B89" t="s">
        <v>246</v>
      </c>
      <c r="C89" t="s">
        <v>80</v>
      </c>
      <c r="D89" t="s">
        <v>77</v>
      </c>
      <c r="E89" t="s">
        <v>27</v>
      </c>
      <c r="F89" t="s">
        <v>39</v>
      </c>
      <c r="G89" t="s">
        <v>20</v>
      </c>
      <c r="H89">
        <v>45</v>
      </c>
      <c r="I89" s="1">
        <v>42587</v>
      </c>
      <c r="J89" s="1" t="str">
        <f>TEXT(Employee_Sample_Data_1[[#This Row],[Hire Date]], "dddd")</f>
        <v>Friday</v>
      </c>
      <c r="K89" s="1" t="str">
        <f>TEXT(Employee_Sample_Data_1[[#This Row],[Hire Date]], "mmmm")</f>
        <v>August</v>
      </c>
      <c r="L89" s="1" t="str">
        <f>TEXT(Employee_Sample_Data_1[[#This Row],[Hire Date]], "yyyy")</f>
        <v>2016</v>
      </c>
      <c r="M89" s="2">
        <v>143318</v>
      </c>
      <c r="N89" s="3">
        <v>0.12</v>
      </c>
      <c r="O89" s="9">
        <f>PRODUCT(Employee_Sample_Data_1[[#This Row],[Annual Salary]],Employee_Sample_Data_1[[#This Row],[Bonus %]])</f>
        <v>17198.16</v>
      </c>
      <c r="P89" s="2">
        <f>ROUND(Employee_Sample_Data_1[[#This Row],[Annual Salary]]*(1+Employee_Sample_Data_1[[#This Row],[Bonus %]]), 0)</f>
        <v>160516</v>
      </c>
      <c r="Q89" t="s">
        <v>34</v>
      </c>
      <c r="R89" t="s">
        <v>59</v>
      </c>
      <c r="T89">
        <f ca="1">DATEDIF(Employee_Sample_Data_1[[#This Row],[Hire Date]], IF(Employee_Sample_Data_1[[#This Row],[Exit Date]] = "", TODAY(), Employee_Sample_Data_1[[#This Row],[Exit Date]]), "Y")</f>
        <v>9</v>
      </c>
    </row>
    <row r="90" spans="1:20" x14ac:dyDescent="0.25">
      <c r="A90" t="s">
        <v>247</v>
      </c>
      <c r="B90" t="s">
        <v>248</v>
      </c>
      <c r="C90" t="s">
        <v>44</v>
      </c>
      <c r="D90" t="s">
        <v>123</v>
      </c>
      <c r="E90" t="s">
        <v>53</v>
      </c>
      <c r="F90" t="s">
        <v>39</v>
      </c>
      <c r="G90" t="s">
        <v>40</v>
      </c>
      <c r="H90">
        <v>45</v>
      </c>
      <c r="I90" s="1">
        <v>39617</v>
      </c>
      <c r="J90" s="1" t="str">
        <f>TEXT(Employee_Sample_Data_1[[#This Row],[Hire Date]], "dddd")</f>
        <v>Wednesday</v>
      </c>
      <c r="K90" s="1" t="str">
        <f>TEXT(Employee_Sample_Data_1[[#This Row],[Hire Date]], "mmmm")</f>
        <v>June</v>
      </c>
      <c r="L90" s="1" t="str">
        <f>TEXT(Employee_Sample_Data_1[[#This Row],[Hire Date]], "yyyy")</f>
        <v>2008</v>
      </c>
      <c r="M90" s="2">
        <v>191304</v>
      </c>
      <c r="N90" s="3">
        <v>0.17</v>
      </c>
      <c r="O90" s="9">
        <f>PRODUCT(Employee_Sample_Data_1[[#This Row],[Annual Salary]],Employee_Sample_Data_1[[#This Row],[Bonus %]])</f>
        <v>32521.680000000004</v>
      </c>
      <c r="P90" s="2">
        <f>ROUND(Employee_Sample_Data_1[[#This Row],[Annual Salary]]*(1+Employee_Sample_Data_1[[#This Row],[Bonus %]]), 0)</f>
        <v>223826</v>
      </c>
      <c r="Q90" t="s">
        <v>21</v>
      </c>
      <c r="R90" t="s">
        <v>48</v>
      </c>
      <c r="T90">
        <f ca="1">DATEDIF(Employee_Sample_Data_1[[#This Row],[Hire Date]], IF(Employee_Sample_Data_1[[#This Row],[Exit Date]] = "", TODAY(), Employee_Sample_Data_1[[#This Row],[Exit Date]]), "Y")</f>
        <v>17</v>
      </c>
    </row>
    <row r="91" spans="1:20" x14ac:dyDescent="0.25">
      <c r="A91" t="s">
        <v>249</v>
      </c>
      <c r="B91" t="s">
        <v>250</v>
      </c>
      <c r="C91" t="s">
        <v>44</v>
      </c>
      <c r="D91" t="s">
        <v>123</v>
      </c>
      <c r="E91" t="s">
        <v>53</v>
      </c>
      <c r="F91" t="s">
        <v>39</v>
      </c>
      <c r="G91" t="s">
        <v>81</v>
      </c>
      <c r="H91">
        <v>33</v>
      </c>
      <c r="I91" s="1">
        <v>42079</v>
      </c>
      <c r="J91" s="1" t="str">
        <f>TEXT(Employee_Sample_Data_1[[#This Row],[Hire Date]], "dddd")</f>
        <v>Monday</v>
      </c>
      <c r="K91" s="1" t="str">
        <f>TEXT(Employee_Sample_Data_1[[#This Row],[Hire Date]], "mmmm")</f>
        <v>March</v>
      </c>
      <c r="L91" s="1" t="str">
        <f>TEXT(Employee_Sample_Data_1[[#This Row],[Hire Date]], "yyyy")</f>
        <v>2015</v>
      </c>
      <c r="M91" s="2">
        <v>175875</v>
      </c>
      <c r="N91" s="3">
        <v>0.21</v>
      </c>
      <c r="O91" s="9">
        <f>PRODUCT(Employee_Sample_Data_1[[#This Row],[Annual Salary]],Employee_Sample_Data_1[[#This Row],[Bonus %]])</f>
        <v>36933.75</v>
      </c>
      <c r="P91" s="2">
        <f>ROUND(Employee_Sample_Data_1[[#This Row],[Annual Salary]]*(1+Employee_Sample_Data_1[[#This Row],[Bonus %]]), 0)</f>
        <v>212809</v>
      </c>
      <c r="Q91" t="s">
        <v>21</v>
      </c>
      <c r="R91" t="s">
        <v>22</v>
      </c>
      <c r="S91" s="1">
        <v>44697</v>
      </c>
      <c r="T91">
        <f ca="1">DATEDIF(Employee_Sample_Data_1[[#This Row],[Hire Date]], IF(Employee_Sample_Data_1[[#This Row],[Exit Date]] = "", TODAY(), Employee_Sample_Data_1[[#This Row],[Exit Date]]), "Y")</f>
        <v>7</v>
      </c>
    </row>
    <row r="92" spans="1:20" x14ac:dyDescent="0.25">
      <c r="A92" t="s">
        <v>251</v>
      </c>
      <c r="B92" t="s">
        <v>252</v>
      </c>
      <c r="C92" t="s">
        <v>66</v>
      </c>
      <c r="D92" t="s">
        <v>26</v>
      </c>
      <c r="E92" t="s">
        <v>33</v>
      </c>
      <c r="F92" t="s">
        <v>39</v>
      </c>
      <c r="G92" t="s">
        <v>81</v>
      </c>
      <c r="H92">
        <v>42</v>
      </c>
      <c r="I92" s="1">
        <v>41742</v>
      </c>
      <c r="J92" s="1" t="str">
        <f>TEXT(Employee_Sample_Data_1[[#This Row],[Hire Date]], "dddd")</f>
        <v>Sunday</v>
      </c>
      <c r="K92" s="1" t="str">
        <f>TEXT(Employee_Sample_Data_1[[#This Row],[Hire Date]], "mmmm")</f>
        <v>April</v>
      </c>
      <c r="L92" s="1" t="str">
        <f>TEXT(Employee_Sample_Data_1[[#This Row],[Hire Date]], "yyyy")</f>
        <v>2014</v>
      </c>
      <c r="M92" s="2">
        <v>106726</v>
      </c>
      <c r="N92" s="3">
        <v>0.09</v>
      </c>
      <c r="O92" s="9">
        <f>PRODUCT(Employee_Sample_Data_1[[#This Row],[Annual Salary]],Employee_Sample_Data_1[[#This Row],[Bonus %]])</f>
        <v>9605.34</v>
      </c>
      <c r="P92" s="2">
        <f>ROUND(Employee_Sample_Data_1[[#This Row],[Annual Salary]]*(1+Employee_Sample_Data_1[[#This Row],[Bonus %]]), 0)</f>
        <v>116331</v>
      </c>
      <c r="Q92" t="s">
        <v>21</v>
      </c>
      <c r="R92" t="s">
        <v>41</v>
      </c>
      <c r="T92">
        <f ca="1">DATEDIF(Employee_Sample_Data_1[[#This Row],[Hire Date]], IF(Employee_Sample_Data_1[[#This Row],[Exit Date]] = "", TODAY(), Employee_Sample_Data_1[[#This Row],[Exit Date]]), "Y")</f>
        <v>12</v>
      </c>
    </row>
    <row r="93" spans="1:20" x14ac:dyDescent="0.25">
      <c r="A93" t="s">
        <v>253</v>
      </c>
      <c r="B93" t="s">
        <v>254</v>
      </c>
      <c r="C93" t="s">
        <v>161</v>
      </c>
      <c r="D93" t="s">
        <v>32</v>
      </c>
      <c r="E93" t="s">
        <v>18</v>
      </c>
      <c r="F93" t="s">
        <v>39</v>
      </c>
      <c r="G93" t="s">
        <v>81</v>
      </c>
      <c r="H93">
        <v>37</v>
      </c>
      <c r="I93" s="1">
        <v>40846</v>
      </c>
      <c r="J93" s="1" t="str">
        <f>TEXT(Employee_Sample_Data_1[[#This Row],[Hire Date]], "dddd")</f>
        <v>Sunday</v>
      </c>
      <c r="K93" s="1" t="str">
        <f>TEXT(Employee_Sample_Data_1[[#This Row],[Hire Date]], "mmmm")</f>
        <v>October</v>
      </c>
      <c r="L93" s="1" t="str">
        <f>TEXT(Employee_Sample_Data_1[[#This Row],[Hire Date]], "yyyy")</f>
        <v>2011</v>
      </c>
      <c r="M93" s="2">
        <v>72637</v>
      </c>
      <c r="N93" s="3">
        <v>0</v>
      </c>
      <c r="O93" s="9">
        <f>PRODUCT(Employee_Sample_Data_1[[#This Row],[Annual Salary]],Employee_Sample_Data_1[[#This Row],[Bonus %]])</f>
        <v>0</v>
      </c>
      <c r="P93" s="2">
        <f>ROUND(Employee_Sample_Data_1[[#This Row],[Annual Salary]]*(1+Employee_Sample_Data_1[[#This Row],[Bonus %]]), 0)</f>
        <v>72637</v>
      </c>
      <c r="Q93" t="s">
        <v>21</v>
      </c>
      <c r="R93" t="s">
        <v>22</v>
      </c>
      <c r="T93">
        <f ca="1">DATEDIF(Employee_Sample_Data_1[[#This Row],[Hire Date]], IF(Employee_Sample_Data_1[[#This Row],[Exit Date]] = "", TODAY(), Employee_Sample_Data_1[[#This Row],[Exit Date]]), "Y")</f>
        <v>14</v>
      </c>
    </row>
    <row r="94" spans="1:20" x14ac:dyDescent="0.25">
      <c r="A94" t="s">
        <v>255</v>
      </c>
      <c r="B94" t="s">
        <v>256</v>
      </c>
      <c r="C94" t="s">
        <v>66</v>
      </c>
      <c r="D94" t="s">
        <v>77</v>
      </c>
      <c r="E94" t="s">
        <v>27</v>
      </c>
      <c r="F94" t="s">
        <v>39</v>
      </c>
      <c r="G94" t="s">
        <v>20</v>
      </c>
      <c r="H94">
        <v>27</v>
      </c>
      <c r="I94" s="1">
        <v>44900</v>
      </c>
      <c r="J94" s="1" t="str">
        <f>TEXT(Employee_Sample_Data_1[[#This Row],[Hire Date]], "dddd")</f>
        <v>Monday</v>
      </c>
      <c r="K94" s="1" t="str">
        <f>TEXT(Employee_Sample_Data_1[[#This Row],[Hire Date]], "mmmm")</f>
        <v>December</v>
      </c>
      <c r="L94" s="1" t="str">
        <f>TEXT(Employee_Sample_Data_1[[#This Row],[Hire Date]], "yyyy")</f>
        <v>2022</v>
      </c>
      <c r="M94" s="2">
        <v>118304</v>
      </c>
      <c r="N94" s="3">
        <v>7.0000000000000007E-2</v>
      </c>
      <c r="O94" s="9">
        <f>PRODUCT(Employee_Sample_Data_1[[#This Row],[Annual Salary]],Employee_Sample_Data_1[[#This Row],[Bonus %]])</f>
        <v>8281.2800000000007</v>
      </c>
      <c r="P94" s="2">
        <f>ROUND(Employee_Sample_Data_1[[#This Row],[Annual Salary]]*(1+Employee_Sample_Data_1[[#This Row],[Bonus %]]), 0)</f>
        <v>126585</v>
      </c>
      <c r="Q94" t="s">
        <v>34</v>
      </c>
      <c r="R94" t="s">
        <v>35</v>
      </c>
      <c r="T94">
        <f ca="1">DATEDIF(Employee_Sample_Data_1[[#This Row],[Hire Date]], IF(Employee_Sample_Data_1[[#This Row],[Exit Date]] = "", TODAY(), Employee_Sample_Data_1[[#This Row],[Exit Date]]), "Y")</f>
        <v>3</v>
      </c>
    </row>
    <row r="95" spans="1:20" x14ac:dyDescent="0.25">
      <c r="A95" t="s">
        <v>257</v>
      </c>
      <c r="B95" t="s">
        <v>258</v>
      </c>
      <c r="C95" t="s">
        <v>177</v>
      </c>
      <c r="D95" t="s">
        <v>32</v>
      </c>
      <c r="E95" t="s">
        <v>18</v>
      </c>
      <c r="F95" t="s">
        <v>19</v>
      </c>
      <c r="G95" t="s">
        <v>40</v>
      </c>
      <c r="H95">
        <v>55</v>
      </c>
      <c r="I95" s="1">
        <v>37789</v>
      </c>
      <c r="J95" s="1" t="str">
        <f>TEXT(Employee_Sample_Data_1[[#This Row],[Hire Date]], "dddd")</f>
        <v>Tuesday</v>
      </c>
      <c r="K95" s="1" t="str">
        <f>TEXT(Employee_Sample_Data_1[[#This Row],[Hire Date]], "mmmm")</f>
        <v>June</v>
      </c>
      <c r="L95" s="1" t="str">
        <f>TEXT(Employee_Sample_Data_1[[#This Row],[Hire Date]], "yyyy")</f>
        <v>2003</v>
      </c>
      <c r="M95" s="2">
        <v>68592</v>
      </c>
      <c r="N95" s="3">
        <v>0.08</v>
      </c>
      <c r="O95" s="9">
        <f>PRODUCT(Employee_Sample_Data_1[[#This Row],[Annual Salary]],Employee_Sample_Data_1[[#This Row],[Bonus %]])</f>
        <v>5487.36</v>
      </c>
      <c r="P95" s="2">
        <f>ROUND(Employee_Sample_Data_1[[#This Row],[Annual Salary]]*(1+Employee_Sample_Data_1[[#This Row],[Bonus %]]), 0)</f>
        <v>74079</v>
      </c>
      <c r="Q95" t="s">
        <v>134</v>
      </c>
      <c r="R95" t="s">
        <v>180</v>
      </c>
      <c r="T95">
        <f ca="1">DATEDIF(Employee_Sample_Data_1[[#This Row],[Hire Date]], IF(Employee_Sample_Data_1[[#This Row],[Exit Date]] = "", TODAY(), Employee_Sample_Data_1[[#This Row],[Exit Date]]), "Y")</f>
        <v>22</v>
      </c>
    </row>
    <row r="96" spans="1:20" x14ac:dyDescent="0.25">
      <c r="A96" t="s">
        <v>259</v>
      </c>
      <c r="B96" t="s">
        <v>260</v>
      </c>
      <c r="C96" t="s">
        <v>25</v>
      </c>
      <c r="D96" t="s">
        <v>52</v>
      </c>
      <c r="E96" t="s">
        <v>33</v>
      </c>
      <c r="F96" t="s">
        <v>39</v>
      </c>
      <c r="G96" t="s">
        <v>20</v>
      </c>
      <c r="H96">
        <v>46</v>
      </c>
      <c r="I96" s="1">
        <v>38808</v>
      </c>
      <c r="J96" s="1" t="str">
        <f>TEXT(Employee_Sample_Data_1[[#This Row],[Hire Date]], "dddd")</f>
        <v>Saturday</v>
      </c>
      <c r="K96" s="1" t="str">
        <f>TEXT(Employee_Sample_Data_1[[#This Row],[Hire Date]], "mmmm")</f>
        <v>April</v>
      </c>
      <c r="L96" s="1" t="str">
        <f>TEXT(Employee_Sample_Data_1[[#This Row],[Hire Date]], "yyyy")</f>
        <v>2006</v>
      </c>
      <c r="M96" s="2">
        <v>42532</v>
      </c>
      <c r="N96" s="3">
        <v>0</v>
      </c>
      <c r="O96" s="9">
        <f>PRODUCT(Employee_Sample_Data_1[[#This Row],[Annual Salary]],Employee_Sample_Data_1[[#This Row],[Bonus %]])</f>
        <v>0</v>
      </c>
      <c r="P96" s="2">
        <f>ROUND(Employee_Sample_Data_1[[#This Row],[Annual Salary]]*(1+Employee_Sample_Data_1[[#This Row],[Bonus %]]), 0)</f>
        <v>42532</v>
      </c>
      <c r="Q96" t="s">
        <v>34</v>
      </c>
      <c r="R96" t="s">
        <v>54</v>
      </c>
      <c r="T96">
        <f ca="1">DATEDIF(Employee_Sample_Data_1[[#This Row],[Hire Date]], IF(Employee_Sample_Data_1[[#This Row],[Exit Date]] = "", TODAY(), Employee_Sample_Data_1[[#This Row],[Exit Date]]), "Y")</f>
        <v>20</v>
      </c>
    </row>
    <row r="97" spans="1:20" x14ac:dyDescent="0.25">
      <c r="A97" t="s">
        <v>261</v>
      </c>
      <c r="B97" t="s">
        <v>262</v>
      </c>
      <c r="C97" t="s">
        <v>98</v>
      </c>
      <c r="D97" t="s">
        <v>32</v>
      </c>
      <c r="E97" t="s">
        <v>33</v>
      </c>
      <c r="F97" t="s">
        <v>19</v>
      </c>
      <c r="G97" t="s">
        <v>20</v>
      </c>
      <c r="H97">
        <v>37</v>
      </c>
      <c r="I97" s="1">
        <v>42236</v>
      </c>
      <c r="J97" s="1" t="str">
        <f>TEXT(Employee_Sample_Data_1[[#This Row],[Hire Date]], "dddd")</f>
        <v>Thursday</v>
      </c>
      <c r="K97" s="1" t="str">
        <f>TEXT(Employee_Sample_Data_1[[#This Row],[Hire Date]], "mmmm")</f>
        <v>August</v>
      </c>
      <c r="L97" s="1" t="str">
        <f>TEXT(Employee_Sample_Data_1[[#This Row],[Hire Date]], "yyyy")</f>
        <v>2015</v>
      </c>
      <c r="M97" s="2">
        <v>65073</v>
      </c>
      <c r="N97" s="3">
        <v>0</v>
      </c>
      <c r="O97" s="9">
        <f>PRODUCT(Employee_Sample_Data_1[[#This Row],[Annual Salary]],Employee_Sample_Data_1[[#This Row],[Bonus %]])</f>
        <v>0</v>
      </c>
      <c r="P97" s="2">
        <f>ROUND(Employee_Sample_Data_1[[#This Row],[Annual Salary]]*(1+Employee_Sample_Data_1[[#This Row],[Bonus %]]), 0)</f>
        <v>65073</v>
      </c>
      <c r="Q97" t="s">
        <v>34</v>
      </c>
      <c r="R97" t="s">
        <v>35</v>
      </c>
      <c r="T97">
        <f ca="1">DATEDIF(Employee_Sample_Data_1[[#This Row],[Hire Date]], IF(Employee_Sample_Data_1[[#This Row],[Exit Date]] = "", TODAY(), Employee_Sample_Data_1[[#This Row],[Exit Date]]), "Y")</f>
        <v>10</v>
      </c>
    </row>
    <row r="98" spans="1:20" x14ac:dyDescent="0.25">
      <c r="A98" t="s">
        <v>263</v>
      </c>
      <c r="B98" t="s">
        <v>264</v>
      </c>
      <c r="C98" t="s">
        <v>265</v>
      </c>
      <c r="D98" t="s">
        <v>17</v>
      </c>
      <c r="E98" t="s">
        <v>27</v>
      </c>
      <c r="F98" t="s">
        <v>19</v>
      </c>
      <c r="G98" t="s">
        <v>20</v>
      </c>
      <c r="H98">
        <v>32</v>
      </c>
      <c r="I98" s="1">
        <v>43730</v>
      </c>
      <c r="J98" s="1" t="str">
        <f>TEXT(Employee_Sample_Data_1[[#This Row],[Hire Date]], "dddd")</f>
        <v>Sunday</v>
      </c>
      <c r="K98" s="1" t="str">
        <f>TEXT(Employee_Sample_Data_1[[#This Row],[Hire Date]], "mmmm")</f>
        <v>September</v>
      </c>
      <c r="L98" s="1" t="str">
        <f>TEXT(Employee_Sample_Data_1[[#This Row],[Hire Date]], "yyyy")</f>
        <v>2019</v>
      </c>
      <c r="M98" s="2">
        <v>111035</v>
      </c>
      <c r="N98" s="3">
        <v>0.12</v>
      </c>
      <c r="O98" s="9">
        <f>PRODUCT(Employee_Sample_Data_1[[#This Row],[Annual Salary]],Employee_Sample_Data_1[[#This Row],[Bonus %]])</f>
        <v>13324.199999999999</v>
      </c>
      <c r="P98" s="2">
        <f>ROUND(Employee_Sample_Data_1[[#This Row],[Annual Salary]]*(1+Employee_Sample_Data_1[[#This Row],[Bonus %]]), 0)</f>
        <v>124359</v>
      </c>
      <c r="Q98" t="s">
        <v>21</v>
      </c>
      <c r="R98" t="s">
        <v>28</v>
      </c>
      <c r="T98">
        <f ca="1">DATEDIF(Employee_Sample_Data_1[[#This Row],[Hire Date]], IF(Employee_Sample_Data_1[[#This Row],[Exit Date]] = "", TODAY(), Employee_Sample_Data_1[[#This Row],[Exit Date]]), "Y")</f>
        <v>6</v>
      </c>
    </row>
    <row r="99" spans="1:20" x14ac:dyDescent="0.25">
      <c r="A99" t="s">
        <v>266</v>
      </c>
      <c r="B99" t="s">
        <v>267</v>
      </c>
      <c r="C99" t="s">
        <v>57</v>
      </c>
      <c r="D99" t="s">
        <v>58</v>
      </c>
      <c r="E99" t="s">
        <v>53</v>
      </c>
      <c r="F99" t="s">
        <v>39</v>
      </c>
      <c r="G99" t="s">
        <v>63</v>
      </c>
      <c r="H99">
        <v>28</v>
      </c>
      <c r="I99" s="1">
        <v>43868</v>
      </c>
      <c r="J99" s="1" t="str">
        <f>TEXT(Employee_Sample_Data_1[[#This Row],[Hire Date]], "dddd")</f>
        <v>Friday</v>
      </c>
      <c r="K99" s="1" t="str">
        <f>TEXT(Employee_Sample_Data_1[[#This Row],[Hire Date]], "mmmm")</f>
        <v>February</v>
      </c>
      <c r="L99" s="1" t="str">
        <f>TEXT(Employee_Sample_Data_1[[#This Row],[Hire Date]], "yyyy")</f>
        <v>2020</v>
      </c>
      <c r="M99" s="2">
        <v>63066</v>
      </c>
      <c r="N99" s="3">
        <v>0</v>
      </c>
      <c r="O99" s="9">
        <f>PRODUCT(Employee_Sample_Data_1[[#This Row],[Annual Salary]],Employee_Sample_Data_1[[#This Row],[Bonus %]])</f>
        <v>0</v>
      </c>
      <c r="P99" s="2">
        <f>ROUND(Employee_Sample_Data_1[[#This Row],[Annual Salary]]*(1+Employee_Sample_Data_1[[#This Row],[Bonus %]]), 0)</f>
        <v>63066</v>
      </c>
      <c r="Q99" t="s">
        <v>21</v>
      </c>
      <c r="R99" t="s">
        <v>41</v>
      </c>
      <c r="T99">
        <f ca="1">DATEDIF(Employee_Sample_Data_1[[#This Row],[Hire Date]], IF(Employee_Sample_Data_1[[#This Row],[Exit Date]] = "", TODAY(), Employee_Sample_Data_1[[#This Row],[Exit Date]]), "Y")</f>
        <v>6</v>
      </c>
    </row>
    <row r="100" spans="1:20" x14ac:dyDescent="0.25">
      <c r="A100" t="s">
        <v>268</v>
      </c>
      <c r="B100" t="s">
        <v>269</v>
      </c>
      <c r="C100" t="s">
        <v>44</v>
      </c>
      <c r="D100" t="s">
        <v>17</v>
      </c>
      <c r="E100" t="s">
        <v>27</v>
      </c>
      <c r="F100" t="s">
        <v>19</v>
      </c>
      <c r="G100" t="s">
        <v>40</v>
      </c>
      <c r="H100">
        <v>49</v>
      </c>
      <c r="I100" s="1">
        <v>39168</v>
      </c>
      <c r="J100" s="1" t="str">
        <f>TEXT(Employee_Sample_Data_1[[#This Row],[Hire Date]], "dddd")</f>
        <v>Tuesday</v>
      </c>
      <c r="K100" s="1" t="str">
        <f>TEXT(Employee_Sample_Data_1[[#This Row],[Hire Date]], "mmmm")</f>
        <v>March</v>
      </c>
      <c r="L100" s="1" t="str">
        <f>TEXT(Employee_Sample_Data_1[[#This Row],[Hire Date]], "yyyy")</f>
        <v>2007</v>
      </c>
      <c r="M100" s="2">
        <v>186192</v>
      </c>
      <c r="N100" s="3">
        <v>0.27</v>
      </c>
      <c r="O100" s="9">
        <f>PRODUCT(Employee_Sample_Data_1[[#This Row],[Annual Salary]],Employee_Sample_Data_1[[#This Row],[Bonus %]])</f>
        <v>50271.840000000004</v>
      </c>
      <c r="P100" s="2">
        <f>ROUND(Employee_Sample_Data_1[[#This Row],[Annual Salary]]*(1+Employee_Sample_Data_1[[#This Row],[Bonus %]]), 0)</f>
        <v>236464</v>
      </c>
      <c r="Q100" t="s">
        <v>134</v>
      </c>
      <c r="R100" t="s">
        <v>180</v>
      </c>
      <c r="T100">
        <f ca="1">DATEDIF(Employee_Sample_Data_1[[#This Row],[Hire Date]], IF(Employee_Sample_Data_1[[#This Row],[Exit Date]] = "", TODAY(), Employee_Sample_Data_1[[#This Row],[Exit Date]]), "Y")</f>
        <v>19</v>
      </c>
    </row>
    <row r="101" spans="1:20" x14ac:dyDescent="0.25">
      <c r="A101" t="s">
        <v>270</v>
      </c>
      <c r="B101" t="s">
        <v>271</v>
      </c>
      <c r="C101" t="s">
        <v>44</v>
      </c>
      <c r="D101" t="s">
        <v>17</v>
      </c>
      <c r="E101" t="s">
        <v>27</v>
      </c>
      <c r="F101" t="s">
        <v>39</v>
      </c>
      <c r="G101" t="s">
        <v>20</v>
      </c>
      <c r="H101">
        <v>52</v>
      </c>
      <c r="I101" s="1">
        <v>42539</v>
      </c>
      <c r="J101" s="1" t="str">
        <f>TEXT(Employee_Sample_Data_1[[#This Row],[Hire Date]], "dddd")</f>
        <v>Saturday</v>
      </c>
      <c r="K101" s="1" t="str">
        <f>TEXT(Employee_Sample_Data_1[[#This Row],[Hire Date]], "mmmm")</f>
        <v>June</v>
      </c>
      <c r="L101" s="1" t="str">
        <f>TEXT(Employee_Sample_Data_1[[#This Row],[Hire Date]], "yyyy")</f>
        <v>2016</v>
      </c>
      <c r="M101" s="2">
        <v>182938</v>
      </c>
      <c r="N101" s="3">
        <v>0.23</v>
      </c>
      <c r="O101" s="9">
        <f>PRODUCT(Employee_Sample_Data_1[[#This Row],[Annual Salary]],Employee_Sample_Data_1[[#This Row],[Bonus %]])</f>
        <v>42075.740000000005</v>
      </c>
      <c r="P101" s="2">
        <f>ROUND(Employee_Sample_Data_1[[#This Row],[Annual Salary]]*(1+Employee_Sample_Data_1[[#This Row],[Bonus %]]), 0)</f>
        <v>225014</v>
      </c>
      <c r="Q101" t="s">
        <v>34</v>
      </c>
      <c r="R101" t="s">
        <v>59</v>
      </c>
      <c r="T101">
        <f ca="1">DATEDIF(Employee_Sample_Data_1[[#This Row],[Hire Date]], IF(Employee_Sample_Data_1[[#This Row],[Exit Date]] = "", TODAY(), Employee_Sample_Data_1[[#This Row],[Exit Date]]), "Y")</f>
        <v>9</v>
      </c>
    </row>
    <row r="102" spans="1:20" x14ac:dyDescent="0.25">
      <c r="A102" t="s">
        <v>272</v>
      </c>
      <c r="B102" t="s">
        <v>273</v>
      </c>
      <c r="C102" t="s">
        <v>25</v>
      </c>
      <c r="D102" t="s">
        <v>52</v>
      </c>
      <c r="E102" t="s">
        <v>18</v>
      </c>
      <c r="F102" t="s">
        <v>39</v>
      </c>
      <c r="G102" t="s">
        <v>20</v>
      </c>
      <c r="H102">
        <v>61</v>
      </c>
      <c r="I102" s="1">
        <v>43081</v>
      </c>
      <c r="J102" s="1" t="str">
        <f>TEXT(Employee_Sample_Data_1[[#This Row],[Hire Date]], "dddd")</f>
        <v>Tuesday</v>
      </c>
      <c r="K102" s="1" t="str">
        <f>TEXT(Employee_Sample_Data_1[[#This Row],[Hire Date]], "mmmm")</f>
        <v>December</v>
      </c>
      <c r="L102" s="1" t="str">
        <f>TEXT(Employee_Sample_Data_1[[#This Row],[Hire Date]], "yyyy")</f>
        <v>2017</v>
      </c>
      <c r="M102" s="2">
        <v>53931</v>
      </c>
      <c r="N102" s="3">
        <v>0</v>
      </c>
      <c r="O102" s="9">
        <f>PRODUCT(Employee_Sample_Data_1[[#This Row],[Annual Salary]],Employee_Sample_Data_1[[#This Row],[Bonus %]])</f>
        <v>0</v>
      </c>
      <c r="P102" s="2">
        <f>ROUND(Employee_Sample_Data_1[[#This Row],[Annual Salary]]*(1+Employee_Sample_Data_1[[#This Row],[Bonus %]]), 0)</f>
        <v>53931</v>
      </c>
      <c r="Q102" t="s">
        <v>34</v>
      </c>
      <c r="R102" t="s">
        <v>35</v>
      </c>
      <c r="T102">
        <f ca="1">DATEDIF(Employee_Sample_Data_1[[#This Row],[Hire Date]], IF(Employee_Sample_Data_1[[#This Row],[Exit Date]] = "", TODAY(), Employee_Sample_Data_1[[#This Row],[Exit Date]]), "Y")</f>
        <v>8</v>
      </c>
    </row>
    <row r="103" spans="1:20" x14ac:dyDescent="0.25">
      <c r="A103" t="s">
        <v>274</v>
      </c>
      <c r="B103" t="s">
        <v>275</v>
      </c>
      <c r="C103" t="s">
        <v>86</v>
      </c>
      <c r="D103" t="s">
        <v>26</v>
      </c>
      <c r="E103" t="s">
        <v>53</v>
      </c>
      <c r="F103" t="s">
        <v>19</v>
      </c>
      <c r="G103" t="s">
        <v>20</v>
      </c>
      <c r="H103">
        <v>53</v>
      </c>
      <c r="I103" s="1">
        <v>41042</v>
      </c>
      <c r="J103" s="1" t="str">
        <f>TEXT(Employee_Sample_Data_1[[#This Row],[Hire Date]], "dddd")</f>
        <v>Sunday</v>
      </c>
      <c r="K103" s="1" t="str">
        <f>TEXT(Employee_Sample_Data_1[[#This Row],[Hire Date]], "mmmm")</f>
        <v>May</v>
      </c>
      <c r="L103" s="1" t="str">
        <f>TEXT(Employee_Sample_Data_1[[#This Row],[Hire Date]], "yyyy")</f>
        <v>2012</v>
      </c>
      <c r="M103" s="2">
        <v>252140</v>
      </c>
      <c r="N103" s="3">
        <v>0.38</v>
      </c>
      <c r="O103" s="9">
        <f>PRODUCT(Employee_Sample_Data_1[[#This Row],[Annual Salary]],Employee_Sample_Data_1[[#This Row],[Bonus %]])</f>
        <v>95813.2</v>
      </c>
      <c r="P103" s="2">
        <f>ROUND(Employee_Sample_Data_1[[#This Row],[Annual Salary]]*(1+Employee_Sample_Data_1[[#This Row],[Bonus %]]), 0)</f>
        <v>347953</v>
      </c>
      <c r="Q103" t="s">
        <v>34</v>
      </c>
      <c r="R103" t="s">
        <v>108</v>
      </c>
      <c r="T103">
        <f ca="1">DATEDIF(Employee_Sample_Data_1[[#This Row],[Hire Date]], IF(Employee_Sample_Data_1[[#This Row],[Exit Date]] = "", TODAY(), Employee_Sample_Data_1[[#This Row],[Exit Date]]), "Y")</f>
        <v>14</v>
      </c>
    </row>
    <row r="104" spans="1:20" x14ac:dyDescent="0.25">
      <c r="A104" t="s">
        <v>276</v>
      </c>
      <c r="B104" t="s">
        <v>277</v>
      </c>
      <c r="C104" t="s">
        <v>229</v>
      </c>
      <c r="D104" t="s">
        <v>123</v>
      </c>
      <c r="E104" t="s">
        <v>27</v>
      </c>
      <c r="F104" t="s">
        <v>19</v>
      </c>
      <c r="G104" t="s">
        <v>20</v>
      </c>
      <c r="H104">
        <v>40</v>
      </c>
      <c r="I104" s="1">
        <v>43330</v>
      </c>
      <c r="J104" s="1" t="str">
        <f>TEXT(Employee_Sample_Data_1[[#This Row],[Hire Date]], "dddd")</f>
        <v>Saturday</v>
      </c>
      <c r="K104" s="1" t="str">
        <f>TEXT(Employee_Sample_Data_1[[#This Row],[Hire Date]], "mmmm")</f>
        <v>August</v>
      </c>
      <c r="L104" s="1" t="str">
        <f>TEXT(Employee_Sample_Data_1[[#This Row],[Hire Date]], "yyyy")</f>
        <v>2018</v>
      </c>
      <c r="M104" s="2">
        <v>73041</v>
      </c>
      <c r="N104" s="3">
        <v>0</v>
      </c>
      <c r="O104" s="9">
        <f>PRODUCT(Employee_Sample_Data_1[[#This Row],[Annual Salary]],Employee_Sample_Data_1[[#This Row],[Bonus %]])</f>
        <v>0</v>
      </c>
      <c r="P104" s="2">
        <f>ROUND(Employee_Sample_Data_1[[#This Row],[Annual Salary]]*(1+Employee_Sample_Data_1[[#This Row],[Bonus %]]), 0)</f>
        <v>73041</v>
      </c>
      <c r="Q104" t="s">
        <v>34</v>
      </c>
      <c r="R104" t="s">
        <v>35</v>
      </c>
      <c r="T104">
        <f ca="1">DATEDIF(Employee_Sample_Data_1[[#This Row],[Hire Date]], IF(Employee_Sample_Data_1[[#This Row],[Exit Date]] = "", TODAY(), Employee_Sample_Data_1[[#This Row],[Exit Date]]), "Y")</f>
        <v>7</v>
      </c>
    </row>
    <row r="105" spans="1:20" x14ac:dyDescent="0.25">
      <c r="A105" t="s">
        <v>278</v>
      </c>
      <c r="B105" t="s">
        <v>279</v>
      </c>
      <c r="C105" t="s">
        <v>66</v>
      </c>
      <c r="D105" t="s">
        <v>58</v>
      </c>
      <c r="E105" t="s">
        <v>27</v>
      </c>
      <c r="F105" t="s">
        <v>19</v>
      </c>
      <c r="G105" t="s">
        <v>63</v>
      </c>
      <c r="H105">
        <v>27</v>
      </c>
      <c r="I105" s="1">
        <v>44634</v>
      </c>
      <c r="J105" s="1" t="str">
        <f>TEXT(Employee_Sample_Data_1[[#This Row],[Hire Date]], "dddd")</f>
        <v>Monday</v>
      </c>
      <c r="K105" s="1" t="str">
        <f>TEXT(Employee_Sample_Data_1[[#This Row],[Hire Date]], "mmmm")</f>
        <v>March</v>
      </c>
      <c r="L105" s="1" t="str">
        <f>TEXT(Employee_Sample_Data_1[[#This Row],[Hire Date]], "yyyy")</f>
        <v>2022</v>
      </c>
      <c r="M105" s="2">
        <v>120315</v>
      </c>
      <c r="N105" s="3">
        <v>0.08</v>
      </c>
      <c r="O105" s="9">
        <f>PRODUCT(Employee_Sample_Data_1[[#This Row],[Annual Salary]],Employee_Sample_Data_1[[#This Row],[Bonus %]])</f>
        <v>9625.2000000000007</v>
      </c>
      <c r="P105" s="2">
        <f>ROUND(Employee_Sample_Data_1[[#This Row],[Annual Salary]]*(1+Employee_Sample_Data_1[[#This Row],[Bonus %]]), 0)</f>
        <v>129940</v>
      </c>
      <c r="Q105" t="s">
        <v>21</v>
      </c>
      <c r="R105" t="s">
        <v>67</v>
      </c>
      <c r="S105" s="1">
        <v>44759</v>
      </c>
      <c r="T105">
        <f ca="1">DATEDIF(Employee_Sample_Data_1[[#This Row],[Hire Date]], IF(Employee_Sample_Data_1[[#This Row],[Exit Date]] = "", TODAY(), Employee_Sample_Data_1[[#This Row],[Exit Date]]), "Y")</f>
        <v>0</v>
      </c>
    </row>
    <row r="106" spans="1:20" x14ac:dyDescent="0.25">
      <c r="A106" t="s">
        <v>280</v>
      </c>
      <c r="B106" t="s">
        <v>281</v>
      </c>
      <c r="C106" t="s">
        <v>66</v>
      </c>
      <c r="D106" t="s">
        <v>77</v>
      </c>
      <c r="E106" t="s">
        <v>53</v>
      </c>
      <c r="F106" t="s">
        <v>39</v>
      </c>
      <c r="G106" t="s">
        <v>63</v>
      </c>
      <c r="H106">
        <v>26</v>
      </c>
      <c r="I106" s="1">
        <v>44158</v>
      </c>
      <c r="J106" s="1" t="str">
        <f>TEXT(Employee_Sample_Data_1[[#This Row],[Hire Date]], "dddd")</f>
        <v>Monday</v>
      </c>
      <c r="K106" s="1" t="str">
        <f>TEXT(Employee_Sample_Data_1[[#This Row],[Hire Date]], "mmmm")</f>
        <v>November</v>
      </c>
      <c r="L106" s="1" t="str">
        <f>TEXT(Employee_Sample_Data_1[[#This Row],[Hire Date]], "yyyy")</f>
        <v>2020</v>
      </c>
      <c r="M106" s="2">
        <v>112264</v>
      </c>
      <c r="N106" s="3">
        <v>0.05</v>
      </c>
      <c r="O106" s="9">
        <f>PRODUCT(Employee_Sample_Data_1[[#This Row],[Annual Salary]],Employee_Sample_Data_1[[#This Row],[Bonus %]])</f>
        <v>5613.2000000000007</v>
      </c>
      <c r="P106" s="2">
        <f>ROUND(Employee_Sample_Data_1[[#This Row],[Annual Salary]]*(1+Employee_Sample_Data_1[[#This Row],[Bonus %]]), 0)</f>
        <v>117877</v>
      </c>
      <c r="Q106" t="s">
        <v>21</v>
      </c>
      <c r="R106" t="s">
        <v>28</v>
      </c>
      <c r="T106">
        <f ca="1">DATEDIF(Employee_Sample_Data_1[[#This Row],[Hire Date]], IF(Employee_Sample_Data_1[[#This Row],[Exit Date]] = "", TODAY(), Employee_Sample_Data_1[[#This Row],[Exit Date]]), "Y")</f>
        <v>5</v>
      </c>
    </row>
    <row r="107" spans="1:20" x14ac:dyDescent="0.25">
      <c r="A107" t="s">
        <v>282</v>
      </c>
      <c r="B107" t="s">
        <v>283</v>
      </c>
      <c r="C107" t="s">
        <v>70</v>
      </c>
      <c r="D107" t="s">
        <v>32</v>
      </c>
      <c r="E107" t="s">
        <v>53</v>
      </c>
      <c r="F107" t="s">
        <v>19</v>
      </c>
      <c r="G107" t="s">
        <v>63</v>
      </c>
      <c r="H107">
        <v>53</v>
      </c>
      <c r="I107" s="1">
        <v>36546</v>
      </c>
      <c r="J107" s="1" t="str">
        <f>TEXT(Employee_Sample_Data_1[[#This Row],[Hire Date]], "dddd")</f>
        <v>Friday</v>
      </c>
      <c r="K107" s="1" t="str">
        <f>TEXT(Employee_Sample_Data_1[[#This Row],[Hire Date]], "mmmm")</f>
        <v>January</v>
      </c>
      <c r="L107" s="1" t="str">
        <f>TEXT(Employee_Sample_Data_1[[#This Row],[Hire Date]], "yyyy")</f>
        <v>2000</v>
      </c>
      <c r="M107" s="2">
        <v>55039</v>
      </c>
      <c r="N107" s="3">
        <v>0</v>
      </c>
      <c r="O107" s="9">
        <f>PRODUCT(Employee_Sample_Data_1[[#This Row],[Annual Salary]],Employee_Sample_Data_1[[#This Row],[Bonus %]])</f>
        <v>0</v>
      </c>
      <c r="P107" s="2">
        <f>ROUND(Employee_Sample_Data_1[[#This Row],[Annual Salary]]*(1+Employee_Sample_Data_1[[#This Row],[Bonus %]]), 0)</f>
        <v>55039</v>
      </c>
      <c r="Q107" t="s">
        <v>21</v>
      </c>
      <c r="R107" t="s">
        <v>41</v>
      </c>
      <c r="T107">
        <f ca="1">DATEDIF(Employee_Sample_Data_1[[#This Row],[Hire Date]], IF(Employee_Sample_Data_1[[#This Row],[Exit Date]] = "", TODAY(), Employee_Sample_Data_1[[#This Row],[Exit Date]]), "Y")</f>
        <v>26</v>
      </c>
    </row>
    <row r="108" spans="1:20" x14ac:dyDescent="0.25">
      <c r="A108" t="s">
        <v>284</v>
      </c>
      <c r="B108" t="s">
        <v>285</v>
      </c>
      <c r="C108" t="s">
        <v>80</v>
      </c>
      <c r="D108" t="s">
        <v>52</v>
      </c>
      <c r="E108" t="s">
        <v>53</v>
      </c>
      <c r="F108" t="s">
        <v>19</v>
      </c>
      <c r="G108" t="s">
        <v>40</v>
      </c>
      <c r="H108">
        <v>33</v>
      </c>
      <c r="I108" s="1">
        <v>41484</v>
      </c>
      <c r="J108" s="1" t="str">
        <f>TEXT(Employee_Sample_Data_1[[#This Row],[Hire Date]], "dddd")</f>
        <v>Monday</v>
      </c>
      <c r="K108" s="1" t="str">
        <f>TEXT(Employee_Sample_Data_1[[#This Row],[Hire Date]], "mmmm")</f>
        <v>July</v>
      </c>
      <c r="L108" s="1" t="str">
        <f>TEXT(Employee_Sample_Data_1[[#This Row],[Hire Date]], "yyyy")</f>
        <v>2013</v>
      </c>
      <c r="M108" s="2">
        <v>134782</v>
      </c>
      <c r="N108" s="3">
        <v>0.15</v>
      </c>
      <c r="O108" s="9">
        <f>PRODUCT(Employee_Sample_Data_1[[#This Row],[Annual Salary]],Employee_Sample_Data_1[[#This Row],[Bonus %]])</f>
        <v>20217.3</v>
      </c>
      <c r="P108" s="2">
        <f>ROUND(Employee_Sample_Data_1[[#This Row],[Annual Salary]]*(1+Employee_Sample_Data_1[[#This Row],[Bonus %]]), 0)</f>
        <v>154999</v>
      </c>
      <c r="Q108" t="s">
        <v>134</v>
      </c>
      <c r="R108" t="s">
        <v>286</v>
      </c>
      <c r="T108">
        <f ca="1">DATEDIF(Employee_Sample_Data_1[[#This Row],[Hire Date]], IF(Employee_Sample_Data_1[[#This Row],[Exit Date]] = "", TODAY(), Employee_Sample_Data_1[[#This Row],[Exit Date]]), "Y")</f>
        <v>12</v>
      </c>
    </row>
    <row r="109" spans="1:20" x14ac:dyDescent="0.25">
      <c r="A109" t="s">
        <v>287</v>
      </c>
      <c r="B109" t="s">
        <v>288</v>
      </c>
      <c r="C109" t="s">
        <v>289</v>
      </c>
      <c r="D109" t="s">
        <v>17</v>
      </c>
      <c r="E109" t="s">
        <v>18</v>
      </c>
      <c r="F109" t="s">
        <v>39</v>
      </c>
      <c r="G109" t="s">
        <v>20</v>
      </c>
      <c r="H109">
        <v>27</v>
      </c>
      <c r="I109" s="1">
        <v>44907</v>
      </c>
      <c r="J109" s="1" t="str">
        <f>TEXT(Employee_Sample_Data_1[[#This Row],[Hire Date]], "dddd")</f>
        <v>Monday</v>
      </c>
      <c r="K109" s="1" t="str">
        <f>TEXT(Employee_Sample_Data_1[[#This Row],[Hire Date]], "mmmm")</f>
        <v>December</v>
      </c>
      <c r="L109" s="1" t="str">
        <f>TEXT(Employee_Sample_Data_1[[#This Row],[Hire Date]], "yyyy")</f>
        <v>2022</v>
      </c>
      <c r="M109" s="2">
        <v>92806</v>
      </c>
      <c r="N109" s="3">
        <v>0</v>
      </c>
      <c r="O109" s="9">
        <f>PRODUCT(Employee_Sample_Data_1[[#This Row],[Annual Salary]],Employee_Sample_Data_1[[#This Row],[Bonus %]])</f>
        <v>0</v>
      </c>
      <c r="P109" s="2">
        <f>ROUND(Employee_Sample_Data_1[[#This Row],[Annual Salary]]*(1+Employee_Sample_Data_1[[#This Row],[Bonus %]]), 0)</f>
        <v>92806</v>
      </c>
      <c r="Q109" t="s">
        <v>34</v>
      </c>
      <c r="R109" t="s">
        <v>59</v>
      </c>
      <c r="T109">
        <f ca="1">DATEDIF(Employee_Sample_Data_1[[#This Row],[Hire Date]], IF(Employee_Sample_Data_1[[#This Row],[Exit Date]] = "", TODAY(), Employee_Sample_Data_1[[#This Row],[Exit Date]]), "Y")</f>
        <v>3</v>
      </c>
    </row>
    <row r="110" spans="1:20" x14ac:dyDescent="0.25">
      <c r="A110" t="s">
        <v>290</v>
      </c>
      <c r="B110" t="s">
        <v>291</v>
      </c>
      <c r="C110" t="s">
        <v>86</v>
      </c>
      <c r="D110" t="s">
        <v>77</v>
      </c>
      <c r="E110" t="s">
        <v>27</v>
      </c>
      <c r="F110" t="s">
        <v>39</v>
      </c>
      <c r="G110" t="s">
        <v>40</v>
      </c>
      <c r="H110">
        <v>56</v>
      </c>
      <c r="I110" s="1">
        <v>42553</v>
      </c>
      <c r="J110" s="1" t="str">
        <f>TEXT(Employee_Sample_Data_1[[#This Row],[Hire Date]], "dddd")</f>
        <v>Saturday</v>
      </c>
      <c r="K110" s="1" t="str">
        <f>TEXT(Employee_Sample_Data_1[[#This Row],[Hire Date]], "mmmm")</f>
        <v>July</v>
      </c>
      <c r="L110" s="1" t="str">
        <f>TEXT(Employee_Sample_Data_1[[#This Row],[Hire Date]], "yyyy")</f>
        <v>2016</v>
      </c>
      <c r="M110" s="2">
        <v>181028</v>
      </c>
      <c r="N110" s="3">
        <v>0.38</v>
      </c>
      <c r="O110" s="9">
        <f>PRODUCT(Employee_Sample_Data_1[[#This Row],[Annual Salary]],Employee_Sample_Data_1[[#This Row],[Bonus %]])</f>
        <v>68790.64</v>
      </c>
      <c r="P110" s="2">
        <f>ROUND(Employee_Sample_Data_1[[#This Row],[Annual Salary]]*(1+Employee_Sample_Data_1[[#This Row],[Bonus %]]), 0)</f>
        <v>249819</v>
      </c>
      <c r="Q110" t="s">
        <v>21</v>
      </c>
      <c r="R110" t="s">
        <v>48</v>
      </c>
      <c r="T110">
        <f ca="1">DATEDIF(Employee_Sample_Data_1[[#This Row],[Hire Date]], IF(Employee_Sample_Data_1[[#This Row],[Exit Date]] = "", TODAY(), Employee_Sample_Data_1[[#This Row],[Exit Date]]), "Y")</f>
        <v>9</v>
      </c>
    </row>
    <row r="111" spans="1:20" x14ac:dyDescent="0.25">
      <c r="A111" t="s">
        <v>292</v>
      </c>
      <c r="B111" t="s">
        <v>293</v>
      </c>
      <c r="C111" t="s">
        <v>25</v>
      </c>
      <c r="D111" t="s">
        <v>26</v>
      </c>
      <c r="E111" t="s">
        <v>27</v>
      </c>
      <c r="F111" t="s">
        <v>39</v>
      </c>
      <c r="G111" t="s">
        <v>40</v>
      </c>
      <c r="H111">
        <v>36</v>
      </c>
      <c r="I111" s="1">
        <v>41550</v>
      </c>
      <c r="J111" s="1" t="str">
        <f>TEXT(Employee_Sample_Data_1[[#This Row],[Hire Date]], "dddd")</f>
        <v>Thursday</v>
      </c>
      <c r="K111" s="1" t="str">
        <f>TEXT(Employee_Sample_Data_1[[#This Row],[Hire Date]], "mmmm")</f>
        <v>October</v>
      </c>
      <c r="L111" s="1" t="str">
        <f>TEXT(Employee_Sample_Data_1[[#This Row],[Hire Date]], "yyyy")</f>
        <v>2013</v>
      </c>
      <c r="M111" s="2">
        <v>48117</v>
      </c>
      <c r="N111" s="3">
        <v>0</v>
      </c>
      <c r="O111" s="9">
        <f>PRODUCT(Employee_Sample_Data_1[[#This Row],[Annual Salary]],Employee_Sample_Data_1[[#This Row],[Bonus %]])</f>
        <v>0</v>
      </c>
      <c r="P111" s="2">
        <f>ROUND(Employee_Sample_Data_1[[#This Row],[Annual Salary]]*(1+Employee_Sample_Data_1[[#This Row],[Bonus %]]), 0)</f>
        <v>48117</v>
      </c>
      <c r="Q111" t="s">
        <v>134</v>
      </c>
      <c r="R111" t="s">
        <v>180</v>
      </c>
      <c r="T111">
        <f ca="1">DATEDIF(Employee_Sample_Data_1[[#This Row],[Hire Date]], IF(Employee_Sample_Data_1[[#This Row],[Exit Date]] = "", TODAY(), Employee_Sample_Data_1[[#This Row],[Exit Date]]), "Y")</f>
        <v>12</v>
      </c>
    </row>
    <row r="112" spans="1:20" x14ac:dyDescent="0.25">
      <c r="A112" t="s">
        <v>294</v>
      </c>
      <c r="B112" t="s">
        <v>295</v>
      </c>
      <c r="C112" t="s">
        <v>44</v>
      </c>
      <c r="D112" t="s">
        <v>77</v>
      </c>
      <c r="E112" t="s">
        <v>27</v>
      </c>
      <c r="F112" t="s">
        <v>39</v>
      </c>
      <c r="G112" t="s">
        <v>20</v>
      </c>
      <c r="H112">
        <v>47</v>
      </c>
      <c r="I112" s="1">
        <v>38358</v>
      </c>
      <c r="J112" s="1" t="str">
        <f>TEXT(Employee_Sample_Data_1[[#This Row],[Hire Date]], "dddd")</f>
        <v>Thursday</v>
      </c>
      <c r="K112" s="1" t="str">
        <f>TEXT(Employee_Sample_Data_1[[#This Row],[Hire Date]], "mmmm")</f>
        <v>January</v>
      </c>
      <c r="L112" s="1" t="str">
        <f>TEXT(Employee_Sample_Data_1[[#This Row],[Hire Date]], "yyyy")</f>
        <v>2005</v>
      </c>
      <c r="M112" s="2">
        <v>192753</v>
      </c>
      <c r="N112" s="3">
        <v>0.17</v>
      </c>
      <c r="O112" s="9">
        <f>PRODUCT(Employee_Sample_Data_1[[#This Row],[Annual Salary]],Employee_Sample_Data_1[[#This Row],[Bonus %]])</f>
        <v>32768.01</v>
      </c>
      <c r="P112" s="2">
        <f>ROUND(Employee_Sample_Data_1[[#This Row],[Annual Salary]]*(1+Employee_Sample_Data_1[[#This Row],[Bonus %]]), 0)</f>
        <v>225521</v>
      </c>
      <c r="Q112" t="s">
        <v>34</v>
      </c>
      <c r="R112" t="s">
        <v>54</v>
      </c>
      <c r="T112">
        <f ca="1">DATEDIF(Employee_Sample_Data_1[[#This Row],[Hire Date]], IF(Employee_Sample_Data_1[[#This Row],[Exit Date]] = "", TODAY(), Employee_Sample_Data_1[[#This Row],[Exit Date]]), "Y")</f>
        <v>21</v>
      </c>
    </row>
    <row r="113" spans="1:20" x14ac:dyDescent="0.25">
      <c r="A113" t="s">
        <v>296</v>
      </c>
      <c r="B113" t="s">
        <v>297</v>
      </c>
      <c r="C113" t="s">
        <v>51</v>
      </c>
      <c r="D113" t="s">
        <v>26</v>
      </c>
      <c r="E113" t="s">
        <v>18</v>
      </c>
      <c r="F113" t="s">
        <v>19</v>
      </c>
      <c r="G113" t="s">
        <v>20</v>
      </c>
      <c r="H113">
        <v>28</v>
      </c>
      <c r="I113" s="1">
        <v>44259</v>
      </c>
      <c r="J113" s="1" t="str">
        <f>TEXT(Employee_Sample_Data_1[[#This Row],[Hire Date]], "dddd")</f>
        <v>Thursday</v>
      </c>
      <c r="K113" s="1" t="str">
        <f>TEXT(Employee_Sample_Data_1[[#This Row],[Hire Date]], "mmmm")</f>
        <v>March</v>
      </c>
      <c r="L113" s="1" t="str">
        <f>TEXT(Employee_Sample_Data_1[[#This Row],[Hire Date]], "yyyy")</f>
        <v>2021</v>
      </c>
      <c r="M113" s="2">
        <v>85206</v>
      </c>
      <c r="N113" s="3">
        <v>0</v>
      </c>
      <c r="O113" s="9">
        <f>PRODUCT(Employee_Sample_Data_1[[#This Row],[Annual Salary]],Employee_Sample_Data_1[[#This Row],[Bonus %]])</f>
        <v>0</v>
      </c>
      <c r="P113" s="2">
        <f>ROUND(Employee_Sample_Data_1[[#This Row],[Annual Salary]]*(1+Employee_Sample_Data_1[[#This Row],[Bonus %]]), 0)</f>
        <v>85206</v>
      </c>
      <c r="Q113" t="s">
        <v>34</v>
      </c>
      <c r="R113" t="s">
        <v>54</v>
      </c>
      <c r="S113" s="1">
        <v>44750</v>
      </c>
      <c r="T113">
        <f ca="1">DATEDIF(Employee_Sample_Data_1[[#This Row],[Hire Date]], IF(Employee_Sample_Data_1[[#This Row],[Exit Date]] = "", TODAY(), Employee_Sample_Data_1[[#This Row],[Exit Date]]), "Y")</f>
        <v>1</v>
      </c>
    </row>
    <row r="114" spans="1:20" x14ac:dyDescent="0.25">
      <c r="A114" t="s">
        <v>298</v>
      </c>
      <c r="B114" t="s">
        <v>299</v>
      </c>
      <c r="C114" t="s">
        <v>101</v>
      </c>
      <c r="D114" t="s">
        <v>26</v>
      </c>
      <c r="E114" t="s">
        <v>18</v>
      </c>
      <c r="F114" t="s">
        <v>19</v>
      </c>
      <c r="G114" t="s">
        <v>40</v>
      </c>
      <c r="H114">
        <v>30</v>
      </c>
      <c r="I114" s="1">
        <v>43107</v>
      </c>
      <c r="J114" s="1" t="str">
        <f>TEXT(Employee_Sample_Data_1[[#This Row],[Hire Date]], "dddd")</f>
        <v>Sunday</v>
      </c>
      <c r="K114" s="1" t="str">
        <f>TEXT(Employee_Sample_Data_1[[#This Row],[Hire Date]], "mmmm")</f>
        <v>January</v>
      </c>
      <c r="L114" s="1" t="str">
        <f>TEXT(Employee_Sample_Data_1[[#This Row],[Hire Date]], "yyyy")</f>
        <v>2018</v>
      </c>
      <c r="M114" s="2">
        <v>58290</v>
      </c>
      <c r="N114" s="3">
        <v>0</v>
      </c>
      <c r="O114" s="9">
        <f>PRODUCT(Employee_Sample_Data_1[[#This Row],[Annual Salary]],Employee_Sample_Data_1[[#This Row],[Bonus %]])</f>
        <v>0</v>
      </c>
      <c r="P114" s="2">
        <f>ROUND(Employee_Sample_Data_1[[#This Row],[Annual Salary]]*(1+Employee_Sample_Data_1[[#This Row],[Bonus %]]), 0)</f>
        <v>58290</v>
      </c>
      <c r="Q114" t="s">
        <v>21</v>
      </c>
      <c r="R114" t="s">
        <v>28</v>
      </c>
      <c r="T114">
        <f ca="1">DATEDIF(Employee_Sample_Data_1[[#This Row],[Hire Date]], IF(Employee_Sample_Data_1[[#This Row],[Exit Date]] = "", TODAY(), Employee_Sample_Data_1[[#This Row],[Exit Date]]), "Y")</f>
        <v>8</v>
      </c>
    </row>
    <row r="115" spans="1:20" x14ac:dyDescent="0.25">
      <c r="A115" t="s">
        <v>300</v>
      </c>
      <c r="B115" t="s">
        <v>301</v>
      </c>
      <c r="C115" t="s">
        <v>70</v>
      </c>
      <c r="D115" t="s">
        <v>32</v>
      </c>
      <c r="E115" t="s">
        <v>33</v>
      </c>
      <c r="F115" t="s">
        <v>39</v>
      </c>
      <c r="G115" t="s">
        <v>20</v>
      </c>
      <c r="H115">
        <v>58</v>
      </c>
      <c r="I115" s="1">
        <v>37861</v>
      </c>
      <c r="J115" s="1" t="str">
        <f>TEXT(Employee_Sample_Data_1[[#This Row],[Hire Date]], "dddd")</f>
        <v>Thursday</v>
      </c>
      <c r="K115" s="1" t="str">
        <f>TEXT(Employee_Sample_Data_1[[#This Row],[Hire Date]], "mmmm")</f>
        <v>August</v>
      </c>
      <c r="L115" s="1" t="str">
        <f>TEXT(Employee_Sample_Data_1[[#This Row],[Hire Date]], "yyyy")</f>
        <v>2003</v>
      </c>
      <c r="M115" s="2">
        <v>41946</v>
      </c>
      <c r="N115" s="3">
        <v>0</v>
      </c>
      <c r="O115" s="9">
        <f>PRODUCT(Employee_Sample_Data_1[[#This Row],[Annual Salary]],Employee_Sample_Data_1[[#This Row],[Bonus %]])</f>
        <v>0</v>
      </c>
      <c r="P115" s="2">
        <f>ROUND(Employee_Sample_Data_1[[#This Row],[Annual Salary]]*(1+Employee_Sample_Data_1[[#This Row],[Bonus %]]), 0)</f>
        <v>41946</v>
      </c>
      <c r="Q115" t="s">
        <v>21</v>
      </c>
      <c r="R115" t="s">
        <v>48</v>
      </c>
      <c r="T115">
        <f ca="1">DATEDIF(Employee_Sample_Data_1[[#This Row],[Hire Date]], IF(Employee_Sample_Data_1[[#This Row],[Exit Date]] = "", TODAY(), Employee_Sample_Data_1[[#This Row],[Exit Date]]), "Y")</f>
        <v>22</v>
      </c>
    </row>
    <row r="116" spans="1:20" x14ac:dyDescent="0.25">
      <c r="A116" t="s">
        <v>302</v>
      </c>
      <c r="B116" t="s">
        <v>303</v>
      </c>
      <c r="C116" t="s">
        <v>91</v>
      </c>
      <c r="D116" t="s">
        <v>32</v>
      </c>
      <c r="E116" t="s">
        <v>27</v>
      </c>
      <c r="F116" t="s">
        <v>39</v>
      </c>
      <c r="G116" t="s">
        <v>20</v>
      </c>
      <c r="H116">
        <v>56</v>
      </c>
      <c r="I116" s="1">
        <v>44270</v>
      </c>
      <c r="J116" s="1" t="str">
        <f>TEXT(Employee_Sample_Data_1[[#This Row],[Hire Date]], "dddd")</f>
        <v>Monday</v>
      </c>
      <c r="K116" s="1" t="str">
        <f>TEXT(Employee_Sample_Data_1[[#This Row],[Hire Date]], "mmmm")</f>
        <v>March</v>
      </c>
      <c r="L116" s="1" t="str">
        <f>TEXT(Employee_Sample_Data_1[[#This Row],[Hire Date]], "yyyy")</f>
        <v>2021</v>
      </c>
      <c r="M116" s="2">
        <v>79388</v>
      </c>
      <c r="N116" s="3">
        <v>0</v>
      </c>
      <c r="O116" s="9">
        <f>PRODUCT(Employee_Sample_Data_1[[#This Row],[Annual Salary]],Employee_Sample_Data_1[[#This Row],[Bonus %]])</f>
        <v>0</v>
      </c>
      <c r="P116" s="2">
        <f>ROUND(Employee_Sample_Data_1[[#This Row],[Annual Salary]]*(1+Employee_Sample_Data_1[[#This Row],[Bonus %]]), 0)</f>
        <v>79388</v>
      </c>
      <c r="Q116" t="s">
        <v>34</v>
      </c>
      <c r="R116" t="s">
        <v>108</v>
      </c>
      <c r="T116">
        <f ca="1">DATEDIF(Employee_Sample_Data_1[[#This Row],[Hire Date]], IF(Employee_Sample_Data_1[[#This Row],[Exit Date]] = "", TODAY(), Employee_Sample_Data_1[[#This Row],[Exit Date]]), "Y")</f>
        <v>5</v>
      </c>
    </row>
    <row r="117" spans="1:20" x14ac:dyDescent="0.25">
      <c r="A117" t="s">
        <v>304</v>
      </c>
      <c r="B117" t="s">
        <v>305</v>
      </c>
      <c r="C117" t="s">
        <v>31</v>
      </c>
      <c r="D117" t="s">
        <v>32</v>
      </c>
      <c r="E117" t="s">
        <v>27</v>
      </c>
      <c r="F117" t="s">
        <v>39</v>
      </c>
      <c r="G117" t="s">
        <v>20</v>
      </c>
      <c r="H117">
        <v>65</v>
      </c>
      <c r="I117" s="1">
        <v>37312</v>
      </c>
      <c r="J117" s="1" t="str">
        <f>TEXT(Employee_Sample_Data_1[[#This Row],[Hire Date]], "dddd")</f>
        <v>Monday</v>
      </c>
      <c r="K117" s="1" t="str">
        <f>TEXT(Employee_Sample_Data_1[[#This Row],[Hire Date]], "mmmm")</f>
        <v>February</v>
      </c>
      <c r="L117" s="1" t="str">
        <f>TEXT(Employee_Sample_Data_1[[#This Row],[Hire Date]], "yyyy")</f>
        <v>2002</v>
      </c>
      <c r="M117" s="2">
        <v>83854</v>
      </c>
      <c r="N117" s="3">
        <v>0</v>
      </c>
      <c r="O117" s="9">
        <f>PRODUCT(Employee_Sample_Data_1[[#This Row],[Annual Salary]],Employee_Sample_Data_1[[#This Row],[Bonus %]])</f>
        <v>0</v>
      </c>
      <c r="P117" s="2">
        <f>ROUND(Employee_Sample_Data_1[[#This Row],[Annual Salary]]*(1+Employee_Sample_Data_1[[#This Row],[Bonus %]]), 0)</f>
        <v>83854</v>
      </c>
      <c r="Q117" t="s">
        <v>21</v>
      </c>
      <c r="R117" t="s">
        <v>41</v>
      </c>
      <c r="T117">
        <f ca="1">DATEDIF(Employee_Sample_Data_1[[#This Row],[Hire Date]], IF(Employee_Sample_Data_1[[#This Row],[Exit Date]] = "", TODAY(), Employee_Sample_Data_1[[#This Row],[Exit Date]]), "Y")</f>
        <v>24</v>
      </c>
    </row>
    <row r="118" spans="1:20" x14ac:dyDescent="0.25">
      <c r="A118" t="s">
        <v>306</v>
      </c>
      <c r="B118" t="s">
        <v>307</v>
      </c>
      <c r="C118" t="s">
        <v>80</v>
      </c>
      <c r="D118" t="s">
        <v>32</v>
      </c>
      <c r="E118" t="s">
        <v>53</v>
      </c>
      <c r="F118" t="s">
        <v>39</v>
      </c>
      <c r="G118" t="s">
        <v>63</v>
      </c>
      <c r="H118">
        <v>29</v>
      </c>
      <c r="I118" s="1">
        <v>43214</v>
      </c>
      <c r="J118" s="1" t="str">
        <f>TEXT(Employee_Sample_Data_1[[#This Row],[Hire Date]], "dddd")</f>
        <v>Tuesday</v>
      </c>
      <c r="K118" s="1" t="str">
        <f>TEXT(Employee_Sample_Data_1[[#This Row],[Hire Date]], "mmmm")</f>
        <v>April</v>
      </c>
      <c r="L118" s="1" t="str">
        <f>TEXT(Employee_Sample_Data_1[[#This Row],[Hire Date]], "yyyy")</f>
        <v>2018</v>
      </c>
      <c r="M118" s="2">
        <v>126550</v>
      </c>
      <c r="N118" s="3">
        <v>0.15</v>
      </c>
      <c r="O118" s="9">
        <f>PRODUCT(Employee_Sample_Data_1[[#This Row],[Annual Salary]],Employee_Sample_Data_1[[#This Row],[Bonus %]])</f>
        <v>18982.5</v>
      </c>
      <c r="P118" s="2">
        <f>ROUND(Employee_Sample_Data_1[[#This Row],[Annual Salary]]*(1+Employee_Sample_Data_1[[#This Row],[Bonus %]]), 0)</f>
        <v>145533</v>
      </c>
      <c r="Q118" t="s">
        <v>21</v>
      </c>
      <c r="R118" t="s">
        <v>67</v>
      </c>
      <c r="T118">
        <f ca="1">DATEDIF(Employee_Sample_Data_1[[#This Row],[Hire Date]], IF(Employee_Sample_Data_1[[#This Row],[Exit Date]] = "", TODAY(), Employee_Sample_Data_1[[#This Row],[Exit Date]]), "Y")</f>
        <v>8</v>
      </c>
    </row>
    <row r="119" spans="1:20" x14ac:dyDescent="0.25">
      <c r="A119" t="s">
        <v>308</v>
      </c>
      <c r="B119" t="s">
        <v>309</v>
      </c>
      <c r="C119" t="s">
        <v>44</v>
      </c>
      <c r="D119" t="s">
        <v>123</v>
      </c>
      <c r="E119" t="s">
        <v>33</v>
      </c>
      <c r="F119" t="s">
        <v>39</v>
      </c>
      <c r="G119" t="s">
        <v>40</v>
      </c>
      <c r="H119">
        <v>60</v>
      </c>
      <c r="I119" s="1">
        <v>34243</v>
      </c>
      <c r="J119" s="1" t="str">
        <f>TEXT(Employee_Sample_Data_1[[#This Row],[Hire Date]], "dddd")</f>
        <v>Friday</v>
      </c>
      <c r="K119" s="1" t="str">
        <f>TEXT(Employee_Sample_Data_1[[#This Row],[Hire Date]], "mmmm")</f>
        <v>October</v>
      </c>
      <c r="L119" s="1" t="str">
        <f>TEXT(Employee_Sample_Data_1[[#This Row],[Hire Date]], "yyyy")</f>
        <v>1993</v>
      </c>
      <c r="M119" s="2">
        <v>199705</v>
      </c>
      <c r="N119" s="3">
        <v>0.26</v>
      </c>
      <c r="O119" s="9">
        <f>PRODUCT(Employee_Sample_Data_1[[#This Row],[Annual Salary]],Employee_Sample_Data_1[[#This Row],[Bonus %]])</f>
        <v>51923.3</v>
      </c>
      <c r="P119" s="2">
        <f>ROUND(Employee_Sample_Data_1[[#This Row],[Annual Salary]]*(1+Employee_Sample_Data_1[[#This Row],[Bonus %]]), 0)</f>
        <v>251628</v>
      </c>
      <c r="Q119" t="s">
        <v>134</v>
      </c>
      <c r="R119" t="s">
        <v>135</v>
      </c>
      <c r="T119">
        <f ca="1">DATEDIF(Employee_Sample_Data_1[[#This Row],[Hire Date]], IF(Employee_Sample_Data_1[[#This Row],[Exit Date]] = "", TODAY(), Employee_Sample_Data_1[[#This Row],[Exit Date]]), "Y")</f>
        <v>32</v>
      </c>
    </row>
    <row r="120" spans="1:20" x14ac:dyDescent="0.25">
      <c r="A120" t="s">
        <v>310</v>
      </c>
      <c r="B120" t="s">
        <v>311</v>
      </c>
      <c r="C120" t="s">
        <v>86</v>
      </c>
      <c r="D120" t="s">
        <v>26</v>
      </c>
      <c r="E120" t="s">
        <v>53</v>
      </c>
      <c r="F120" t="s">
        <v>39</v>
      </c>
      <c r="G120" t="s">
        <v>20</v>
      </c>
      <c r="H120">
        <v>31</v>
      </c>
      <c r="I120" s="1">
        <v>43564</v>
      </c>
      <c r="J120" s="1" t="str">
        <f>TEXT(Employee_Sample_Data_1[[#This Row],[Hire Date]], "dddd")</f>
        <v>Tuesday</v>
      </c>
      <c r="K120" s="1" t="str">
        <f>TEXT(Employee_Sample_Data_1[[#This Row],[Hire Date]], "mmmm")</f>
        <v>April</v>
      </c>
      <c r="L120" s="1" t="str">
        <f>TEXT(Employee_Sample_Data_1[[#This Row],[Hire Date]], "yyyy")</f>
        <v>2019</v>
      </c>
      <c r="M120" s="2">
        <v>201235</v>
      </c>
      <c r="N120" s="3">
        <v>0.32</v>
      </c>
      <c r="O120" s="9">
        <f>PRODUCT(Employee_Sample_Data_1[[#This Row],[Annual Salary]],Employee_Sample_Data_1[[#This Row],[Bonus %]])</f>
        <v>64395.200000000004</v>
      </c>
      <c r="P120" s="2">
        <f>ROUND(Employee_Sample_Data_1[[#This Row],[Annual Salary]]*(1+Employee_Sample_Data_1[[#This Row],[Bonus %]]), 0)</f>
        <v>265630</v>
      </c>
      <c r="Q120" t="s">
        <v>21</v>
      </c>
      <c r="R120" t="s">
        <v>45</v>
      </c>
      <c r="T120">
        <f ca="1">DATEDIF(Employee_Sample_Data_1[[#This Row],[Hire Date]], IF(Employee_Sample_Data_1[[#This Row],[Exit Date]] = "", TODAY(), Employee_Sample_Data_1[[#This Row],[Exit Date]]), "Y")</f>
        <v>7</v>
      </c>
    </row>
    <row r="121" spans="1:20" x14ac:dyDescent="0.25">
      <c r="A121" t="s">
        <v>312</v>
      </c>
      <c r="B121" t="s">
        <v>313</v>
      </c>
      <c r="C121" t="s">
        <v>44</v>
      </c>
      <c r="D121" t="s">
        <v>17</v>
      </c>
      <c r="E121" t="s">
        <v>53</v>
      </c>
      <c r="F121" t="s">
        <v>39</v>
      </c>
      <c r="G121" t="s">
        <v>20</v>
      </c>
      <c r="H121">
        <v>45</v>
      </c>
      <c r="I121" s="1">
        <v>44636</v>
      </c>
      <c r="J121" s="1" t="str">
        <f>TEXT(Employee_Sample_Data_1[[#This Row],[Hire Date]], "dddd")</f>
        <v>Wednesday</v>
      </c>
      <c r="K121" s="1" t="str">
        <f>TEXT(Employee_Sample_Data_1[[#This Row],[Hire Date]], "mmmm")</f>
        <v>March</v>
      </c>
      <c r="L121" s="1" t="str">
        <f>TEXT(Employee_Sample_Data_1[[#This Row],[Hire Date]], "yyyy")</f>
        <v>2022</v>
      </c>
      <c r="M121" s="2">
        <v>182717</v>
      </c>
      <c r="N121" s="3">
        <v>0.26</v>
      </c>
      <c r="O121" s="9">
        <f>PRODUCT(Employee_Sample_Data_1[[#This Row],[Annual Salary]],Employee_Sample_Data_1[[#This Row],[Bonus %]])</f>
        <v>47506.42</v>
      </c>
      <c r="P121" s="2">
        <f>ROUND(Employee_Sample_Data_1[[#This Row],[Annual Salary]]*(1+Employee_Sample_Data_1[[#This Row],[Bonus %]]), 0)</f>
        <v>230223</v>
      </c>
      <c r="Q121" t="s">
        <v>21</v>
      </c>
      <c r="R121" t="s">
        <v>22</v>
      </c>
      <c r="T121">
        <f ca="1">DATEDIF(Employee_Sample_Data_1[[#This Row],[Hire Date]], IF(Employee_Sample_Data_1[[#This Row],[Exit Date]] = "", TODAY(), Employee_Sample_Data_1[[#This Row],[Exit Date]]), "Y")</f>
        <v>4</v>
      </c>
    </row>
    <row r="122" spans="1:20" x14ac:dyDescent="0.25">
      <c r="A122" t="s">
        <v>314</v>
      </c>
      <c r="B122" t="s">
        <v>315</v>
      </c>
      <c r="C122" t="s">
        <v>170</v>
      </c>
      <c r="D122" t="s">
        <v>32</v>
      </c>
      <c r="E122" t="s">
        <v>33</v>
      </c>
      <c r="F122" t="s">
        <v>19</v>
      </c>
      <c r="G122" t="s">
        <v>81</v>
      </c>
      <c r="H122">
        <v>30</v>
      </c>
      <c r="I122" s="1">
        <v>42989</v>
      </c>
      <c r="J122" s="1" t="str">
        <f>TEXT(Employee_Sample_Data_1[[#This Row],[Hire Date]], "dddd")</f>
        <v>Monday</v>
      </c>
      <c r="K122" s="1" t="str">
        <f>TEXT(Employee_Sample_Data_1[[#This Row],[Hire Date]], "mmmm")</f>
        <v>September</v>
      </c>
      <c r="L122" s="1" t="str">
        <f>TEXT(Employee_Sample_Data_1[[#This Row],[Hire Date]], "yyyy")</f>
        <v>2017</v>
      </c>
      <c r="M122" s="2">
        <v>79975</v>
      </c>
      <c r="N122" s="3">
        <v>0</v>
      </c>
      <c r="O122" s="9">
        <f>PRODUCT(Employee_Sample_Data_1[[#This Row],[Annual Salary]],Employee_Sample_Data_1[[#This Row],[Bonus %]])</f>
        <v>0</v>
      </c>
      <c r="P122" s="2">
        <f>ROUND(Employee_Sample_Data_1[[#This Row],[Annual Salary]]*(1+Employee_Sample_Data_1[[#This Row],[Bonus %]]), 0)</f>
        <v>79975</v>
      </c>
      <c r="Q122" t="s">
        <v>21</v>
      </c>
      <c r="R122" t="s">
        <v>28</v>
      </c>
      <c r="T122">
        <f ca="1">DATEDIF(Employee_Sample_Data_1[[#This Row],[Hire Date]], IF(Employee_Sample_Data_1[[#This Row],[Exit Date]] = "", TODAY(), Employee_Sample_Data_1[[#This Row],[Exit Date]]), "Y")</f>
        <v>8</v>
      </c>
    </row>
    <row r="123" spans="1:20" x14ac:dyDescent="0.25">
      <c r="A123" t="s">
        <v>316</v>
      </c>
      <c r="B123" t="s">
        <v>317</v>
      </c>
      <c r="C123" t="s">
        <v>44</v>
      </c>
      <c r="D123" t="s">
        <v>123</v>
      </c>
      <c r="E123" t="s">
        <v>53</v>
      </c>
      <c r="F123" t="s">
        <v>19</v>
      </c>
      <c r="G123" t="s">
        <v>40</v>
      </c>
      <c r="H123">
        <v>36</v>
      </c>
      <c r="I123" s="1">
        <v>40748</v>
      </c>
      <c r="J123" s="1" t="str">
        <f>TEXT(Employee_Sample_Data_1[[#This Row],[Hire Date]], "dddd")</f>
        <v>Sunday</v>
      </c>
      <c r="K123" s="1" t="str">
        <f>TEXT(Employee_Sample_Data_1[[#This Row],[Hire Date]], "mmmm")</f>
        <v>July</v>
      </c>
      <c r="L123" s="1" t="str">
        <f>TEXT(Employee_Sample_Data_1[[#This Row],[Hire Date]], "yyyy")</f>
        <v>2011</v>
      </c>
      <c r="M123" s="2">
        <v>196554</v>
      </c>
      <c r="N123" s="3">
        <v>0.2</v>
      </c>
      <c r="O123" s="9">
        <f>PRODUCT(Employee_Sample_Data_1[[#This Row],[Annual Salary]],Employee_Sample_Data_1[[#This Row],[Bonus %]])</f>
        <v>39310.800000000003</v>
      </c>
      <c r="P123" s="2">
        <f>ROUND(Employee_Sample_Data_1[[#This Row],[Annual Salary]]*(1+Employee_Sample_Data_1[[#This Row],[Bonus %]]), 0)</f>
        <v>235865</v>
      </c>
      <c r="Q123" t="s">
        <v>134</v>
      </c>
      <c r="R123" t="s">
        <v>135</v>
      </c>
      <c r="T123">
        <f ca="1">DATEDIF(Employee_Sample_Data_1[[#This Row],[Hire Date]], IF(Employee_Sample_Data_1[[#This Row],[Exit Date]] = "", TODAY(), Employee_Sample_Data_1[[#This Row],[Exit Date]]), "Y")</f>
        <v>14</v>
      </c>
    </row>
    <row r="124" spans="1:20" x14ac:dyDescent="0.25">
      <c r="A124" t="s">
        <v>318</v>
      </c>
      <c r="B124" t="s">
        <v>319</v>
      </c>
      <c r="C124" t="s">
        <v>86</v>
      </c>
      <c r="D124" t="s">
        <v>32</v>
      </c>
      <c r="E124" t="s">
        <v>27</v>
      </c>
      <c r="F124" t="s">
        <v>19</v>
      </c>
      <c r="G124" t="s">
        <v>81</v>
      </c>
      <c r="H124">
        <v>39</v>
      </c>
      <c r="I124" s="1">
        <v>40406</v>
      </c>
      <c r="J124" s="1" t="str">
        <f>TEXT(Employee_Sample_Data_1[[#This Row],[Hire Date]], "dddd")</f>
        <v>Monday</v>
      </c>
      <c r="K124" s="1" t="str">
        <f>TEXT(Employee_Sample_Data_1[[#This Row],[Hire Date]], "mmmm")</f>
        <v>August</v>
      </c>
      <c r="L124" s="1" t="str">
        <f>TEXT(Employee_Sample_Data_1[[#This Row],[Hire Date]], "yyyy")</f>
        <v>2010</v>
      </c>
      <c r="M124" s="2">
        <v>239395</v>
      </c>
      <c r="N124" s="3">
        <v>0.33</v>
      </c>
      <c r="O124" s="9">
        <f>PRODUCT(Employee_Sample_Data_1[[#This Row],[Annual Salary]],Employee_Sample_Data_1[[#This Row],[Bonus %]])</f>
        <v>79000.350000000006</v>
      </c>
      <c r="P124" s="2">
        <f>ROUND(Employee_Sample_Data_1[[#This Row],[Annual Salary]]*(1+Employee_Sample_Data_1[[#This Row],[Bonus %]]), 0)</f>
        <v>318395</v>
      </c>
      <c r="Q124" t="s">
        <v>21</v>
      </c>
      <c r="R124" t="s">
        <v>41</v>
      </c>
      <c r="T124">
        <f ca="1">DATEDIF(Employee_Sample_Data_1[[#This Row],[Hire Date]], IF(Employee_Sample_Data_1[[#This Row],[Exit Date]] = "", TODAY(), Employee_Sample_Data_1[[#This Row],[Exit Date]]), "Y")</f>
        <v>15</v>
      </c>
    </row>
    <row r="125" spans="1:20" x14ac:dyDescent="0.25">
      <c r="A125" t="s">
        <v>320</v>
      </c>
      <c r="B125" t="s">
        <v>321</v>
      </c>
      <c r="C125" t="s">
        <v>57</v>
      </c>
      <c r="D125" t="s">
        <v>26</v>
      </c>
      <c r="E125" t="s">
        <v>53</v>
      </c>
      <c r="F125" t="s">
        <v>19</v>
      </c>
      <c r="G125" t="s">
        <v>20</v>
      </c>
      <c r="H125">
        <v>44</v>
      </c>
      <c r="I125" s="1">
        <v>41480</v>
      </c>
      <c r="J125" s="1" t="str">
        <f>TEXT(Employee_Sample_Data_1[[#This Row],[Hire Date]], "dddd")</f>
        <v>Thursday</v>
      </c>
      <c r="K125" s="1" t="str">
        <f>TEXT(Employee_Sample_Data_1[[#This Row],[Hire Date]], "mmmm")</f>
        <v>July</v>
      </c>
      <c r="L125" s="1" t="str">
        <f>TEXT(Employee_Sample_Data_1[[#This Row],[Hire Date]], "yyyy")</f>
        <v>2013</v>
      </c>
      <c r="M125" s="2">
        <v>53703</v>
      </c>
      <c r="N125" s="3">
        <v>0</v>
      </c>
      <c r="O125" s="9">
        <f>PRODUCT(Employee_Sample_Data_1[[#This Row],[Annual Salary]],Employee_Sample_Data_1[[#This Row],[Bonus %]])</f>
        <v>0</v>
      </c>
      <c r="P125" s="2">
        <f>ROUND(Employee_Sample_Data_1[[#This Row],[Annual Salary]]*(1+Employee_Sample_Data_1[[#This Row],[Bonus %]]), 0)</f>
        <v>53703</v>
      </c>
      <c r="Q125" t="s">
        <v>34</v>
      </c>
      <c r="R125" t="s">
        <v>108</v>
      </c>
      <c r="T125">
        <f ca="1">DATEDIF(Employee_Sample_Data_1[[#This Row],[Hire Date]], IF(Employee_Sample_Data_1[[#This Row],[Exit Date]] = "", TODAY(), Employee_Sample_Data_1[[#This Row],[Exit Date]]), "Y")</f>
        <v>12</v>
      </c>
    </row>
    <row r="126" spans="1:20" x14ac:dyDescent="0.25">
      <c r="A126" t="s">
        <v>322</v>
      </c>
      <c r="B126" t="s">
        <v>323</v>
      </c>
      <c r="C126" t="s">
        <v>66</v>
      </c>
      <c r="D126" t="s">
        <v>32</v>
      </c>
      <c r="E126" t="s">
        <v>18</v>
      </c>
      <c r="F126" t="s">
        <v>19</v>
      </c>
      <c r="G126" t="s">
        <v>20</v>
      </c>
      <c r="H126">
        <v>53</v>
      </c>
      <c r="I126" s="1">
        <v>40616</v>
      </c>
      <c r="J126" s="1" t="str">
        <f>TEXT(Employee_Sample_Data_1[[#This Row],[Hire Date]], "dddd")</f>
        <v>Monday</v>
      </c>
      <c r="K126" s="1" t="str">
        <f>TEXT(Employee_Sample_Data_1[[#This Row],[Hire Date]], "mmmm")</f>
        <v>March</v>
      </c>
      <c r="L126" s="1" t="str">
        <f>TEXT(Employee_Sample_Data_1[[#This Row],[Hire Date]], "yyyy")</f>
        <v>2011</v>
      </c>
      <c r="M126" s="2">
        <v>123480</v>
      </c>
      <c r="N126" s="3">
        <v>0.08</v>
      </c>
      <c r="O126" s="9">
        <f>PRODUCT(Employee_Sample_Data_1[[#This Row],[Annual Salary]],Employee_Sample_Data_1[[#This Row],[Bonus %]])</f>
        <v>9878.4</v>
      </c>
      <c r="P126" s="2">
        <f>ROUND(Employee_Sample_Data_1[[#This Row],[Annual Salary]]*(1+Employee_Sample_Data_1[[#This Row],[Bonus %]]), 0)</f>
        <v>133358</v>
      </c>
      <c r="Q126" t="s">
        <v>34</v>
      </c>
      <c r="R126" t="s">
        <v>108</v>
      </c>
      <c r="T126">
        <f ca="1">DATEDIF(Employee_Sample_Data_1[[#This Row],[Hire Date]], IF(Employee_Sample_Data_1[[#This Row],[Exit Date]] = "", TODAY(), Employee_Sample_Data_1[[#This Row],[Exit Date]]), "Y")</f>
        <v>15</v>
      </c>
    </row>
    <row r="127" spans="1:20" x14ac:dyDescent="0.25">
      <c r="A127" t="s">
        <v>324</v>
      </c>
      <c r="B127" t="s">
        <v>325</v>
      </c>
      <c r="C127" t="s">
        <v>156</v>
      </c>
      <c r="D127" t="s">
        <v>32</v>
      </c>
      <c r="E127" t="s">
        <v>53</v>
      </c>
      <c r="F127" t="s">
        <v>39</v>
      </c>
      <c r="G127" t="s">
        <v>20</v>
      </c>
      <c r="H127">
        <v>46</v>
      </c>
      <c r="I127" s="1">
        <v>44205</v>
      </c>
      <c r="J127" s="1" t="str">
        <f>TEXT(Employee_Sample_Data_1[[#This Row],[Hire Date]], "dddd")</f>
        <v>Saturday</v>
      </c>
      <c r="K127" s="1" t="str">
        <f>TEXT(Employee_Sample_Data_1[[#This Row],[Hire Date]], "mmmm")</f>
        <v>January</v>
      </c>
      <c r="L127" s="1" t="str">
        <f>TEXT(Employee_Sample_Data_1[[#This Row],[Hire Date]], "yyyy")</f>
        <v>2021</v>
      </c>
      <c r="M127" s="2">
        <v>41197</v>
      </c>
      <c r="N127" s="3">
        <v>0</v>
      </c>
      <c r="O127" s="9">
        <f>PRODUCT(Employee_Sample_Data_1[[#This Row],[Annual Salary]],Employee_Sample_Data_1[[#This Row],[Bonus %]])</f>
        <v>0</v>
      </c>
      <c r="P127" s="2">
        <f>ROUND(Employee_Sample_Data_1[[#This Row],[Annual Salary]]*(1+Employee_Sample_Data_1[[#This Row],[Bonus %]]), 0)</f>
        <v>41197</v>
      </c>
      <c r="Q127" t="s">
        <v>34</v>
      </c>
      <c r="R127" t="s">
        <v>108</v>
      </c>
      <c r="T127">
        <f ca="1">DATEDIF(Employee_Sample_Data_1[[#This Row],[Hire Date]], IF(Employee_Sample_Data_1[[#This Row],[Exit Date]] = "", TODAY(), Employee_Sample_Data_1[[#This Row],[Exit Date]]), "Y")</f>
        <v>5</v>
      </c>
    </row>
    <row r="128" spans="1:20" x14ac:dyDescent="0.25">
      <c r="A128" t="s">
        <v>326</v>
      </c>
      <c r="B128" t="s">
        <v>327</v>
      </c>
      <c r="C128" t="s">
        <v>101</v>
      </c>
      <c r="D128" t="s">
        <v>26</v>
      </c>
      <c r="E128" t="s">
        <v>27</v>
      </c>
      <c r="F128" t="s">
        <v>19</v>
      </c>
      <c r="G128" t="s">
        <v>40</v>
      </c>
      <c r="H128">
        <v>30</v>
      </c>
      <c r="I128" s="1">
        <v>43309</v>
      </c>
      <c r="J128" s="1" t="str">
        <f>TEXT(Employee_Sample_Data_1[[#This Row],[Hire Date]], "dddd")</f>
        <v>Saturday</v>
      </c>
      <c r="K128" s="1" t="str">
        <f>TEXT(Employee_Sample_Data_1[[#This Row],[Hire Date]], "mmmm")</f>
        <v>July</v>
      </c>
      <c r="L128" s="1" t="str">
        <f>TEXT(Employee_Sample_Data_1[[#This Row],[Hire Date]], "yyyy")</f>
        <v>2018</v>
      </c>
      <c r="M128" s="2">
        <v>72463</v>
      </c>
      <c r="N128" s="3">
        <v>0</v>
      </c>
      <c r="O128" s="9">
        <f>PRODUCT(Employee_Sample_Data_1[[#This Row],[Annual Salary]],Employee_Sample_Data_1[[#This Row],[Bonus %]])</f>
        <v>0</v>
      </c>
      <c r="P128" s="2">
        <f>ROUND(Employee_Sample_Data_1[[#This Row],[Annual Salary]]*(1+Employee_Sample_Data_1[[#This Row],[Bonus %]]), 0)</f>
        <v>72463</v>
      </c>
      <c r="Q128" t="s">
        <v>134</v>
      </c>
      <c r="R128" t="s">
        <v>286</v>
      </c>
      <c r="T128">
        <f ca="1">DATEDIF(Employee_Sample_Data_1[[#This Row],[Hire Date]], IF(Employee_Sample_Data_1[[#This Row],[Exit Date]] = "", TODAY(), Employee_Sample_Data_1[[#This Row],[Exit Date]]), "Y")</f>
        <v>7</v>
      </c>
    </row>
    <row r="129" spans="1:20" x14ac:dyDescent="0.25">
      <c r="A129" t="s">
        <v>328</v>
      </c>
      <c r="B129" t="s">
        <v>329</v>
      </c>
      <c r="C129" t="s">
        <v>289</v>
      </c>
      <c r="D129" t="s">
        <v>17</v>
      </c>
      <c r="E129" t="s">
        <v>27</v>
      </c>
      <c r="F129" t="s">
        <v>39</v>
      </c>
      <c r="G129" t="s">
        <v>20</v>
      </c>
      <c r="H129">
        <v>28</v>
      </c>
      <c r="I129" s="1">
        <v>43681</v>
      </c>
      <c r="J129" s="1" t="str">
        <f>TEXT(Employee_Sample_Data_1[[#This Row],[Hire Date]], "dddd")</f>
        <v>Sunday</v>
      </c>
      <c r="K129" s="1" t="str">
        <f>TEXT(Employee_Sample_Data_1[[#This Row],[Hire Date]], "mmmm")</f>
        <v>August</v>
      </c>
      <c r="L129" s="1" t="str">
        <f>TEXT(Employee_Sample_Data_1[[#This Row],[Hire Date]], "yyyy")</f>
        <v>2019</v>
      </c>
      <c r="M129" s="2">
        <v>87675</v>
      </c>
      <c r="N129" s="3">
        <v>0</v>
      </c>
      <c r="O129" s="9">
        <f>PRODUCT(Employee_Sample_Data_1[[#This Row],[Annual Salary]],Employee_Sample_Data_1[[#This Row],[Bonus %]])</f>
        <v>0</v>
      </c>
      <c r="P129" s="2">
        <f>ROUND(Employee_Sample_Data_1[[#This Row],[Annual Salary]]*(1+Employee_Sample_Data_1[[#This Row],[Bonus %]]), 0)</f>
        <v>87675</v>
      </c>
      <c r="Q129" t="s">
        <v>34</v>
      </c>
      <c r="R129" t="s">
        <v>108</v>
      </c>
      <c r="T129">
        <f ca="1">DATEDIF(Employee_Sample_Data_1[[#This Row],[Hire Date]], IF(Employee_Sample_Data_1[[#This Row],[Exit Date]] = "", TODAY(), Employee_Sample_Data_1[[#This Row],[Exit Date]]), "Y")</f>
        <v>6</v>
      </c>
    </row>
    <row r="130" spans="1:20" x14ac:dyDescent="0.25">
      <c r="A130" t="s">
        <v>330</v>
      </c>
      <c r="B130" t="s">
        <v>331</v>
      </c>
      <c r="C130" t="s">
        <v>25</v>
      </c>
      <c r="D130" t="s">
        <v>52</v>
      </c>
      <c r="E130" t="s">
        <v>53</v>
      </c>
      <c r="F130" t="s">
        <v>39</v>
      </c>
      <c r="G130" t="s">
        <v>20</v>
      </c>
      <c r="H130">
        <v>35</v>
      </c>
      <c r="I130" s="1">
        <v>44180</v>
      </c>
      <c r="J130" s="1" t="str">
        <f>TEXT(Employee_Sample_Data_1[[#This Row],[Hire Date]], "dddd")</f>
        <v>Tuesday</v>
      </c>
      <c r="K130" s="1" t="str">
        <f>TEXT(Employee_Sample_Data_1[[#This Row],[Hire Date]], "mmmm")</f>
        <v>December</v>
      </c>
      <c r="L130" s="1" t="str">
        <f>TEXT(Employee_Sample_Data_1[[#This Row],[Hire Date]], "yyyy")</f>
        <v>2020</v>
      </c>
      <c r="M130" s="2">
        <v>55833</v>
      </c>
      <c r="N130" s="3">
        <v>0</v>
      </c>
      <c r="O130" s="9">
        <f>PRODUCT(Employee_Sample_Data_1[[#This Row],[Annual Salary]],Employee_Sample_Data_1[[#This Row],[Bonus %]])</f>
        <v>0</v>
      </c>
      <c r="P130" s="2">
        <f>ROUND(Employee_Sample_Data_1[[#This Row],[Annual Salary]]*(1+Employee_Sample_Data_1[[#This Row],[Bonus %]]), 0)</f>
        <v>55833</v>
      </c>
      <c r="Q130" t="s">
        <v>34</v>
      </c>
      <c r="R130" t="s">
        <v>59</v>
      </c>
      <c r="T130">
        <f ca="1">DATEDIF(Employee_Sample_Data_1[[#This Row],[Hire Date]], IF(Employee_Sample_Data_1[[#This Row],[Exit Date]] = "", TODAY(), Employee_Sample_Data_1[[#This Row],[Exit Date]]), "Y")</f>
        <v>5</v>
      </c>
    </row>
    <row r="131" spans="1:20" x14ac:dyDescent="0.25">
      <c r="A131" t="s">
        <v>332</v>
      </c>
      <c r="B131" t="s">
        <v>333</v>
      </c>
      <c r="C131" t="s">
        <v>57</v>
      </c>
      <c r="D131" t="s">
        <v>58</v>
      </c>
      <c r="E131" t="s">
        <v>33</v>
      </c>
      <c r="F131" t="s">
        <v>39</v>
      </c>
      <c r="G131" t="s">
        <v>20</v>
      </c>
      <c r="H131">
        <v>58</v>
      </c>
      <c r="I131" s="1">
        <v>35297</v>
      </c>
      <c r="J131" s="1" t="str">
        <f>TEXT(Employee_Sample_Data_1[[#This Row],[Hire Date]], "dddd")</f>
        <v>Tuesday</v>
      </c>
      <c r="K131" s="1" t="str">
        <f>TEXT(Employee_Sample_Data_1[[#This Row],[Hire Date]], "mmmm")</f>
        <v>August</v>
      </c>
      <c r="L131" s="1" t="str">
        <f>TEXT(Employee_Sample_Data_1[[#This Row],[Hire Date]], "yyyy")</f>
        <v>1996</v>
      </c>
      <c r="M131" s="2">
        <v>58208</v>
      </c>
      <c r="N131" s="3">
        <v>0</v>
      </c>
      <c r="O131" s="9">
        <f>PRODUCT(Employee_Sample_Data_1[[#This Row],[Annual Salary]],Employee_Sample_Data_1[[#This Row],[Bonus %]])</f>
        <v>0</v>
      </c>
      <c r="P131" s="2">
        <f>ROUND(Employee_Sample_Data_1[[#This Row],[Annual Salary]]*(1+Employee_Sample_Data_1[[#This Row],[Bonus %]]), 0)</f>
        <v>58208</v>
      </c>
      <c r="Q131" t="s">
        <v>34</v>
      </c>
      <c r="R131" t="s">
        <v>59</v>
      </c>
      <c r="T131">
        <f ca="1">DATEDIF(Employee_Sample_Data_1[[#This Row],[Hire Date]], IF(Employee_Sample_Data_1[[#This Row],[Exit Date]] = "", TODAY(), Employee_Sample_Data_1[[#This Row],[Exit Date]]), "Y")</f>
        <v>29</v>
      </c>
    </row>
    <row r="132" spans="1:20" x14ac:dyDescent="0.25">
      <c r="A132" t="s">
        <v>334</v>
      </c>
      <c r="B132" t="s">
        <v>335</v>
      </c>
      <c r="C132" t="s">
        <v>51</v>
      </c>
      <c r="D132" t="s">
        <v>26</v>
      </c>
      <c r="E132" t="s">
        <v>53</v>
      </c>
      <c r="F132" t="s">
        <v>19</v>
      </c>
      <c r="G132" t="s">
        <v>40</v>
      </c>
      <c r="H132">
        <v>47</v>
      </c>
      <c r="I132" s="1">
        <v>37400</v>
      </c>
      <c r="J132" s="1" t="str">
        <f>TEXT(Employee_Sample_Data_1[[#This Row],[Hire Date]], "dddd")</f>
        <v>Friday</v>
      </c>
      <c r="K132" s="1" t="str">
        <f>TEXT(Employee_Sample_Data_1[[#This Row],[Hire Date]], "mmmm")</f>
        <v>May</v>
      </c>
      <c r="L132" s="1" t="str">
        <f>TEXT(Employee_Sample_Data_1[[#This Row],[Hire Date]], "yyyy")</f>
        <v>2002</v>
      </c>
      <c r="M132" s="2">
        <v>75633</v>
      </c>
      <c r="N132" s="3">
        <v>0</v>
      </c>
      <c r="O132" s="9">
        <f>PRODUCT(Employee_Sample_Data_1[[#This Row],[Annual Salary]],Employee_Sample_Data_1[[#This Row],[Bonus %]])</f>
        <v>0</v>
      </c>
      <c r="P132" s="2">
        <f>ROUND(Employee_Sample_Data_1[[#This Row],[Annual Salary]]*(1+Employee_Sample_Data_1[[#This Row],[Bonus %]]), 0)</f>
        <v>75633</v>
      </c>
      <c r="Q132" t="s">
        <v>21</v>
      </c>
      <c r="R132" t="s">
        <v>28</v>
      </c>
      <c r="T132">
        <f ca="1">DATEDIF(Employee_Sample_Data_1[[#This Row],[Hire Date]], IF(Employee_Sample_Data_1[[#This Row],[Exit Date]] = "", TODAY(), Employee_Sample_Data_1[[#This Row],[Exit Date]]), "Y")</f>
        <v>24</v>
      </c>
    </row>
    <row r="133" spans="1:20" x14ac:dyDescent="0.25">
      <c r="A133" t="s">
        <v>336</v>
      </c>
      <c r="B133" t="s">
        <v>337</v>
      </c>
      <c r="C133" t="s">
        <v>51</v>
      </c>
      <c r="D133" t="s">
        <v>77</v>
      </c>
      <c r="E133" t="s">
        <v>53</v>
      </c>
      <c r="F133" t="s">
        <v>19</v>
      </c>
      <c r="G133" t="s">
        <v>20</v>
      </c>
      <c r="H133">
        <v>43</v>
      </c>
      <c r="I133" s="1">
        <v>39110</v>
      </c>
      <c r="J133" s="1" t="str">
        <f>TEXT(Employee_Sample_Data_1[[#This Row],[Hire Date]], "dddd")</f>
        <v>Sunday</v>
      </c>
      <c r="K133" s="1" t="str">
        <f>TEXT(Employee_Sample_Data_1[[#This Row],[Hire Date]], "mmmm")</f>
        <v>January</v>
      </c>
      <c r="L133" s="1" t="str">
        <f>TEXT(Employee_Sample_Data_1[[#This Row],[Hire Date]], "yyyy")</f>
        <v>2007</v>
      </c>
      <c r="M133" s="2">
        <v>79090</v>
      </c>
      <c r="N133" s="3">
        <v>0</v>
      </c>
      <c r="O133" s="9">
        <f>PRODUCT(Employee_Sample_Data_1[[#This Row],[Annual Salary]],Employee_Sample_Data_1[[#This Row],[Bonus %]])</f>
        <v>0</v>
      </c>
      <c r="P133" s="2">
        <f>ROUND(Employee_Sample_Data_1[[#This Row],[Annual Salary]]*(1+Employee_Sample_Data_1[[#This Row],[Bonus %]]), 0)</f>
        <v>79090</v>
      </c>
      <c r="Q133" t="s">
        <v>34</v>
      </c>
      <c r="R133" t="s">
        <v>59</v>
      </c>
      <c r="T133">
        <f ca="1">DATEDIF(Employee_Sample_Data_1[[#This Row],[Hire Date]], IF(Employee_Sample_Data_1[[#This Row],[Exit Date]] = "", TODAY(), Employee_Sample_Data_1[[#This Row],[Exit Date]]), "Y")</f>
        <v>19</v>
      </c>
    </row>
    <row r="134" spans="1:20" x14ac:dyDescent="0.25">
      <c r="A134" t="s">
        <v>338</v>
      </c>
      <c r="B134" t="s">
        <v>339</v>
      </c>
      <c r="C134" t="s">
        <v>57</v>
      </c>
      <c r="D134" t="s">
        <v>58</v>
      </c>
      <c r="E134" t="s">
        <v>18</v>
      </c>
      <c r="F134" t="s">
        <v>19</v>
      </c>
      <c r="G134" t="s">
        <v>81</v>
      </c>
      <c r="H134">
        <v>47</v>
      </c>
      <c r="I134" s="1">
        <v>42212</v>
      </c>
      <c r="J134" s="1" t="str">
        <f>TEXT(Employee_Sample_Data_1[[#This Row],[Hire Date]], "dddd")</f>
        <v>Monday</v>
      </c>
      <c r="K134" s="1" t="str">
        <f>TEXT(Employee_Sample_Data_1[[#This Row],[Hire Date]], "mmmm")</f>
        <v>July</v>
      </c>
      <c r="L134" s="1" t="str">
        <f>TEXT(Employee_Sample_Data_1[[#This Row],[Hire Date]], "yyyy")</f>
        <v>2015</v>
      </c>
      <c r="M134" s="2">
        <v>66138</v>
      </c>
      <c r="N134" s="3">
        <v>0</v>
      </c>
      <c r="O134" s="9">
        <f>PRODUCT(Employee_Sample_Data_1[[#This Row],[Annual Salary]],Employee_Sample_Data_1[[#This Row],[Bonus %]])</f>
        <v>0</v>
      </c>
      <c r="P134" s="2">
        <f>ROUND(Employee_Sample_Data_1[[#This Row],[Annual Salary]]*(1+Employee_Sample_Data_1[[#This Row],[Bonus %]]), 0)</f>
        <v>66138</v>
      </c>
      <c r="Q134" t="s">
        <v>21</v>
      </c>
      <c r="R134" t="s">
        <v>48</v>
      </c>
      <c r="T134">
        <f ca="1">DATEDIF(Employee_Sample_Data_1[[#This Row],[Hire Date]], IF(Employee_Sample_Data_1[[#This Row],[Exit Date]] = "", TODAY(), Employee_Sample_Data_1[[#This Row],[Exit Date]]), "Y")</f>
        <v>10</v>
      </c>
    </row>
    <row r="135" spans="1:20" x14ac:dyDescent="0.25">
      <c r="A135" t="s">
        <v>340</v>
      </c>
      <c r="B135" t="s">
        <v>341</v>
      </c>
      <c r="C135" t="s">
        <v>161</v>
      </c>
      <c r="D135" t="s">
        <v>32</v>
      </c>
      <c r="E135" t="s">
        <v>33</v>
      </c>
      <c r="F135" t="s">
        <v>39</v>
      </c>
      <c r="G135" t="s">
        <v>40</v>
      </c>
      <c r="H135">
        <v>57</v>
      </c>
      <c r="I135" s="1">
        <v>41514</v>
      </c>
      <c r="J135" s="1" t="str">
        <f>TEXT(Employee_Sample_Data_1[[#This Row],[Hire Date]], "dddd")</f>
        <v>Wednesday</v>
      </c>
      <c r="K135" s="1" t="str">
        <f>TEXT(Employee_Sample_Data_1[[#This Row],[Hire Date]], "mmmm")</f>
        <v>August</v>
      </c>
      <c r="L135" s="1" t="str">
        <f>TEXT(Employee_Sample_Data_1[[#This Row],[Hire Date]], "yyyy")</f>
        <v>2013</v>
      </c>
      <c r="M135" s="2">
        <v>80728</v>
      </c>
      <c r="N135" s="3">
        <v>0</v>
      </c>
      <c r="O135" s="9">
        <f>PRODUCT(Employee_Sample_Data_1[[#This Row],[Annual Salary]],Employee_Sample_Data_1[[#This Row],[Bonus %]])</f>
        <v>0</v>
      </c>
      <c r="P135" s="2">
        <f>ROUND(Employee_Sample_Data_1[[#This Row],[Annual Salary]]*(1+Employee_Sample_Data_1[[#This Row],[Bonus %]]), 0)</f>
        <v>80728</v>
      </c>
      <c r="Q135" t="s">
        <v>134</v>
      </c>
      <c r="R135" t="s">
        <v>135</v>
      </c>
      <c r="T135">
        <f ca="1">DATEDIF(Employee_Sample_Data_1[[#This Row],[Hire Date]], IF(Employee_Sample_Data_1[[#This Row],[Exit Date]] = "", TODAY(), Employee_Sample_Data_1[[#This Row],[Exit Date]]), "Y")</f>
        <v>12</v>
      </c>
    </row>
    <row r="136" spans="1:20" x14ac:dyDescent="0.25">
      <c r="A136" t="s">
        <v>342</v>
      </c>
      <c r="B136" t="s">
        <v>343</v>
      </c>
      <c r="C136" t="s">
        <v>70</v>
      </c>
      <c r="D136" t="s">
        <v>32</v>
      </c>
      <c r="E136" t="s">
        <v>27</v>
      </c>
      <c r="F136" t="s">
        <v>19</v>
      </c>
      <c r="G136" t="s">
        <v>81</v>
      </c>
      <c r="H136">
        <v>47</v>
      </c>
      <c r="I136" s="1">
        <v>38384</v>
      </c>
      <c r="J136" s="1" t="str">
        <f>TEXT(Employee_Sample_Data_1[[#This Row],[Hire Date]], "dddd")</f>
        <v>Tuesday</v>
      </c>
      <c r="K136" s="1" t="str">
        <f>TEXT(Employee_Sample_Data_1[[#This Row],[Hire Date]], "mmmm")</f>
        <v>February</v>
      </c>
      <c r="L136" s="1" t="str">
        <f>TEXT(Employee_Sample_Data_1[[#This Row],[Hire Date]], "yyyy")</f>
        <v>2005</v>
      </c>
      <c r="M136" s="2">
        <v>46202</v>
      </c>
      <c r="N136" s="3">
        <v>0</v>
      </c>
      <c r="O136" s="9">
        <f>PRODUCT(Employee_Sample_Data_1[[#This Row],[Annual Salary]],Employee_Sample_Data_1[[#This Row],[Bonus %]])</f>
        <v>0</v>
      </c>
      <c r="P136" s="2">
        <f>ROUND(Employee_Sample_Data_1[[#This Row],[Annual Salary]]*(1+Employee_Sample_Data_1[[#This Row],[Bonus %]]), 0)</f>
        <v>46202</v>
      </c>
      <c r="Q136" t="s">
        <v>21</v>
      </c>
      <c r="R136" t="s">
        <v>48</v>
      </c>
      <c r="T136">
        <f ca="1">DATEDIF(Employee_Sample_Data_1[[#This Row],[Hire Date]], IF(Employee_Sample_Data_1[[#This Row],[Exit Date]] = "", TODAY(), Employee_Sample_Data_1[[#This Row],[Exit Date]]), "Y")</f>
        <v>21</v>
      </c>
    </row>
    <row r="137" spans="1:20" x14ac:dyDescent="0.25">
      <c r="A137" t="s">
        <v>344</v>
      </c>
      <c r="B137" t="s">
        <v>345</v>
      </c>
      <c r="C137" t="s">
        <v>66</v>
      </c>
      <c r="D137" t="s">
        <v>26</v>
      </c>
      <c r="E137" t="s">
        <v>33</v>
      </c>
      <c r="F137" t="s">
        <v>39</v>
      </c>
      <c r="G137" t="s">
        <v>20</v>
      </c>
      <c r="H137">
        <v>50</v>
      </c>
      <c r="I137" s="1">
        <v>39507</v>
      </c>
      <c r="J137" s="1" t="str">
        <f>TEXT(Employee_Sample_Data_1[[#This Row],[Hire Date]], "dddd")</f>
        <v>Friday</v>
      </c>
      <c r="K137" s="1" t="str">
        <f>TEXT(Employee_Sample_Data_1[[#This Row],[Hire Date]], "mmmm")</f>
        <v>February</v>
      </c>
      <c r="L137" s="1" t="str">
        <f>TEXT(Employee_Sample_Data_1[[#This Row],[Hire Date]], "yyyy")</f>
        <v>2008</v>
      </c>
      <c r="M137" s="2">
        <v>123096</v>
      </c>
      <c r="N137" s="3">
        <v>0.1</v>
      </c>
      <c r="O137" s="9">
        <f>PRODUCT(Employee_Sample_Data_1[[#This Row],[Annual Salary]],Employee_Sample_Data_1[[#This Row],[Bonus %]])</f>
        <v>12309.6</v>
      </c>
      <c r="P137" s="2">
        <f>ROUND(Employee_Sample_Data_1[[#This Row],[Annual Salary]]*(1+Employee_Sample_Data_1[[#This Row],[Bonus %]]), 0)</f>
        <v>135406</v>
      </c>
      <c r="Q137" t="s">
        <v>34</v>
      </c>
      <c r="R137" t="s">
        <v>35</v>
      </c>
      <c r="T137">
        <f ca="1">DATEDIF(Employee_Sample_Data_1[[#This Row],[Hire Date]], IF(Employee_Sample_Data_1[[#This Row],[Exit Date]] = "", TODAY(), Employee_Sample_Data_1[[#This Row],[Exit Date]]), "Y")</f>
        <v>18</v>
      </c>
    </row>
    <row r="138" spans="1:20" x14ac:dyDescent="0.25">
      <c r="A138" t="s">
        <v>346</v>
      </c>
      <c r="B138" t="s">
        <v>347</v>
      </c>
      <c r="C138" t="s">
        <v>25</v>
      </c>
      <c r="D138" t="s">
        <v>77</v>
      </c>
      <c r="E138" t="s">
        <v>33</v>
      </c>
      <c r="F138" t="s">
        <v>39</v>
      </c>
      <c r="G138" t="s">
        <v>20</v>
      </c>
      <c r="H138">
        <v>27</v>
      </c>
      <c r="I138" s="1">
        <v>43908</v>
      </c>
      <c r="J138" s="1" t="str">
        <f>TEXT(Employee_Sample_Data_1[[#This Row],[Hire Date]], "dddd")</f>
        <v>Wednesday</v>
      </c>
      <c r="K138" s="1" t="str">
        <f>TEXT(Employee_Sample_Data_1[[#This Row],[Hire Date]], "mmmm")</f>
        <v>March</v>
      </c>
      <c r="L138" s="1" t="str">
        <f>TEXT(Employee_Sample_Data_1[[#This Row],[Hire Date]], "yyyy")</f>
        <v>2020</v>
      </c>
      <c r="M138" s="2">
        <v>45989</v>
      </c>
      <c r="N138" s="3">
        <v>0</v>
      </c>
      <c r="O138" s="9">
        <f>PRODUCT(Employee_Sample_Data_1[[#This Row],[Annual Salary]],Employee_Sample_Data_1[[#This Row],[Bonus %]])</f>
        <v>0</v>
      </c>
      <c r="P138" s="2">
        <f>ROUND(Employee_Sample_Data_1[[#This Row],[Annual Salary]]*(1+Employee_Sample_Data_1[[#This Row],[Bonus %]]), 0)</f>
        <v>45989</v>
      </c>
      <c r="Q138" t="s">
        <v>21</v>
      </c>
      <c r="R138" t="s">
        <v>28</v>
      </c>
      <c r="T138">
        <f ca="1">DATEDIF(Employee_Sample_Data_1[[#This Row],[Hire Date]], IF(Employee_Sample_Data_1[[#This Row],[Exit Date]] = "", TODAY(), Employee_Sample_Data_1[[#This Row],[Exit Date]]), "Y")</f>
        <v>6</v>
      </c>
    </row>
    <row r="139" spans="1:20" x14ac:dyDescent="0.25">
      <c r="A139" t="s">
        <v>348</v>
      </c>
      <c r="B139" t="s">
        <v>349</v>
      </c>
      <c r="C139" t="s">
        <v>80</v>
      </c>
      <c r="D139" t="s">
        <v>52</v>
      </c>
      <c r="E139" t="s">
        <v>27</v>
      </c>
      <c r="F139" t="s">
        <v>39</v>
      </c>
      <c r="G139" t="s">
        <v>40</v>
      </c>
      <c r="H139">
        <v>26</v>
      </c>
      <c r="I139" s="1">
        <v>44421</v>
      </c>
      <c r="J139" s="1" t="str">
        <f>TEXT(Employee_Sample_Data_1[[#This Row],[Hire Date]], "dddd")</f>
        <v>Friday</v>
      </c>
      <c r="K139" s="1" t="str">
        <f>TEXT(Employee_Sample_Data_1[[#This Row],[Hire Date]], "mmmm")</f>
        <v>August</v>
      </c>
      <c r="L139" s="1" t="str">
        <f>TEXT(Employee_Sample_Data_1[[#This Row],[Hire Date]], "yyyy")</f>
        <v>2021</v>
      </c>
      <c r="M139" s="2">
        <v>140756</v>
      </c>
      <c r="N139" s="3">
        <v>0.13</v>
      </c>
      <c r="O139" s="9">
        <f>PRODUCT(Employee_Sample_Data_1[[#This Row],[Annual Salary]],Employee_Sample_Data_1[[#This Row],[Bonus %]])</f>
        <v>18298.28</v>
      </c>
      <c r="P139" s="2">
        <f>ROUND(Employee_Sample_Data_1[[#This Row],[Annual Salary]]*(1+Employee_Sample_Data_1[[#This Row],[Bonus %]]), 0)</f>
        <v>159054</v>
      </c>
      <c r="Q139" t="s">
        <v>134</v>
      </c>
      <c r="R139" t="s">
        <v>180</v>
      </c>
      <c r="T139">
        <f ca="1">DATEDIF(Employee_Sample_Data_1[[#This Row],[Hire Date]], IF(Employee_Sample_Data_1[[#This Row],[Exit Date]] = "", TODAY(), Employee_Sample_Data_1[[#This Row],[Exit Date]]), "Y")</f>
        <v>4</v>
      </c>
    </row>
    <row r="140" spans="1:20" x14ac:dyDescent="0.25">
      <c r="A140" t="s">
        <v>350</v>
      </c>
      <c r="B140" t="s">
        <v>351</v>
      </c>
      <c r="C140" t="s">
        <v>352</v>
      </c>
      <c r="D140" t="s">
        <v>32</v>
      </c>
      <c r="E140" t="s">
        <v>27</v>
      </c>
      <c r="F140" t="s">
        <v>19</v>
      </c>
      <c r="G140" t="s">
        <v>20</v>
      </c>
      <c r="H140">
        <v>43</v>
      </c>
      <c r="I140" s="1">
        <v>39881</v>
      </c>
      <c r="J140" s="1" t="str">
        <f>TEXT(Employee_Sample_Data_1[[#This Row],[Hire Date]], "dddd")</f>
        <v>Monday</v>
      </c>
      <c r="K140" s="1" t="str">
        <f>TEXT(Employee_Sample_Data_1[[#This Row],[Hire Date]], "mmmm")</f>
        <v>March</v>
      </c>
      <c r="L140" s="1" t="str">
        <f>TEXT(Employee_Sample_Data_1[[#This Row],[Hire Date]], "yyyy")</f>
        <v>2009</v>
      </c>
      <c r="M140" s="2">
        <v>85261</v>
      </c>
      <c r="N140" s="3">
        <v>0</v>
      </c>
      <c r="O140" s="9">
        <f>PRODUCT(Employee_Sample_Data_1[[#This Row],[Annual Salary]],Employee_Sample_Data_1[[#This Row],[Bonus %]])</f>
        <v>0</v>
      </c>
      <c r="P140" s="2">
        <f>ROUND(Employee_Sample_Data_1[[#This Row],[Annual Salary]]*(1+Employee_Sample_Data_1[[#This Row],[Bonus %]]), 0)</f>
        <v>85261</v>
      </c>
      <c r="Q140" t="s">
        <v>34</v>
      </c>
      <c r="R140" t="s">
        <v>59</v>
      </c>
      <c r="T140">
        <f ca="1">DATEDIF(Employee_Sample_Data_1[[#This Row],[Hire Date]], IF(Employee_Sample_Data_1[[#This Row],[Exit Date]] = "", TODAY(), Employee_Sample_Data_1[[#This Row],[Exit Date]]), "Y")</f>
        <v>17</v>
      </c>
    </row>
    <row r="141" spans="1:20" x14ac:dyDescent="0.25">
      <c r="A141" t="s">
        <v>353</v>
      </c>
      <c r="B141" t="s">
        <v>354</v>
      </c>
      <c r="C141" t="s">
        <v>86</v>
      </c>
      <c r="D141" t="s">
        <v>52</v>
      </c>
      <c r="E141" t="s">
        <v>27</v>
      </c>
      <c r="F141" t="s">
        <v>39</v>
      </c>
      <c r="G141" t="s">
        <v>40</v>
      </c>
      <c r="H141">
        <v>49</v>
      </c>
      <c r="I141" s="1">
        <v>36063</v>
      </c>
      <c r="J141" s="1" t="str">
        <f>TEXT(Employee_Sample_Data_1[[#This Row],[Hire Date]], "dddd")</f>
        <v>Friday</v>
      </c>
      <c r="K141" s="1" t="str">
        <f>TEXT(Employee_Sample_Data_1[[#This Row],[Hire Date]], "mmmm")</f>
        <v>September</v>
      </c>
      <c r="L141" s="1" t="str">
        <f>TEXT(Employee_Sample_Data_1[[#This Row],[Hire Date]], "yyyy")</f>
        <v>1998</v>
      </c>
      <c r="M141" s="2">
        <v>198222</v>
      </c>
      <c r="N141" s="3">
        <v>0.34</v>
      </c>
      <c r="O141" s="9">
        <f>PRODUCT(Employee_Sample_Data_1[[#This Row],[Annual Salary]],Employee_Sample_Data_1[[#This Row],[Bonus %]])</f>
        <v>67395.48000000001</v>
      </c>
      <c r="P141" s="2">
        <f>ROUND(Employee_Sample_Data_1[[#This Row],[Annual Salary]]*(1+Employee_Sample_Data_1[[#This Row],[Bonus %]]), 0)</f>
        <v>265617</v>
      </c>
      <c r="Q141" t="s">
        <v>134</v>
      </c>
      <c r="R141" t="s">
        <v>180</v>
      </c>
      <c r="T141">
        <f ca="1">DATEDIF(Employee_Sample_Data_1[[#This Row],[Hire Date]], IF(Employee_Sample_Data_1[[#This Row],[Exit Date]] = "", TODAY(), Employee_Sample_Data_1[[#This Row],[Exit Date]]), "Y")</f>
        <v>27</v>
      </c>
    </row>
    <row r="142" spans="1:20" x14ac:dyDescent="0.25">
      <c r="A142" t="s">
        <v>355</v>
      </c>
      <c r="B142" t="s">
        <v>356</v>
      </c>
      <c r="C142" t="s">
        <v>80</v>
      </c>
      <c r="D142" t="s">
        <v>26</v>
      </c>
      <c r="E142" t="s">
        <v>33</v>
      </c>
      <c r="F142" t="s">
        <v>39</v>
      </c>
      <c r="G142" t="s">
        <v>63</v>
      </c>
      <c r="H142">
        <v>36</v>
      </c>
      <c r="I142" s="1">
        <v>42888</v>
      </c>
      <c r="J142" s="1" t="str">
        <f>TEXT(Employee_Sample_Data_1[[#This Row],[Hire Date]], "dddd")</f>
        <v>Friday</v>
      </c>
      <c r="K142" s="1" t="str">
        <f>TEXT(Employee_Sample_Data_1[[#This Row],[Hire Date]], "mmmm")</f>
        <v>June</v>
      </c>
      <c r="L142" s="1" t="str">
        <f>TEXT(Employee_Sample_Data_1[[#This Row],[Hire Date]], "yyyy")</f>
        <v>2017</v>
      </c>
      <c r="M142" s="2">
        <v>150825</v>
      </c>
      <c r="N142" s="3">
        <v>0.1</v>
      </c>
      <c r="O142" s="9">
        <f>PRODUCT(Employee_Sample_Data_1[[#This Row],[Annual Salary]],Employee_Sample_Data_1[[#This Row],[Bonus %]])</f>
        <v>15082.5</v>
      </c>
      <c r="P142" s="2">
        <f>ROUND(Employee_Sample_Data_1[[#This Row],[Annual Salary]]*(1+Employee_Sample_Data_1[[#This Row],[Bonus %]]), 0)</f>
        <v>165908</v>
      </c>
      <c r="Q142" t="s">
        <v>21</v>
      </c>
      <c r="R142" t="s">
        <v>22</v>
      </c>
      <c r="T142">
        <f ca="1">DATEDIF(Employee_Sample_Data_1[[#This Row],[Hire Date]], IF(Employee_Sample_Data_1[[#This Row],[Exit Date]] = "", TODAY(), Employee_Sample_Data_1[[#This Row],[Exit Date]]), "Y")</f>
        <v>9</v>
      </c>
    </row>
    <row r="143" spans="1:20" x14ac:dyDescent="0.25">
      <c r="A143" t="s">
        <v>357</v>
      </c>
      <c r="B143" t="s">
        <v>358</v>
      </c>
      <c r="C143" t="s">
        <v>25</v>
      </c>
      <c r="D143" t="s">
        <v>52</v>
      </c>
      <c r="E143" t="s">
        <v>27</v>
      </c>
      <c r="F143" t="s">
        <v>39</v>
      </c>
      <c r="G143" t="s">
        <v>40</v>
      </c>
      <c r="H143">
        <v>51</v>
      </c>
      <c r="I143" s="1">
        <v>35003</v>
      </c>
      <c r="J143" s="1" t="str">
        <f>TEXT(Employee_Sample_Data_1[[#This Row],[Hire Date]], "dddd")</f>
        <v>Tuesday</v>
      </c>
      <c r="K143" s="1" t="str">
        <f>TEXT(Employee_Sample_Data_1[[#This Row],[Hire Date]], "mmmm")</f>
        <v>October</v>
      </c>
      <c r="L143" s="1" t="str">
        <f>TEXT(Employee_Sample_Data_1[[#This Row],[Hire Date]], "yyyy")</f>
        <v>1995</v>
      </c>
      <c r="M143" s="2">
        <v>59311</v>
      </c>
      <c r="N143" s="3">
        <v>0</v>
      </c>
      <c r="O143" s="9">
        <f>PRODUCT(Employee_Sample_Data_1[[#This Row],[Annual Salary]],Employee_Sample_Data_1[[#This Row],[Bonus %]])</f>
        <v>0</v>
      </c>
      <c r="P143" s="2">
        <f>ROUND(Employee_Sample_Data_1[[#This Row],[Annual Salary]]*(1+Employee_Sample_Data_1[[#This Row],[Bonus %]]), 0)</f>
        <v>59311</v>
      </c>
      <c r="Q143" t="s">
        <v>134</v>
      </c>
      <c r="R143" t="s">
        <v>180</v>
      </c>
      <c r="T143">
        <f ca="1">DATEDIF(Employee_Sample_Data_1[[#This Row],[Hire Date]], IF(Employee_Sample_Data_1[[#This Row],[Exit Date]] = "", TODAY(), Employee_Sample_Data_1[[#This Row],[Exit Date]]), "Y")</f>
        <v>30</v>
      </c>
    </row>
    <row r="144" spans="1:20" x14ac:dyDescent="0.25">
      <c r="A144" t="s">
        <v>359</v>
      </c>
      <c r="B144" t="s">
        <v>360</v>
      </c>
      <c r="C144" t="s">
        <v>25</v>
      </c>
      <c r="D144" t="s">
        <v>52</v>
      </c>
      <c r="E144" t="s">
        <v>27</v>
      </c>
      <c r="F144" t="s">
        <v>39</v>
      </c>
      <c r="G144" t="s">
        <v>40</v>
      </c>
      <c r="H144">
        <v>46</v>
      </c>
      <c r="I144" s="1">
        <v>37511</v>
      </c>
      <c r="J144" s="1" t="str">
        <f>TEXT(Employee_Sample_Data_1[[#This Row],[Hire Date]], "dddd")</f>
        <v>Thursday</v>
      </c>
      <c r="K144" s="1" t="str">
        <f>TEXT(Employee_Sample_Data_1[[#This Row],[Hire Date]], "mmmm")</f>
        <v>September</v>
      </c>
      <c r="L144" s="1" t="str">
        <f>TEXT(Employee_Sample_Data_1[[#This Row],[Hire Date]], "yyyy")</f>
        <v>2002</v>
      </c>
      <c r="M144" s="2">
        <v>44411</v>
      </c>
      <c r="N144" s="3">
        <v>0</v>
      </c>
      <c r="O144" s="9">
        <f>PRODUCT(Employee_Sample_Data_1[[#This Row],[Annual Salary]],Employee_Sample_Data_1[[#This Row],[Bonus %]])</f>
        <v>0</v>
      </c>
      <c r="P144" s="2">
        <f>ROUND(Employee_Sample_Data_1[[#This Row],[Annual Salary]]*(1+Employee_Sample_Data_1[[#This Row],[Bonus %]]), 0)</f>
        <v>44411</v>
      </c>
      <c r="Q144" t="s">
        <v>134</v>
      </c>
      <c r="R144" t="s">
        <v>286</v>
      </c>
      <c r="T144">
        <f ca="1">DATEDIF(Employee_Sample_Data_1[[#This Row],[Hire Date]], IF(Employee_Sample_Data_1[[#This Row],[Exit Date]] = "", TODAY(), Employee_Sample_Data_1[[#This Row],[Exit Date]]), "Y")</f>
        <v>23</v>
      </c>
    </row>
    <row r="145" spans="1:20" x14ac:dyDescent="0.25">
      <c r="A145" t="s">
        <v>361</v>
      </c>
      <c r="B145" t="s">
        <v>362</v>
      </c>
      <c r="C145" t="s">
        <v>57</v>
      </c>
      <c r="D145" t="s">
        <v>58</v>
      </c>
      <c r="E145" t="s">
        <v>18</v>
      </c>
      <c r="F145" t="s">
        <v>19</v>
      </c>
      <c r="G145" t="s">
        <v>40</v>
      </c>
      <c r="H145">
        <v>37</v>
      </c>
      <c r="I145" s="1">
        <v>43783</v>
      </c>
      <c r="J145" s="1" t="str">
        <f>TEXT(Employee_Sample_Data_1[[#This Row],[Hire Date]], "dddd")</f>
        <v>Thursday</v>
      </c>
      <c r="K145" s="1" t="str">
        <f>TEXT(Employee_Sample_Data_1[[#This Row],[Hire Date]], "mmmm")</f>
        <v>November</v>
      </c>
      <c r="L145" s="1" t="str">
        <f>TEXT(Employee_Sample_Data_1[[#This Row],[Hire Date]], "yyyy")</f>
        <v>2019</v>
      </c>
      <c r="M145" s="2">
        <v>69408</v>
      </c>
      <c r="N145" s="3">
        <v>0</v>
      </c>
      <c r="O145" s="9">
        <f>PRODUCT(Employee_Sample_Data_1[[#This Row],[Annual Salary]],Employee_Sample_Data_1[[#This Row],[Bonus %]])</f>
        <v>0</v>
      </c>
      <c r="P145" s="2">
        <f>ROUND(Employee_Sample_Data_1[[#This Row],[Annual Salary]]*(1+Employee_Sample_Data_1[[#This Row],[Bonus %]]), 0)</f>
        <v>69408</v>
      </c>
      <c r="Q145" t="s">
        <v>21</v>
      </c>
      <c r="R145" t="s">
        <v>28</v>
      </c>
      <c r="T145">
        <f ca="1">DATEDIF(Employee_Sample_Data_1[[#This Row],[Hire Date]], IF(Employee_Sample_Data_1[[#This Row],[Exit Date]] = "", TODAY(), Employee_Sample_Data_1[[#This Row],[Exit Date]]), "Y")</f>
        <v>6</v>
      </c>
    </row>
    <row r="146" spans="1:20" x14ac:dyDescent="0.25">
      <c r="A146" t="s">
        <v>363</v>
      </c>
      <c r="B146" t="s">
        <v>364</v>
      </c>
      <c r="C146" t="s">
        <v>51</v>
      </c>
      <c r="D146" t="s">
        <v>58</v>
      </c>
      <c r="E146" t="s">
        <v>18</v>
      </c>
      <c r="F146" t="s">
        <v>19</v>
      </c>
      <c r="G146" t="s">
        <v>40</v>
      </c>
      <c r="H146">
        <v>43</v>
      </c>
      <c r="I146" s="1">
        <v>43268</v>
      </c>
      <c r="J146" s="1" t="str">
        <f>TEXT(Employee_Sample_Data_1[[#This Row],[Hire Date]], "dddd")</f>
        <v>Sunday</v>
      </c>
      <c r="K146" s="1" t="str">
        <f>TEXT(Employee_Sample_Data_1[[#This Row],[Hire Date]], "mmmm")</f>
        <v>June</v>
      </c>
      <c r="L146" s="1" t="str">
        <f>TEXT(Employee_Sample_Data_1[[#This Row],[Hire Date]], "yyyy")</f>
        <v>2018</v>
      </c>
      <c r="M146" s="2">
        <v>96759</v>
      </c>
      <c r="N146" s="3">
        <v>0</v>
      </c>
      <c r="O146" s="9">
        <f>PRODUCT(Employee_Sample_Data_1[[#This Row],[Annual Salary]],Employee_Sample_Data_1[[#This Row],[Bonus %]])</f>
        <v>0</v>
      </c>
      <c r="P146" s="2">
        <f>ROUND(Employee_Sample_Data_1[[#This Row],[Annual Salary]]*(1+Employee_Sample_Data_1[[#This Row],[Bonus %]]), 0)</f>
        <v>96759</v>
      </c>
      <c r="Q146" t="s">
        <v>134</v>
      </c>
      <c r="R146" t="s">
        <v>286</v>
      </c>
      <c r="T146">
        <f ca="1">DATEDIF(Employee_Sample_Data_1[[#This Row],[Hire Date]], IF(Employee_Sample_Data_1[[#This Row],[Exit Date]] = "", TODAY(), Employee_Sample_Data_1[[#This Row],[Exit Date]]), "Y")</f>
        <v>7</v>
      </c>
    </row>
    <row r="147" spans="1:20" x14ac:dyDescent="0.25">
      <c r="A147" t="s">
        <v>365</v>
      </c>
      <c r="B147" t="s">
        <v>366</v>
      </c>
      <c r="C147" t="s">
        <v>44</v>
      </c>
      <c r="D147" t="s">
        <v>77</v>
      </c>
      <c r="E147" t="s">
        <v>53</v>
      </c>
      <c r="F147" t="s">
        <v>39</v>
      </c>
      <c r="G147" t="s">
        <v>81</v>
      </c>
      <c r="H147">
        <v>53</v>
      </c>
      <c r="I147" s="1">
        <v>41496</v>
      </c>
      <c r="J147" s="1" t="str">
        <f>TEXT(Employee_Sample_Data_1[[#This Row],[Hire Date]], "dddd")</f>
        <v>Saturday</v>
      </c>
      <c r="K147" s="1" t="str">
        <f>TEXT(Employee_Sample_Data_1[[#This Row],[Hire Date]], "mmmm")</f>
        <v>August</v>
      </c>
      <c r="L147" s="1" t="str">
        <f>TEXT(Employee_Sample_Data_1[[#This Row],[Hire Date]], "yyyy")</f>
        <v>2013</v>
      </c>
      <c r="M147" s="2">
        <v>163480</v>
      </c>
      <c r="N147" s="3">
        <v>0.15</v>
      </c>
      <c r="O147" s="9">
        <f>PRODUCT(Employee_Sample_Data_1[[#This Row],[Annual Salary]],Employee_Sample_Data_1[[#This Row],[Bonus %]])</f>
        <v>24522</v>
      </c>
      <c r="P147" s="2">
        <f>ROUND(Employee_Sample_Data_1[[#This Row],[Annual Salary]]*(1+Employee_Sample_Data_1[[#This Row],[Bonus %]]), 0)</f>
        <v>188002</v>
      </c>
      <c r="Q147" t="s">
        <v>21</v>
      </c>
      <c r="R147" t="s">
        <v>22</v>
      </c>
      <c r="T147">
        <f ca="1">DATEDIF(Employee_Sample_Data_1[[#This Row],[Hire Date]], IF(Employee_Sample_Data_1[[#This Row],[Exit Date]] = "", TODAY(), Employee_Sample_Data_1[[#This Row],[Exit Date]]), "Y")</f>
        <v>12</v>
      </c>
    </row>
    <row r="148" spans="1:20" x14ac:dyDescent="0.25">
      <c r="A148" t="s">
        <v>367</v>
      </c>
      <c r="B148" t="s">
        <v>368</v>
      </c>
      <c r="C148" t="s">
        <v>62</v>
      </c>
      <c r="D148" t="s">
        <v>32</v>
      </c>
      <c r="E148" t="s">
        <v>33</v>
      </c>
      <c r="F148" t="s">
        <v>39</v>
      </c>
      <c r="G148" t="s">
        <v>20</v>
      </c>
      <c r="H148">
        <v>58</v>
      </c>
      <c r="I148" s="1">
        <v>41744</v>
      </c>
      <c r="J148" s="1" t="str">
        <f>TEXT(Employee_Sample_Data_1[[#This Row],[Hire Date]], "dddd")</f>
        <v>Tuesday</v>
      </c>
      <c r="K148" s="1" t="str">
        <f>TEXT(Employee_Sample_Data_1[[#This Row],[Hire Date]], "mmmm")</f>
        <v>April</v>
      </c>
      <c r="L148" s="1" t="str">
        <f>TEXT(Employee_Sample_Data_1[[#This Row],[Hire Date]], "yyyy")</f>
        <v>2014</v>
      </c>
      <c r="M148" s="2">
        <v>91132</v>
      </c>
      <c r="N148" s="3">
        <v>0</v>
      </c>
      <c r="O148" s="9">
        <f>PRODUCT(Employee_Sample_Data_1[[#This Row],[Annual Salary]],Employee_Sample_Data_1[[#This Row],[Bonus %]])</f>
        <v>0</v>
      </c>
      <c r="P148" s="2">
        <f>ROUND(Employee_Sample_Data_1[[#This Row],[Annual Salary]]*(1+Employee_Sample_Data_1[[#This Row],[Bonus %]]), 0)</f>
        <v>91132</v>
      </c>
      <c r="Q148" t="s">
        <v>34</v>
      </c>
      <c r="R148" t="s">
        <v>108</v>
      </c>
      <c r="T148">
        <f ca="1">DATEDIF(Employee_Sample_Data_1[[#This Row],[Hire Date]], IF(Employee_Sample_Data_1[[#This Row],[Exit Date]] = "", TODAY(), Employee_Sample_Data_1[[#This Row],[Exit Date]]), "Y")</f>
        <v>12</v>
      </c>
    </row>
    <row r="149" spans="1:20" x14ac:dyDescent="0.25">
      <c r="A149" t="s">
        <v>369</v>
      </c>
      <c r="B149" t="s">
        <v>370</v>
      </c>
      <c r="C149" t="s">
        <v>66</v>
      </c>
      <c r="D149" t="s">
        <v>77</v>
      </c>
      <c r="E149" t="s">
        <v>27</v>
      </c>
      <c r="F149" t="s">
        <v>19</v>
      </c>
      <c r="G149" t="s">
        <v>63</v>
      </c>
      <c r="H149">
        <v>57</v>
      </c>
      <c r="I149" s="1">
        <v>35256</v>
      </c>
      <c r="J149" s="1" t="str">
        <f>TEXT(Employee_Sample_Data_1[[#This Row],[Hire Date]], "dddd")</f>
        <v>Wednesday</v>
      </c>
      <c r="K149" s="1" t="str">
        <f>TEXT(Employee_Sample_Data_1[[#This Row],[Hire Date]], "mmmm")</f>
        <v>July</v>
      </c>
      <c r="L149" s="1" t="str">
        <f>TEXT(Employee_Sample_Data_1[[#This Row],[Hire Date]], "yyyy")</f>
        <v>1996</v>
      </c>
      <c r="M149" s="2">
        <v>122825</v>
      </c>
      <c r="N149" s="3">
        <v>0.08</v>
      </c>
      <c r="O149" s="9">
        <f>PRODUCT(Employee_Sample_Data_1[[#This Row],[Annual Salary]],Employee_Sample_Data_1[[#This Row],[Bonus %]])</f>
        <v>9826</v>
      </c>
      <c r="P149" s="2">
        <f>ROUND(Employee_Sample_Data_1[[#This Row],[Annual Salary]]*(1+Employee_Sample_Data_1[[#This Row],[Bonus %]]), 0)</f>
        <v>132651</v>
      </c>
      <c r="Q149" t="s">
        <v>21</v>
      </c>
      <c r="R149" t="s">
        <v>67</v>
      </c>
      <c r="T149">
        <f ca="1">DATEDIF(Employee_Sample_Data_1[[#This Row],[Hire Date]], IF(Employee_Sample_Data_1[[#This Row],[Exit Date]] = "", TODAY(), Employee_Sample_Data_1[[#This Row],[Exit Date]]), "Y")</f>
        <v>29</v>
      </c>
    </row>
    <row r="150" spans="1:20" x14ac:dyDescent="0.25">
      <c r="A150" t="s">
        <v>371</v>
      </c>
      <c r="B150" t="s">
        <v>372</v>
      </c>
      <c r="C150" t="s">
        <v>91</v>
      </c>
      <c r="D150" t="s">
        <v>32</v>
      </c>
      <c r="E150" t="s">
        <v>18</v>
      </c>
      <c r="F150" t="s">
        <v>39</v>
      </c>
      <c r="G150" t="s">
        <v>40</v>
      </c>
      <c r="H150">
        <v>31</v>
      </c>
      <c r="I150" s="1">
        <v>42301</v>
      </c>
      <c r="J150" s="1" t="str">
        <f>TEXT(Employee_Sample_Data_1[[#This Row],[Hire Date]], "dddd")</f>
        <v>Saturday</v>
      </c>
      <c r="K150" s="1" t="str">
        <f>TEXT(Employee_Sample_Data_1[[#This Row],[Hire Date]], "mmmm")</f>
        <v>October</v>
      </c>
      <c r="L150" s="1" t="str">
        <f>TEXT(Employee_Sample_Data_1[[#This Row],[Hire Date]], "yyyy")</f>
        <v>2015</v>
      </c>
      <c r="M150" s="2">
        <v>73612</v>
      </c>
      <c r="N150" s="3">
        <v>0</v>
      </c>
      <c r="O150" s="9">
        <f>PRODUCT(Employee_Sample_Data_1[[#This Row],[Annual Salary]],Employee_Sample_Data_1[[#This Row],[Bonus %]])</f>
        <v>0</v>
      </c>
      <c r="P150" s="2">
        <f>ROUND(Employee_Sample_Data_1[[#This Row],[Annual Salary]]*(1+Employee_Sample_Data_1[[#This Row],[Bonus %]]), 0)</f>
        <v>73612</v>
      </c>
      <c r="Q150" t="s">
        <v>134</v>
      </c>
      <c r="R150" t="s">
        <v>135</v>
      </c>
      <c r="T150">
        <f ca="1">DATEDIF(Employee_Sample_Data_1[[#This Row],[Hire Date]], IF(Employee_Sample_Data_1[[#This Row],[Exit Date]] = "", TODAY(), Employee_Sample_Data_1[[#This Row],[Exit Date]]), "Y")</f>
        <v>10</v>
      </c>
    </row>
    <row r="151" spans="1:20" x14ac:dyDescent="0.25">
      <c r="A151" t="s">
        <v>373</v>
      </c>
      <c r="B151" t="s">
        <v>374</v>
      </c>
      <c r="C151" t="s">
        <v>101</v>
      </c>
      <c r="D151" t="s">
        <v>26</v>
      </c>
      <c r="E151" t="s">
        <v>18</v>
      </c>
      <c r="F151" t="s">
        <v>19</v>
      </c>
      <c r="G151" t="s">
        <v>20</v>
      </c>
      <c r="H151">
        <v>40</v>
      </c>
      <c r="I151" s="1">
        <v>39255</v>
      </c>
      <c r="J151" s="1" t="str">
        <f>TEXT(Employee_Sample_Data_1[[#This Row],[Hire Date]], "dddd")</f>
        <v>Friday</v>
      </c>
      <c r="K151" s="1" t="str">
        <f>TEXT(Employee_Sample_Data_1[[#This Row],[Hire Date]], "mmmm")</f>
        <v>June</v>
      </c>
      <c r="L151" s="1" t="str">
        <f>TEXT(Employee_Sample_Data_1[[#This Row],[Hire Date]], "yyyy")</f>
        <v>2007</v>
      </c>
      <c r="M151" s="2">
        <v>70561</v>
      </c>
      <c r="N151" s="3">
        <v>0</v>
      </c>
      <c r="O151" s="9">
        <f>PRODUCT(Employee_Sample_Data_1[[#This Row],[Annual Salary]],Employee_Sample_Data_1[[#This Row],[Bonus %]])</f>
        <v>0</v>
      </c>
      <c r="P151" s="2">
        <f>ROUND(Employee_Sample_Data_1[[#This Row],[Annual Salary]]*(1+Employee_Sample_Data_1[[#This Row],[Bonus %]]), 0)</f>
        <v>70561</v>
      </c>
      <c r="Q151" t="s">
        <v>34</v>
      </c>
      <c r="R151" t="s">
        <v>54</v>
      </c>
      <c r="T151">
        <f ca="1">DATEDIF(Employee_Sample_Data_1[[#This Row],[Hire Date]], IF(Employee_Sample_Data_1[[#This Row],[Exit Date]] = "", TODAY(), Employee_Sample_Data_1[[#This Row],[Exit Date]]), "Y")</f>
        <v>18</v>
      </c>
    </row>
    <row r="152" spans="1:20" x14ac:dyDescent="0.25">
      <c r="A152" t="s">
        <v>375</v>
      </c>
      <c r="B152" t="s">
        <v>376</v>
      </c>
      <c r="C152" t="s">
        <v>377</v>
      </c>
      <c r="D152" t="s">
        <v>32</v>
      </c>
      <c r="E152" t="s">
        <v>33</v>
      </c>
      <c r="F152" t="s">
        <v>19</v>
      </c>
      <c r="G152" t="s">
        <v>81</v>
      </c>
      <c r="H152">
        <v>47</v>
      </c>
      <c r="I152" s="1">
        <v>39593</v>
      </c>
      <c r="J152" s="1" t="str">
        <f>TEXT(Employee_Sample_Data_1[[#This Row],[Hire Date]], "dddd")</f>
        <v>Sunday</v>
      </c>
      <c r="K152" s="1" t="str">
        <f>TEXT(Employee_Sample_Data_1[[#This Row],[Hire Date]], "mmmm")</f>
        <v>May</v>
      </c>
      <c r="L152" s="1" t="str">
        <f>TEXT(Employee_Sample_Data_1[[#This Row],[Hire Date]], "yyyy")</f>
        <v>2008</v>
      </c>
      <c r="M152" s="2">
        <v>60331</v>
      </c>
      <c r="N152" s="3">
        <v>0</v>
      </c>
      <c r="O152" s="9">
        <f>PRODUCT(Employee_Sample_Data_1[[#This Row],[Annual Salary]],Employee_Sample_Data_1[[#This Row],[Bonus %]])</f>
        <v>0</v>
      </c>
      <c r="P152" s="2">
        <f>ROUND(Employee_Sample_Data_1[[#This Row],[Annual Salary]]*(1+Employee_Sample_Data_1[[#This Row],[Bonus %]]), 0)</f>
        <v>60331</v>
      </c>
      <c r="Q152" t="s">
        <v>21</v>
      </c>
      <c r="R152" t="s">
        <v>67</v>
      </c>
      <c r="T152">
        <f ca="1">DATEDIF(Employee_Sample_Data_1[[#This Row],[Hire Date]], IF(Employee_Sample_Data_1[[#This Row],[Exit Date]] = "", TODAY(), Employee_Sample_Data_1[[#This Row],[Exit Date]]), "Y")</f>
        <v>18</v>
      </c>
    </row>
    <row r="153" spans="1:20" x14ac:dyDescent="0.25">
      <c r="A153" t="s">
        <v>378</v>
      </c>
      <c r="B153" t="s">
        <v>379</v>
      </c>
      <c r="C153" t="s">
        <v>70</v>
      </c>
      <c r="D153" t="s">
        <v>32</v>
      </c>
      <c r="E153" t="s">
        <v>18</v>
      </c>
      <c r="F153" t="s">
        <v>39</v>
      </c>
      <c r="G153" t="s">
        <v>40</v>
      </c>
      <c r="H153">
        <v>51</v>
      </c>
      <c r="I153" s="1">
        <v>39207</v>
      </c>
      <c r="J153" s="1" t="str">
        <f>TEXT(Employee_Sample_Data_1[[#This Row],[Hire Date]], "dddd")</f>
        <v>Saturday</v>
      </c>
      <c r="K153" s="1" t="str">
        <f>TEXT(Employee_Sample_Data_1[[#This Row],[Hire Date]], "mmmm")</f>
        <v>May</v>
      </c>
      <c r="L153" s="1" t="str">
        <f>TEXT(Employee_Sample_Data_1[[#This Row],[Hire Date]], "yyyy")</f>
        <v>2007</v>
      </c>
      <c r="M153" s="2">
        <v>48772</v>
      </c>
      <c r="N153" s="3">
        <v>0</v>
      </c>
      <c r="O153" s="9">
        <f>PRODUCT(Employee_Sample_Data_1[[#This Row],[Annual Salary]],Employee_Sample_Data_1[[#This Row],[Bonus %]])</f>
        <v>0</v>
      </c>
      <c r="P153" s="2">
        <f>ROUND(Employee_Sample_Data_1[[#This Row],[Annual Salary]]*(1+Employee_Sample_Data_1[[#This Row],[Bonus %]]), 0)</f>
        <v>48772</v>
      </c>
      <c r="Q153" t="s">
        <v>134</v>
      </c>
      <c r="R153" t="s">
        <v>135</v>
      </c>
      <c r="T153">
        <f ca="1">DATEDIF(Employee_Sample_Data_1[[#This Row],[Hire Date]], IF(Employee_Sample_Data_1[[#This Row],[Exit Date]] = "", TODAY(), Employee_Sample_Data_1[[#This Row],[Exit Date]]), "Y")</f>
        <v>19</v>
      </c>
    </row>
    <row r="154" spans="1:20" x14ac:dyDescent="0.25">
      <c r="A154" t="s">
        <v>380</v>
      </c>
      <c r="B154" t="s">
        <v>381</v>
      </c>
      <c r="C154" t="s">
        <v>31</v>
      </c>
      <c r="D154" t="s">
        <v>32</v>
      </c>
      <c r="E154" t="s">
        <v>33</v>
      </c>
      <c r="F154" t="s">
        <v>19</v>
      </c>
      <c r="G154" t="s">
        <v>20</v>
      </c>
      <c r="H154">
        <v>57</v>
      </c>
      <c r="I154" s="1">
        <v>44106</v>
      </c>
      <c r="J154" s="1" t="str">
        <f>TEXT(Employee_Sample_Data_1[[#This Row],[Hire Date]], "dddd")</f>
        <v>Friday</v>
      </c>
      <c r="K154" s="1" t="str">
        <f>TEXT(Employee_Sample_Data_1[[#This Row],[Hire Date]], "mmmm")</f>
        <v>October</v>
      </c>
      <c r="L154" s="1" t="str">
        <f>TEXT(Employee_Sample_Data_1[[#This Row],[Hire Date]], "yyyy")</f>
        <v>2020</v>
      </c>
      <c r="M154" s="2">
        <v>90599</v>
      </c>
      <c r="N154" s="3">
        <v>0</v>
      </c>
      <c r="O154" s="9">
        <f>PRODUCT(Employee_Sample_Data_1[[#This Row],[Annual Salary]],Employee_Sample_Data_1[[#This Row],[Bonus %]])</f>
        <v>0</v>
      </c>
      <c r="P154" s="2">
        <f>ROUND(Employee_Sample_Data_1[[#This Row],[Annual Salary]]*(1+Employee_Sample_Data_1[[#This Row],[Bonus %]]), 0)</f>
        <v>90599</v>
      </c>
      <c r="Q154" t="s">
        <v>34</v>
      </c>
      <c r="R154" t="s">
        <v>54</v>
      </c>
      <c r="T154">
        <f ca="1">DATEDIF(Employee_Sample_Data_1[[#This Row],[Hire Date]], IF(Employee_Sample_Data_1[[#This Row],[Exit Date]] = "", TODAY(), Employee_Sample_Data_1[[#This Row],[Exit Date]]), "Y")</f>
        <v>5</v>
      </c>
    </row>
    <row r="155" spans="1:20" x14ac:dyDescent="0.25">
      <c r="A155" t="s">
        <v>382</v>
      </c>
      <c r="B155" t="s">
        <v>383</v>
      </c>
      <c r="C155" t="s">
        <v>156</v>
      </c>
      <c r="D155" t="s">
        <v>32</v>
      </c>
      <c r="E155" t="s">
        <v>27</v>
      </c>
      <c r="F155" t="s">
        <v>19</v>
      </c>
      <c r="G155" t="s">
        <v>63</v>
      </c>
      <c r="H155">
        <v>46</v>
      </c>
      <c r="I155" s="1">
        <v>44522</v>
      </c>
      <c r="J155" s="1" t="str">
        <f>TEXT(Employee_Sample_Data_1[[#This Row],[Hire Date]], "dddd")</f>
        <v>Monday</v>
      </c>
      <c r="K155" s="1" t="str">
        <f>TEXT(Employee_Sample_Data_1[[#This Row],[Hire Date]], "mmmm")</f>
        <v>November</v>
      </c>
      <c r="L155" s="1" t="str">
        <f>TEXT(Employee_Sample_Data_1[[#This Row],[Hire Date]], "yyyy")</f>
        <v>2021</v>
      </c>
      <c r="M155" s="2">
        <v>55643</v>
      </c>
      <c r="N155" s="3">
        <v>0</v>
      </c>
      <c r="O155" s="9">
        <f>PRODUCT(Employee_Sample_Data_1[[#This Row],[Annual Salary]],Employee_Sample_Data_1[[#This Row],[Bonus %]])</f>
        <v>0</v>
      </c>
      <c r="P155" s="2">
        <f>ROUND(Employee_Sample_Data_1[[#This Row],[Annual Salary]]*(1+Employee_Sample_Data_1[[#This Row],[Bonus %]]), 0)</f>
        <v>55643</v>
      </c>
      <c r="Q155" t="s">
        <v>21</v>
      </c>
      <c r="R155" t="s">
        <v>22</v>
      </c>
      <c r="T155">
        <f ca="1">DATEDIF(Employee_Sample_Data_1[[#This Row],[Hire Date]], IF(Employee_Sample_Data_1[[#This Row],[Exit Date]] = "", TODAY(), Employee_Sample_Data_1[[#This Row],[Exit Date]]), "Y")</f>
        <v>4</v>
      </c>
    </row>
    <row r="156" spans="1:20" x14ac:dyDescent="0.25">
      <c r="A156" t="s">
        <v>384</v>
      </c>
      <c r="B156" t="s">
        <v>385</v>
      </c>
      <c r="C156" t="s">
        <v>289</v>
      </c>
      <c r="D156" t="s">
        <v>17</v>
      </c>
      <c r="E156" t="s">
        <v>27</v>
      </c>
      <c r="F156" t="s">
        <v>19</v>
      </c>
      <c r="G156" t="s">
        <v>40</v>
      </c>
      <c r="H156">
        <v>40</v>
      </c>
      <c r="I156" s="1">
        <v>44807</v>
      </c>
      <c r="J156" s="1" t="str">
        <f>TEXT(Employee_Sample_Data_1[[#This Row],[Hire Date]], "dddd")</f>
        <v>Saturday</v>
      </c>
      <c r="K156" s="1" t="str">
        <f>TEXT(Employee_Sample_Data_1[[#This Row],[Hire Date]], "mmmm")</f>
        <v>September</v>
      </c>
      <c r="L156" s="1" t="str">
        <f>TEXT(Employee_Sample_Data_1[[#This Row],[Hire Date]], "yyyy")</f>
        <v>2022</v>
      </c>
      <c r="M156" s="2">
        <v>97938</v>
      </c>
      <c r="N156" s="3">
        <v>0</v>
      </c>
      <c r="O156" s="9">
        <f>PRODUCT(Employee_Sample_Data_1[[#This Row],[Annual Salary]],Employee_Sample_Data_1[[#This Row],[Bonus %]])</f>
        <v>0</v>
      </c>
      <c r="P156" s="2">
        <f>ROUND(Employee_Sample_Data_1[[#This Row],[Annual Salary]]*(1+Employee_Sample_Data_1[[#This Row],[Bonus %]]), 0)</f>
        <v>97938</v>
      </c>
      <c r="Q156" t="s">
        <v>21</v>
      </c>
      <c r="R156" t="s">
        <v>28</v>
      </c>
      <c r="T156">
        <f ca="1">DATEDIF(Employee_Sample_Data_1[[#This Row],[Hire Date]], IF(Employee_Sample_Data_1[[#This Row],[Exit Date]] = "", TODAY(), Employee_Sample_Data_1[[#This Row],[Exit Date]]), "Y")</f>
        <v>3</v>
      </c>
    </row>
    <row r="157" spans="1:20" x14ac:dyDescent="0.25">
      <c r="A157" t="s">
        <v>386</v>
      </c>
      <c r="B157" t="s">
        <v>387</v>
      </c>
      <c r="C157" t="s">
        <v>25</v>
      </c>
      <c r="D157" t="s">
        <v>52</v>
      </c>
      <c r="E157" t="s">
        <v>33</v>
      </c>
      <c r="F157" t="s">
        <v>19</v>
      </c>
      <c r="G157" t="s">
        <v>20</v>
      </c>
      <c r="H157">
        <v>43</v>
      </c>
      <c r="I157" s="1">
        <v>38004</v>
      </c>
      <c r="J157" s="1" t="str">
        <f>TEXT(Employee_Sample_Data_1[[#This Row],[Hire Date]], "dddd")</f>
        <v>Sunday</v>
      </c>
      <c r="K157" s="1" t="str">
        <f>TEXT(Employee_Sample_Data_1[[#This Row],[Hire Date]], "mmmm")</f>
        <v>January</v>
      </c>
      <c r="L157" s="1" t="str">
        <f>TEXT(Employee_Sample_Data_1[[#This Row],[Hire Date]], "yyyy")</f>
        <v>2004</v>
      </c>
      <c r="M157" s="2">
        <v>49627</v>
      </c>
      <c r="N157" s="3">
        <v>0</v>
      </c>
      <c r="O157" s="9">
        <f>PRODUCT(Employee_Sample_Data_1[[#This Row],[Annual Salary]],Employee_Sample_Data_1[[#This Row],[Bonus %]])</f>
        <v>0</v>
      </c>
      <c r="P157" s="2">
        <f>ROUND(Employee_Sample_Data_1[[#This Row],[Annual Salary]]*(1+Employee_Sample_Data_1[[#This Row],[Bonus %]]), 0)</f>
        <v>49627</v>
      </c>
      <c r="Q157" t="s">
        <v>34</v>
      </c>
      <c r="R157" t="s">
        <v>108</v>
      </c>
      <c r="T157">
        <f ca="1">DATEDIF(Employee_Sample_Data_1[[#This Row],[Hire Date]], IF(Employee_Sample_Data_1[[#This Row],[Exit Date]] = "", TODAY(), Employee_Sample_Data_1[[#This Row],[Exit Date]]), "Y")</f>
        <v>22</v>
      </c>
    </row>
    <row r="158" spans="1:20" x14ac:dyDescent="0.25">
      <c r="A158" t="s">
        <v>388</v>
      </c>
      <c r="B158" t="s">
        <v>389</v>
      </c>
      <c r="C158" t="s">
        <v>156</v>
      </c>
      <c r="D158" t="s">
        <v>32</v>
      </c>
      <c r="E158" t="s">
        <v>33</v>
      </c>
      <c r="F158" t="s">
        <v>19</v>
      </c>
      <c r="G158" t="s">
        <v>63</v>
      </c>
      <c r="H158">
        <v>54</v>
      </c>
      <c r="I158" s="1">
        <v>44303</v>
      </c>
      <c r="J158" s="1" t="str">
        <f>TEXT(Employee_Sample_Data_1[[#This Row],[Hire Date]], "dddd")</f>
        <v>Saturday</v>
      </c>
      <c r="K158" s="1" t="str">
        <f>TEXT(Employee_Sample_Data_1[[#This Row],[Hire Date]], "mmmm")</f>
        <v>April</v>
      </c>
      <c r="L158" s="1" t="str">
        <f>TEXT(Employee_Sample_Data_1[[#This Row],[Hire Date]], "yyyy")</f>
        <v>2021</v>
      </c>
      <c r="M158" s="2">
        <v>58137</v>
      </c>
      <c r="N158" s="3">
        <v>0</v>
      </c>
      <c r="O158" s="9">
        <f>PRODUCT(Employee_Sample_Data_1[[#This Row],[Annual Salary]],Employee_Sample_Data_1[[#This Row],[Bonus %]])</f>
        <v>0</v>
      </c>
      <c r="P158" s="2">
        <f>ROUND(Employee_Sample_Data_1[[#This Row],[Annual Salary]]*(1+Employee_Sample_Data_1[[#This Row],[Bonus %]]), 0)</f>
        <v>58137</v>
      </c>
      <c r="Q158" t="s">
        <v>21</v>
      </c>
      <c r="R158" t="s">
        <v>22</v>
      </c>
      <c r="T158">
        <f ca="1">DATEDIF(Employee_Sample_Data_1[[#This Row],[Hire Date]], IF(Employee_Sample_Data_1[[#This Row],[Exit Date]] = "", TODAY(), Employee_Sample_Data_1[[#This Row],[Exit Date]]), "Y")</f>
        <v>5</v>
      </c>
    </row>
    <row r="159" spans="1:20" x14ac:dyDescent="0.25">
      <c r="A159" t="s">
        <v>390</v>
      </c>
      <c r="B159" t="s">
        <v>391</v>
      </c>
      <c r="C159" t="s">
        <v>80</v>
      </c>
      <c r="D159" t="s">
        <v>26</v>
      </c>
      <c r="E159" t="s">
        <v>33</v>
      </c>
      <c r="F159" t="s">
        <v>39</v>
      </c>
      <c r="G159" t="s">
        <v>81</v>
      </c>
      <c r="H159">
        <v>27</v>
      </c>
      <c r="I159" s="1">
        <v>44198</v>
      </c>
      <c r="J159" s="1" t="str">
        <f>TEXT(Employee_Sample_Data_1[[#This Row],[Hire Date]], "dddd")</f>
        <v>Saturday</v>
      </c>
      <c r="K159" s="1" t="str">
        <f>TEXT(Employee_Sample_Data_1[[#This Row],[Hire Date]], "mmmm")</f>
        <v>January</v>
      </c>
      <c r="L159" s="1" t="str">
        <f>TEXT(Employee_Sample_Data_1[[#This Row],[Hire Date]], "yyyy")</f>
        <v>2021</v>
      </c>
      <c r="M159" s="2">
        <v>120586</v>
      </c>
      <c r="N159" s="3">
        <v>0.15</v>
      </c>
      <c r="O159" s="9">
        <f>PRODUCT(Employee_Sample_Data_1[[#This Row],[Annual Salary]],Employee_Sample_Data_1[[#This Row],[Bonus %]])</f>
        <v>18087.899999999998</v>
      </c>
      <c r="P159" s="2">
        <f>ROUND(Employee_Sample_Data_1[[#This Row],[Annual Salary]]*(1+Employee_Sample_Data_1[[#This Row],[Bonus %]]), 0)</f>
        <v>138674</v>
      </c>
      <c r="Q159" t="s">
        <v>21</v>
      </c>
      <c r="R159" t="s">
        <v>41</v>
      </c>
      <c r="T159">
        <f ca="1">DATEDIF(Employee_Sample_Data_1[[#This Row],[Hire Date]], IF(Employee_Sample_Data_1[[#This Row],[Exit Date]] = "", TODAY(), Employee_Sample_Data_1[[#This Row],[Exit Date]]), "Y")</f>
        <v>5</v>
      </c>
    </row>
    <row r="160" spans="1:20" x14ac:dyDescent="0.25">
      <c r="A160" t="s">
        <v>392</v>
      </c>
      <c r="B160" t="s">
        <v>393</v>
      </c>
      <c r="C160" t="s">
        <v>57</v>
      </c>
      <c r="D160" t="s">
        <v>52</v>
      </c>
      <c r="E160" t="s">
        <v>18</v>
      </c>
      <c r="F160" t="s">
        <v>39</v>
      </c>
      <c r="G160" t="s">
        <v>20</v>
      </c>
      <c r="H160">
        <v>56</v>
      </c>
      <c r="I160" s="1">
        <v>36387</v>
      </c>
      <c r="J160" s="1" t="str">
        <f>TEXT(Employee_Sample_Data_1[[#This Row],[Hire Date]], "dddd")</f>
        <v>Sunday</v>
      </c>
      <c r="K160" s="1" t="str">
        <f>TEXT(Employee_Sample_Data_1[[#This Row],[Hire Date]], "mmmm")</f>
        <v>August</v>
      </c>
      <c r="L160" s="1" t="str">
        <f>TEXT(Employee_Sample_Data_1[[#This Row],[Hire Date]], "yyyy")</f>
        <v>1999</v>
      </c>
      <c r="M160" s="2">
        <v>72925</v>
      </c>
      <c r="N160" s="3">
        <v>0</v>
      </c>
      <c r="O160" s="9">
        <f>PRODUCT(Employee_Sample_Data_1[[#This Row],[Annual Salary]],Employee_Sample_Data_1[[#This Row],[Bonus %]])</f>
        <v>0</v>
      </c>
      <c r="P160" s="2">
        <f>ROUND(Employee_Sample_Data_1[[#This Row],[Annual Salary]]*(1+Employee_Sample_Data_1[[#This Row],[Bonus %]]), 0)</f>
        <v>72925</v>
      </c>
      <c r="Q160" t="s">
        <v>21</v>
      </c>
      <c r="R160" t="s">
        <v>41</v>
      </c>
      <c r="T160">
        <f ca="1">DATEDIF(Employee_Sample_Data_1[[#This Row],[Hire Date]], IF(Employee_Sample_Data_1[[#This Row],[Exit Date]] = "", TODAY(), Employee_Sample_Data_1[[#This Row],[Exit Date]]), "Y")</f>
        <v>26</v>
      </c>
    </row>
    <row r="161" spans="1:20" x14ac:dyDescent="0.25">
      <c r="A161" t="s">
        <v>394</v>
      </c>
      <c r="B161" t="s">
        <v>395</v>
      </c>
      <c r="C161" t="s">
        <v>31</v>
      </c>
      <c r="D161" t="s">
        <v>32</v>
      </c>
      <c r="E161" t="s">
        <v>53</v>
      </c>
      <c r="F161" t="s">
        <v>39</v>
      </c>
      <c r="G161" t="s">
        <v>40</v>
      </c>
      <c r="H161">
        <v>36</v>
      </c>
      <c r="I161" s="1">
        <v>44785</v>
      </c>
      <c r="J161" s="1" t="str">
        <f>TEXT(Employee_Sample_Data_1[[#This Row],[Hire Date]], "dddd")</f>
        <v>Friday</v>
      </c>
      <c r="K161" s="1" t="str">
        <f>TEXT(Employee_Sample_Data_1[[#This Row],[Hire Date]], "mmmm")</f>
        <v>August</v>
      </c>
      <c r="L161" s="1" t="str">
        <f>TEXT(Employee_Sample_Data_1[[#This Row],[Hire Date]], "yyyy")</f>
        <v>2022</v>
      </c>
      <c r="M161" s="2">
        <v>83548</v>
      </c>
      <c r="N161" s="3">
        <v>0</v>
      </c>
      <c r="O161" s="9">
        <f>PRODUCT(Employee_Sample_Data_1[[#This Row],[Annual Salary]],Employee_Sample_Data_1[[#This Row],[Bonus %]])</f>
        <v>0</v>
      </c>
      <c r="P161" s="2">
        <f>ROUND(Employee_Sample_Data_1[[#This Row],[Annual Salary]]*(1+Employee_Sample_Data_1[[#This Row],[Bonus %]]), 0)</f>
        <v>83548</v>
      </c>
      <c r="Q161" t="s">
        <v>21</v>
      </c>
      <c r="R161" t="s">
        <v>67</v>
      </c>
      <c r="T161">
        <f ca="1">DATEDIF(Employee_Sample_Data_1[[#This Row],[Hire Date]], IF(Employee_Sample_Data_1[[#This Row],[Exit Date]] = "", TODAY(), Employee_Sample_Data_1[[#This Row],[Exit Date]]), "Y")</f>
        <v>3</v>
      </c>
    </row>
    <row r="162" spans="1:20" x14ac:dyDescent="0.25">
      <c r="A162" t="s">
        <v>396</v>
      </c>
      <c r="B162" t="s">
        <v>397</v>
      </c>
      <c r="C162" t="s">
        <v>66</v>
      </c>
      <c r="D162" t="s">
        <v>58</v>
      </c>
      <c r="E162" t="s">
        <v>18</v>
      </c>
      <c r="F162" t="s">
        <v>19</v>
      </c>
      <c r="G162" t="s">
        <v>20</v>
      </c>
      <c r="H162">
        <v>53</v>
      </c>
      <c r="I162" s="1">
        <v>38531</v>
      </c>
      <c r="J162" s="1" t="str">
        <f>TEXT(Employee_Sample_Data_1[[#This Row],[Hire Date]], "dddd")</f>
        <v>Tuesday</v>
      </c>
      <c r="K162" s="1" t="str">
        <f>TEXT(Employee_Sample_Data_1[[#This Row],[Hire Date]], "mmmm")</f>
        <v>June</v>
      </c>
      <c r="L162" s="1" t="str">
        <f>TEXT(Employee_Sample_Data_1[[#This Row],[Hire Date]], "yyyy")</f>
        <v>2005</v>
      </c>
      <c r="M162" s="2">
        <v>128226</v>
      </c>
      <c r="N162" s="3">
        <v>0.08</v>
      </c>
      <c r="O162" s="9">
        <f>PRODUCT(Employee_Sample_Data_1[[#This Row],[Annual Salary]],Employee_Sample_Data_1[[#This Row],[Bonus %]])</f>
        <v>10258.08</v>
      </c>
      <c r="P162" s="2">
        <f>ROUND(Employee_Sample_Data_1[[#This Row],[Annual Salary]]*(1+Employee_Sample_Data_1[[#This Row],[Bonus %]]), 0)</f>
        <v>138484</v>
      </c>
      <c r="Q162" t="s">
        <v>34</v>
      </c>
      <c r="R162" t="s">
        <v>35</v>
      </c>
      <c r="T162">
        <f ca="1">DATEDIF(Employee_Sample_Data_1[[#This Row],[Hire Date]], IF(Employee_Sample_Data_1[[#This Row],[Exit Date]] = "", TODAY(), Employee_Sample_Data_1[[#This Row],[Exit Date]]), "Y")</f>
        <v>20</v>
      </c>
    </row>
    <row r="163" spans="1:20" x14ac:dyDescent="0.25">
      <c r="A163" t="s">
        <v>398</v>
      </c>
      <c r="B163" t="s">
        <v>399</v>
      </c>
      <c r="C163" t="s">
        <v>44</v>
      </c>
      <c r="D163" t="s">
        <v>17</v>
      </c>
      <c r="E163" t="s">
        <v>33</v>
      </c>
      <c r="F163" t="s">
        <v>39</v>
      </c>
      <c r="G163" t="s">
        <v>63</v>
      </c>
      <c r="H163">
        <v>31</v>
      </c>
      <c r="I163" s="1">
        <v>43165</v>
      </c>
      <c r="J163" s="1" t="str">
        <f>TEXT(Employee_Sample_Data_1[[#This Row],[Hire Date]], "dddd")</f>
        <v>Tuesday</v>
      </c>
      <c r="K163" s="1" t="str">
        <f>TEXT(Employee_Sample_Data_1[[#This Row],[Hire Date]], "mmmm")</f>
        <v>March</v>
      </c>
      <c r="L163" s="1" t="str">
        <f>TEXT(Employee_Sample_Data_1[[#This Row],[Hire Date]], "yyyy")</f>
        <v>2018</v>
      </c>
      <c r="M163" s="2">
        <v>150653</v>
      </c>
      <c r="N163" s="3">
        <v>0.24</v>
      </c>
      <c r="O163" s="9">
        <f>PRODUCT(Employee_Sample_Data_1[[#This Row],[Annual Salary]],Employee_Sample_Data_1[[#This Row],[Bonus %]])</f>
        <v>36156.720000000001</v>
      </c>
      <c r="P163" s="2">
        <f>ROUND(Employee_Sample_Data_1[[#This Row],[Annual Salary]]*(1+Employee_Sample_Data_1[[#This Row],[Bonus %]]), 0)</f>
        <v>186810</v>
      </c>
      <c r="Q163" t="s">
        <v>21</v>
      </c>
      <c r="R163" t="s">
        <v>45</v>
      </c>
      <c r="S163" s="1">
        <v>43709</v>
      </c>
      <c r="T163">
        <f ca="1">DATEDIF(Employee_Sample_Data_1[[#This Row],[Hire Date]], IF(Employee_Sample_Data_1[[#This Row],[Exit Date]] = "", TODAY(), Employee_Sample_Data_1[[#This Row],[Exit Date]]), "Y")</f>
        <v>1</v>
      </c>
    </row>
    <row r="164" spans="1:20" x14ac:dyDescent="0.25">
      <c r="A164" t="s">
        <v>400</v>
      </c>
      <c r="B164" t="s">
        <v>401</v>
      </c>
      <c r="C164" t="s">
        <v>402</v>
      </c>
      <c r="D164" t="s">
        <v>26</v>
      </c>
      <c r="E164" t="s">
        <v>53</v>
      </c>
      <c r="F164" t="s">
        <v>19</v>
      </c>
      <c r="G164" t="s">
        <v>63</v>
      </c>
      <c r="H164">
        <v>45</v>
      </c>
      <c r="I164" s="1">
        <v>42494</v>
      </c>
      <c r="J164" s="1" t="str">
        <f>TEXT(Employee_Sample_Data_1[[#This Row],[Hire Date]], "dddd")</f>
        <v>Wednesday</v>
      </c>
      <c r="K164" s="1" t="str">
        <f>TEXT(Employee_Sample_Data_1[[#This Row],[Hire Date]], "mmmm")</f>
        <v>May</v>
      </c>
      <c r="L164" s="1" t="str">
        <f>TEXT(Employee_Sample_Data_1[[#This Row],[Hire Date]], "yyyy")</f>
        <v>2016</v>
      </c>
      <c r="M164" s="2">
        <v>80989</v>
      </c>
      <c r="N164" s="3">
        <v>0</v>
      </c>
      <c r="O164" s="9">
        <f>PRODUCT(Employee_Sample_Data_1[[#This Row],[Annual Salary]],Employee_Sample_Data_1[[#This Row],[Bonus %]])</f>
        <v>0</v>
      </c>
      <c r="P164" s="2">
        <f>ROUND(Employee_Sample_Data_1[[#This Row],[Annual Salary]]*(1+Employee_Sample_Data_1[[#This Row],[Bonus %]]), 0)</f>
        <v>80989</v>
      </c>
      <c r="Q164" t="s">
        <v>21</v>
      </c>
      <c r="R164" t="s">
        <v>22</v>
      </c>
      <c r="T164">
        <f ca="1">DATEDIF(Employee_Sample_Data_1[[#This Row],[Hire Date]], IF(Employee_Sample_Data_1[[#This Row],[Exit Date]] = "", TODAY(), Employee_Sample_Data_1[[#This Row],[Exit Date]]), "Y")</f>
        <v>10</v>
      </c>
    </row>
    <row r="165" spans="1:20" x14ac:dyDescent="0.25">
      <c r="A165" t="s">
        <v>403</v>
      </c>
      <c r="B165" t="s">
        <v>404</v>
      </c>
      <c r="C165" t="s">
        <v>405</v>
      </c>
      <c r="D165" t="s">
        <v>17</v>
      </c>
      <c r="E165" t="s">
        <v>27</v>
      </c>
      <c r="F165" t="s">
        <v>19</v>
      </c>
      <c r="G165" t="s">
        <v>63</v>
      </c>
      <c r="H165">
        <v>29</v>
      </c>
      <c r="I165" s="1">
        <v>44619</v>
      </c>
      <c r="J165" s="1" t="str">
        <f>TEXT(Employee_Sample_Data_1[[#This Row],[Hire Date]], "dddd")</f>
        <v>Sunday</v>
      </c>
      <c r="K165" s="1" t="str">
        <f>TEXT(Employee_Sample_Data_1[[#This Row],[Hire Date]], "mmmm")</f>
        <v>February</v>
      </c>
      <c r="L165" s="1" t="str">
        <f>TEXT(Employee_Sample_Data_1[[#This Row],[Hire Date]], "yyyy")</f>
        <v>2022</v>
      </c>
      <c r="M165" s="2">
        <v>74901</v>
      </c>
      <c r="N165" s="3">
        <v>0</v>
      </c>
      <c r="O165" s="9">
        <f>PRODUCT(Employee_Sample_Data_1[[#This Row],[Annual Salary]],Employee_Sample_Data_1[[#This Row],[Bonus %]])</f>
        <v>0</v>
      </c>
      <c r="P165" s="2">
        <f>ROUND(Employee_Sample_Data_1[[#This Row],[Annual Salary]]*(1+Employee_Sample_Data_1[[#This Row],[Bonus %]]), 0)</f>
        <v>74901</v>
      </c>
      <c r="Q165" t="s">
        <v>21</v>
      </c>
      <c r="R165" t="s">
        <v>45</v>
      </c>
      <c r="T165">
        <f ca="1">DATEDIF(Employee_Sample_Data_1[[#This Row],[Hire Date]], IF(Employee_Sample_Data_1[[#This Row],[Exit Date]] = "", TODAY(), Employee_Sample_Data_1[[#This Row],[Exit Date]]), "Y")</f>
        <v>4</v>
      </c>
    </row>
    <row r="166" spans="1:20" x14ac:dyDescent="0.25">
      <c r="A166" t="s">
        <v>406</v>
      </c>
      <c r="B166" t="s">
        <v>407</v>
      </c>
      <c r="C166" t="s">
        <v>161</v>
      </c>
      <c r="D166" t="s">
        <v>32</v>
      </c>
      <c r="E166" t="s">
        <v>33</v>
      </c>
      <c r="F166" t="s">
        <v>39</v>
      </c>
      <c r="G166" t="s">
        <v>20</v>
      </c>
      <c r="H166">
        <v>27</v>
      </c>
      <c r="I166" s="1">
        <v>44071</v>
      </c>
      <c r="J166" s="1" t="str">
        <f>TEXT(Employee_Sample_Data_1[[#This Row],[Hire Date]], "dddd")</f>
        <v>Friday</v>
      </c>
      <c r="K166" s="1" t="str">
        <f>TEXT(Employee_Sample_Data_1[[#This Row],[Hire Date]], "mmmm")</f>
        <v>August</v>
      </c>
      <c r="L166" s="1" t="str">
        <f>TEXT(Employee_Sample_Data_1[[#This Row],[Hire Date]], "yyyy")</f>
        <v>2020</v>
      </c>
      <c r="M166" s="2">
        <v>68712</v>
      </c>
      <c r="N166" s="3">
        <v>0</v>
      </c>
      <c r="O166" s="9">
        <f>PRODUCT(Employee_Sample_Data_1[[#This Row],[Annual Salary]],Employee_Sample_Data_1[[#This Row],[Bonus %]])</f>
        <v>0</v>
      </c>
      <c r="P166" s="2">
        <f>ROUND(Employee_Sample_Data_1[[#This Row],[Annual Salary]]*(1+Employee_Sample_Data_1[[#This Row],[Bonus %]]), 0)</f>
        <v>68712</v>
      </c>
      <c r="Q166" t="s">
        <v>21</v>
      </c>
      <c r="R166" t="s">
        <v>22</v>
      </c>
      <c r="T166">
        <f ca="1">DATEDIF(Employee_Sample_Data_1[[#This Row],[Hire Date]], IF(Employee_Sample_Data_1[[#This Row],[Exit Date]] = "", TODAY(), Employee_Sample_Data_1[[#This Row],[Exit Date]]), "Y")</f>
        <v>5</v>
      </c>
    </row>
    <row r="167" spans="1:20" x14ac:dyDescent="0.25">
      <c r="A167" t="s">
        <v>408</v>
      </c>
      <c r="B167" t="s">
        <v>409</v>
      </c>
      <c r="C167" t="s">
        <v>410</v>
      </c>
      <c r="D167" t="s">
        <v>17</v>
      </c>
      <c r="E167" t="s">
        <v>33</v>
      </c>
      <c r="F167" t="s">
        <v>19</v>
      </c>
      <c r="G167" t="s">
        <v>63</v>
      </c>
      <c r="H167">
        <v>26</v>
      </c>
      <c r="I167" s="1">
        <v>44669</v>
      </c>
      <c r="J167" s="1" t="str">
        <f>TEXT(Employee_Sample_Data_1[[#This Row],[Hire Date]], "dddd")</f>
        <v>Monday</v>
      </c>
      <c r="K167" s="1" t="str">
        <f>TEXT(Employee_Sample_Data_1[[#This Row],[Hire Date]], "mmmm")</f>
        <v>April</v>
      </c>
      <c r="L167" s="1" t="str">
        <f>TEXT(Employee_Sample_Data_1[[#This Row],[Hire Date]], "yyyy")</f>
        <v>2022</v>
      </c>
      <c r="M167" s="2">
        <v>82963</v>
      </c>
      <c r="N167" s="3">
        <v>0</v>
      </c>
      <c r="O167" s="9">
        <f>PRODUCT(Employee_Sample_Data_1[[#This Row],[Annual Salary]],Employee_Sample_Data_1[[#This Row],[Bonus %]])</f>
        <v>0</v>
      </c>
      <c r="P167" s="2">
        <f>ROUND(Employee_Sample_Data_1[[#This Row],[Annual Salary]]*(1+Employee_Sample_Data_1[[#This Row],[Bonus %]]), 0)</f>
        <v>82963</v>
      </c>
      <c r="Q167" t="s">
        <v>21</v>
      </c>
      <c r="R167" t="s">
        <v>45</v>
      </c>
      <c r="S167" s="1">
        <v>44735</v>
      </c>
      <c r="T167">
        <f ca="1">DATEDIF(Employee_Sample_Data_1[[#This Row],[Hire Date]], IF(Employee_Sample_Data_1[[#This Row],[Exit Date]] = "", TODAY(), Employee_Sample_Data_1[[#This Row],[Exit Date]]), "Y")</f>
        <v>0</v>
      </c>
    </row>
    <row r="168" spans="1:20" x14ac:dyDescent="0.25">
      <c r="A168" t="s">
        <v>411</v>
      </c>
      <c r="B168" t="s">
        <v>412</v>
      </c>
      <c r="C168" t="s">
        <v>265</v>
      </c>
      <c r="D168" t="s">
        <v>17</v>
      </c>
      <c r="E168" t="s">
        <v>33</v>
      </c>
      <c r="F168" t="s">
        <v>39</v>
      </c>
      <c r="G168" t="s">
        <v>40</v>
      </c>
      <c r="H168">
        <v>53</v>
      </c>
      <c r="I168" s="1">
        <v>39978</v>
      </c>
      <c r="J168" s="1" t="str">
        <f>TEXT(Employee_Sample_Data_1[[#This Row],[Hire Date]], "dddd")</f>
        <v>Sunday</v>
      </c>
      <c r="K168" s="1" t="str">
        <f>TEXT(Employee_Sample_Data_1[[#This Row],[Hire Date]], "mmmm")</f>
        <v>June</v>
      </c>
      <c r="L168" s="1" t="str">
        <f>TEXT(Employee_Sample_Data_1[[#This Row],[Hire Date]], "yyyy")</f>
        <v>2009</v>
      </c>
      <c r="M168" s="2">
        <v>123203</v>
      </c>
      <c r="N168" s="3">
        <v>0.1</v>
      </c>
      <c r="O168" s="9">
        <f>PRODUCT(Employee_Sample_Data_1[[#This Row],[Annual Salary]],Employee_Sample_Data_1[[#This Row],[Bonus %]])</f>
        <v>12320.300000000001</v>
      </c>
      <c r="P168" s="2">
        <f>ROUND(Employee_Sample_Data_1[[#This Row],[Annual Salary]]*(1+Employee_Sample_Data_1[[#This Row],[Bonus %]]), 0)</f>
        <v>135523</v>
      </c>
      <c r="Q168" t="s">
        <v>21</v>
      </c>
      <c r="R168" t="s">
        <v>45</v>
      </c>
      <c r="T168">
        <f ca="1">DATEDIF(Employee_Sample_Data_1[[#This Row],[Hire Date]], IF(Employee_Sample_Data_1[[#This Row],[Exit Date]] = "", TODAY(), Employee_Sample_Data_1[[#This Row],[Exit Date]]), "Y")</f>
        <v>16</v>
      </c>
    </row>
    <row r="169" spans="1:20" x14ac:dyDescent="0.25">
      <c r="A169" t="s">
        <v>413</v>
      </c>
      <c r="B169" t="s">
        <v>414</v>
      </c>
      <c r="C169" t="s">
        <v>44</v>
      </c>
      <c r="D169" t="s">
        <v>52</v>
      </c>
      <c r="E169" t="s">
        <v>27</v>
      </c>
      <c r="F169" t="s">
        <v>39</v>
      </c>
      <c r="G169" t="s">
        <v>20</v>
      </c>
      <c r="H169">
        <v>64</v>
      </c>
      <c r="I169" s="1">
        <v>41157</v>
      </c>
      <c r="J169" s="1" t="str">
        <f>TEXT(Employee_Sample_Data_1[[#This Row],[Hire Date]], "dddd")</f>
        <v>Wednesday</v>
      </c>
      <c r="K169" s="1" t="str">
        <f>TEXT(Employee_Sample_Data_1[[#This Row],[Hire Date]], "mmmm")</f>
        <v>September</v>
      </c>
      <c r="L169" s="1" t="str">
        <f>TEXT(Employee_Sample_Data_1[[#This Row],[Hire Date]], "yyyy")</f>
        <v>2012</v>
      </c>
      <c r="M169" s="2">
        <v>195416</v>
      </c>
      <c r="N169" s="3">
        <v>0.22</v>
      </c>
      <c r="O169" s="9">
        <f>PRODUCT(Employee_Sample_Data_1[[#This Row],[Annual Salary]],Employee_Sample_Data_1[[#This Row],[Bonus %]])</f>
        <v>42991.519999999997</v>
      </c>
      <c r="P169" s="2">
        <f>ROUND(Employee_Sample_Data_1[[#This Row],[Annual Salary]]*(1+Employee_Sample_Data_1[[#This Row],[Bonus %]]), 0)</f>
        <v>238408</v>
      </c>
      <c r="Q169" t="s">
        <v>34</v>
      </c>
      <c r="R169" t="s">
        <v>59</v>
      </c>
      <c r="T169">
        <f ca="1">DATEDIF(Employee_Sample_Data_1[[#This Row],[Hire Date]], IF(Employee_Sample_Data_1[[#This Row],[Exit Date]] = "", TODAY(), Employee_Sample_Data_1[[#This Row],[Exit Date]]), "Y")</f>
        <v>13</v>
      </c>
    </row>
    <row r="170" spans="1:20" x14ac:dyDescent="0.25">
      <c r="A170" t="s">
        <v>415</v>
      </c>
      <c r="B170" t="s">
        <v>416</v>
      </c>
      <c r="C170" t="s">
        <v>44</v>
      </c>
      <c r="D170" t="s">
        <v>77</v>
      </c>
      <c r="E170" t="s">
        <v>18</v>
      </c>
      <c r="F170" t="s">
        <v>19</v>
      </c>
      <c r="G170" t="s">
        <v>81</v>
      </c>
      <c r="H170">
        <v>32</v>
      </c>
      <c r="I170" s="1">
        <v>43258</v>
      </c>
      <c r="J170" s="1" t="str">
        <f>TEXT(Employee_Sample_Data_1[[#This Row],[Hire Date]], "dddd")</f>
        <v>Thursday</v>
      </c>
      <c r="K170" s="1" t="str">
        <f>TEXT(Employee_Sample_Data_1[[#This Row],[Hire Date]], "mmmm")</f>
        <v>June</v>
      </c>
      <c r="L170" s="1" t="str">
        <f>TEXT(Employee_Sample_Data_1[[#This Row],[Hire Date]], "yyyy")</f>
        <v>2018</v>
      </c>
      <c r="M170" s="2">
        <v>156418</v>
      </c>
      <c r="N170" s="3">
        <v>0.23</v>
      </c>
      <c r="O170" s="9">
        <f>PRODUCT(Employee_Sample_Data_1[[#This Row],[Annual Salary]],Employee_Sample_Data_1[[#This Row],[Bonus %]])</f>
        <v>35976.14</v>
      </c>
      <c r="P170" s="2">
        <f>ROUND(Employee_Sample_Data_1[[#This Row],[Annual Salary]]*(1+Employee_Sample_Data_1[[#This Row],[Bonus %]]), 0)</f>
        <v>192394</v>
      </c>
      <c r="Q170" t="s">
        <v>21</v>
      </c>
      <c r="R170" t="s">
        <v>22</v>
      </c>
      <c r="T170">
        <f ca="1">DATEDIF(Employee_Sample_Data_1[[#This Row],[Hire Date]], IF(Employee_Sample_Data_1[[#This Row],[Exit Date]] = "", TODAY(), Employee_Sample_Data_1[[#This Row],[Exit Date]]), "Y")</f>
        <v>7</v>
      </c>
    </row>
    <row r="171" spans="1:20" x14ac:dyDescent="0.25">
      <c r="A171" t="s">
        <v>417</v>
      </c>
      <c r="B171" t="s">
        <v>418</v>
      </c>
      <c r="C171" t="s">
        <v>86</v>
      </c>
      <c r="D171" t="s">
        <v>52</v>
      </c>
      <c r="E171" t="s">
        <v>18</v>
      </c>
      <c r="F171" t="s">
        <v>39</v>
      </c>
      <c r="G171" t="s">
        <v>20</v>
      </c>
      <c r="H171">
        <v>42</v>
      </c>
      <c r="I171" s="1">
        <v>42174</v>
      </c>
      <c r="J171" s="1" t="str">
        <f>TEXT(Employee_Sample_Data_1[[#This Row],[Hire Date]], "dddd")</f>
        <v>Friday</v>
      </c>
      <c r="K171" s="1" t="str">
        <f>TEXT(Employee_Sample_Data_1[[#This Row],[Hire Date]], "mmmm")</f>
        <v>June</v>
      </c>
      <c r="L171" s="1" t="str">
        <f>TEXT(Employee_Sample_Data_1[[#This Row],[Hire Date]], "yyyy")</f>
        <v>2015</v>
      </c>
      <c r="M171" s="2">
        <v>255892</v>
      </c>
      <c r="N171" s="3">
        <v>0.38</v>
      </c>
      <c r="O171" s="9">
        <f>PRODUCT(Employee_Sample_Data_1[[#This Row],[Annual Salary]],Employee_Sample_Data_1[[#This Row],[Bonus %]])</f>
        <v>97238.96</v>
      </c>
      <c r="P171" s="2">
        <f>ROUND(Employee_Sample_Data_1[[#This Row],[Annual Salary]]*(1+Employee_Sample_Data_1[[#This Row],[Bonus %]]), 0)</f>
        <v>353131</v>
      </c>
      <c r="Q171" t="s">
        <v>21</v>
      </c>
      <c r="R171" t="s">
        <v>67</v>
      </c>
      <c r="T171">
        <f ca="1">DATEDIF(Employee_Sample_Data_1[[#This Row],[Hire Date]], IF(Employee_Sample_Data_1[[#This Row],[Exit Date]] = "", TODAY(), Employee_Sample_Data_1[[#This Row],[Exit Date]]), "Y")</f>
        <v>10</v>
      </c>
    </row>
    <row r="172" spans="1:20" x14ac:dyDescent="0.25">
      <c r="A172" t="s">
        <v>419</v>
      </c>
      <c r="B172" t="s">
        <v>420</v>
      </c>
      <c r="C172" t="s">
        <v>98</v>
      </c>
      <c r="D172" t="s">
        <v>32</v>
      </c>
      <c r="E172" t="s">
        <v>27</v>
      </c>
      <c r="F172" t="s">
        <v>39</v>
      </c>
      <c r="G172" t="s">
        <v>63</v>
      </c>
      <c r="H172">
        <v>31</v>
      </c>
      <c r="I172" s="1">
        <v>43317</v>
      </c>
      <c r="J172" s="1" t="str">
        <f>TEXT(Employee_Sample_Data_1[[#This Row],[Hire Date]], "dddd")</f>
        <v>Sunday</v>
      </c>
      <c r="K172" s="1" t="str">
        <f>TEXT(Employee_Sample_Data_1[[#This Row],[Hire Date]], "mmmm")</f>
        <v>August</v>
      </c>
      <c r="L172" s="1" t="str">
        <f>TEXT(Employee_Sample_Data_1[[#This Row],[Hire Date]], "yyyy")</f>
        <v>2018</v>
      </c>
      <c r="M172" s="2">
        <v>96195</v>
      </c>
      <c r="N172" s="3">
        <v>0</v>
      </c>
      <c r="O172" s="9">
        <f>PRODUCT(Employee_Sample_Data_1[[#This Row],[Annual Salary]],Employee_Sample_Data_1[[#This Row],[Bonus %]])</f>
        <v>0</v>
      </c>
      <c r="P172" s="2">
        <f>ROUND(Employee_Sample_Data_1[[#This Row],[Annual Salary]]*(1+Employee_Sample_Data_1[[#This Row],[Bonus %]]), 0)</f>
        <v>96195</v>
      </c>
      <c r="Q172" t="s">
        <v>21</v>
      </c>
      <c r="R172" t="s">
        <v>48</v>
      </c>
      <c r="T172">
        <f ca="1">DATEDIF(Employee_Sample_Data_1[[#This Row],[Hire Date]], IF(Employee_Sample_Data_1[[#This Row],[Exit Date]] = "", TODAY(), Employee_Sample_Data_1[[#This Row],[Exit Date]]), "Y")</f>
        <v>7</v>
      </c>
    </row>
    <row r="173" spans="1:20" x14ac:dyDescent="0.25">
      <c r="A173" t="s">
        <v>421</v>
      </c>
      <c r="B173" t="s">
        <v>422</v>
      </c>
      <c r="C173" t="s">
        <v>31</v>
      </c>
      <c r="D173" t="s">
        <v>32</v>
      </c>
      <c r="E173" t="s">
        <v>33</v>
      </c>
      <c r="F173" t="s">
        <v>39</v>
      </c>
      <c r="G173" t="s">
        <v>20</v>
      </c>
      <c r="H173">
        <v>40</v>
      </c>
      <c r="I173" s="1">
        <v>39352</v>
      </c>
      <c r="J173" s="1" t="str">
        <f>TEXT(Employee_Sample_Data_1[[#This Row],[Hire Date]], "dddd")</f>
        <v>Thursday</v>
      </c>
      <c r="K173" s="1" t="str">
        <f>TEXT(Employee_Sample_Data_1[[#This Row],[Hire Date]], "mmmm")</f>
        <v>September</v>
      </c>
      <c r="L173" s="1" t="str">
        <f>TEXT(Employee_Sample_Data_1[[#This Row],[Hire Date]], "yyyy")</f>
        <v>2007</v>
      </c>
      <c r="M173" s="2">
        <v>77637</v>
      </c>
      <c r="N173" s="3">
        <v>0</v>
      </c>
      <c r="O173" s="9">
        <f>PRODUCT(Employee_Sample_Data_1[[#This Row],[Annual Salary]],Employee_Sample_Data_1[[#This Row],[Bonus %]])</f>
        <v>0</v>
      </c>
      <c r="P173" s="2">
        <f>ROUND(Employee_Sample_Data_1[[#This Row],[Annual Salary]]*(1+Employee_Sample_Data_1[[#This Row],[Bonus %]]), 0)</f>
        <v>77637</v>
      </c>
      <c r="Q173" t="s">
        <v>34</v>
      </c>
      <c r="R173" t="s">
        <v>54</v>
      </c>
      <c r="S173" s="1">
        <v>42770</v>
      </c>
      <c r="T173">
        <f ca="1">DATEDIF(Employee_Sample_Data_1[[#This Row],[Hire Date]], IF(Employee_Sample_Data_1[[#This Row],[Exit Date]] = "", TODAY(), Employee_Sample_Data_1[[#This Row],[Exit Date]]), "Y")</f>
        <v>9</v>
      </c>
    </row>
    <row r="174" spans="1:20" x14ac:dyDescent="0.25">
      <c r="A174" t="s">
        <v>423</v>
      </c>
      <c r="B174" t="s">
        <v>424</v>
      </c>
      <c r="C174" t="s">
        <v>131</v>
      </c>
      <c r="D174" t="s">
        <v>17</v>
      </c>
      <c r="E174" t="s">
        <v>33</v>
      </c>
      <c r="F174" t="s">
        <v>19</v>
      </c>
      <c r="G174" t="s">
        <v>20</v>
      </c>
      <c r="H174">
        <v>46</v>
      </c>
      <c r="I174" s="1">
        <v>37768</v>
      </c>
      <c r="J174" s="1" t="str">
        <f>TEXT(Employee_Sample_Data_1[[#This Row],[Hire Date]], "dddd")</f>
        <v>Tuesday</v>
      </c>
      <c r="K174" s="1" t="str">
        <f>TEXT(Employee_Sample_Data_1[[#This Row],[Hire Date]], "mmmm")</f>
        <v>May</v>
      </c>
      <c r="L174" s="1" t="str">
        <f>TEXT(Employee_Sample_Data_1[[#This Row],[Hire Date]], "yyyy")</f>
        <v>2003</v>
      </c>
      <c r="M174" s="2">
        <v>79294</v>
      </c>
      <c r="N174" s="3">
        <v>0</v>
      </c>
      <c r="O174" s="9">
        <f>PRODUCT(Employee_Sample_Data_1[[#This Row],[Annual Salary]],Employee_Sample_Data_1[[#This Row],[Bonus %]])</f>
        <v>0</v>
      </c>
      <c r="P174" s="2">
        <f>ROUND(Employee_Sample_Data_1[[#This Row],[Annual Salary]]*(1+Employee_Sample_Data_1[[#This Row],[Bonus %]]), 0)</f>
        <v>79294</v>
      </c>
      <c r="Q174" t="s">
        <v>34</v>
      </c>
      <c r="R174" t="s">
        <v>59</v>
      </c>
      <c r="T174">
        <f ca="1">DATEDIF(Employee_Sample_Data_1[[#This Row],[Hire Date]], IF(Employee_Sample_Data_1[[#This Row],[Exit Date]] = "", TODAY(), Employee_Sample_Data_1[[#This Row],[Exit Date]]), "Y")</f>
        <v>23</v>
      </c>
    </row>
    <row r="175" spans="1:20" x14ac:dyDescent="0.25">
      <c r="A175" t="s">
        <v>425</v>
      </c>
      <c r="B175" t="s">
        <v>426</v>
      </c>
      <c r="C175" t="s">
        <v>86</v>
      </c>
      <c r="D175" t="s">
        <v>58</v>
      </c>
      <c r="E175" t="s">
        <v>53</v>
      </c>
      <c r="F175" t="s">
        <v>19</v>
      </c>
      <c r="G175" t="s">
        <v>63</v>
      </c>
      <c r="H175">
        <v>35</v>
      </c>
      <c r="I175" s="1">
        <v>42562</v>
      </c>
      <c r="J175" s="1" t="str">
        <f>TEXT(Employee_Sample_Data_1[[#This Row],[Hire Date]], "dddd")</f>
        <v>Monday</v>
      </c>
      <c r="K175" s="1" t="str">
        <f>TEXT(Employee_Sample_Data_1[[#This Row],[Hire Date]], "mmmm")</f>
        <v>July</v>
      </c>
      <c r="L175" s="1" t="str">
        <f>TEXT(Employee_Sample_Data_1[[#This Row],[Hire Date]], "yyyy")</f>
        <v>2016</v>
      </c>
      <c r="M175" s="2">
        <v>254287</v>
      </c>
      <c r="N175" s="3">
        <v>0.31</v>
      </c>
      <c r="O175" s="9">
        <f>PRODUCT(Employee_Sample_Data_1[[#This Row],[Annual Salary]],Employee_Sample_Data_1[[#This Row],[Bonus %]])</f>
        <v>78828.97</v>
      </c>
      <c r="P175" s="2">
        <f>ROUND(Employee_Sample_Data_1[[#This Row],[Annual Salary]]*(1+Employee_Sample_Data_1[[#This Row],[Bonus %]]), 0)</f>
        <v>333116</v>
      </c>
      <c r="Q175" t="s">
        <v>21</v>
      </c>
      <c r="R175" t="s">
        <v>45</v>
      </c>
      <c r="S175" s="1">
        <v>44851</v>
      </c>
      <c r="T175">
        <f ca="1">DATEDIF(Employee_Sample_Data_1[[#This Row],[Hire Date]], IF(Employee_Sample_Data_1[[#This Row],[Exit Date]] = "", TODAY(), Employee_Sample_Data_1[[#This Row],[Exit Date]]), "Y")</f>
        <v>6</v>
      </c>
    </row>
    <row r="176" spans="1:20" x14ac:dyDescent="0.25">
      <c r="A176" t="s">
        <v>427</v>
      </c>
      <c r="B176" t="s">
        <v>428</v>
      </c>
      <c r="C176" t="s">
        <v>170</v>
      </c>
      <c r="D176" t="s">
        <v>32</v>
      </c>
      <c r="E176" t="s">
        <v>53</v>
      </c>
      <c r="F176" t="s">
        <v>19</v>
      </c>
      <c r="G176" t="s">
        <v>20</v>
      </c>
      <c r="H176">
        <v>64</v>
      </c>
      <c r="I176" s="1">
        <v>34512</v>
      </c>
      <c r="J176" s="1" t="str">
        <f>TEXT(Employee_Sample_Data_1[[#This Row],[Hire Date]], "dddd")</f>
        <v>Monday</v>
      </c>
      <c r="K176" s="1" t="str">
        <f>TEXT(Employee_Sample_Data_1[[#This Row],[Hire Date]], "mmmm")</f>
        <v>June</v>
      </c>
      <c r="L176" s="1" t="str">
        <f>TEXT(Employee_Sample_Data_1[[#This Row],[Hire Date]], "yyyy")</f>
        <v>1994</v>
      </c>
      <c r="M176" s="2">
        <v>70516</v>
      </c>
      <c r="N176" s="3">
        <v>0</v>
      </c>
      <c r="O176" s="9">
        <f>PRODUCT(Employee_Sample_Data_1[[#This Row],[Annual Salary]],Employee_Sample_Data_1[[#This Row],[Bonus %]])</f>
        <v>0</v>
      </c>
      <c r="P176" s="2">
        <f>ROUND(Employee_Sample_Data_1[[#This Row],[Annual Salary]]*(1+Employee_Sample_Data_1[[#This Row],[Bonus %]]), 0)</f>
        <v>70516</v>
      </c>
      <c r="Q176" t="s">
        <v>34</v>
      </c>
      <c r="R176" t="s">
        <v>59</v>
      </c>
      <c r="T176">
        <f ca="1">DATEDIF(Employee_Sample_Data_1[[#This Row],[Hire Date]], IF(Employee_Sample_Data_1[[#This Row],[Exit Date]] = "", TODAY(), Employee_Sample_Data_1[[#This Row],[Exit Date]]), "Y")</f>
        <v>31</v>
      </c>
    </row>
    <row r="177" spans="1:20" x14ac:dyDescent="0.25">
      <c r="A177" t="s">
        <v>429</v>
      </c>
      <c r="B177" t="s">
        <v>430</v>
      </c>
      <c r="C177" t="s">
        <v>51</v>
      </c>
      <c r="D177" t="s">
        <v>52</v>
      </c>
      <c r="E177" t="s">
        <v>33</v>
      </c>
      <c r="F177" t="s">
        <v>39</v>
      </c>
      <c r="G177" t="s">
        <v>40</v>
      </c>
      <c r="H177">
        <v>58</v>
      </c>
      <c r="I177" s="1">
        <v>41797</v>
      </c>
      <c r="J177" s="1" t="str">
        <f>TEXT(Employee_Sample_Data_1[[#This Row],[Hire Date]], "dddd")</f>
        <v>Saturday</v>
      </c>
      <c r="K177" s="1" t="str">
        <f>TEXT(Employee_Sample_Data_1[[#This Row],[Hire Date]], "mmmm")</f>
        <v>June</v>
      </c>
      <c r="L177" s="1" t="str">
        <f>TEXT(Employee_Sample_Data_1[[#This Row],[Hire Date]], "yyyy")</f>
        <v>2014</v>
      </c>
      <c r="M177" s="2">
        <v>98296</v>
      </c>
      <c r="N177" s="3">
        <v>0</v>
      </c>
      <c r="O177" s="9">
        <f>PRODUCT(Employee_Sample_Data_1[[#This Row],[Annual Salary]],Employee_Sample_Data_1[[#This Row],[Bonus %]])</f>
        <v>0</v>
      </c>
      <c r="P177" s="2">
        <f>ROUND(Employee_Sample_Data_1[[#This Row],[Annual Salary]]*(1+Employee_Sample_Data_1[[#This Row],[Bonus %]]), 0)</f>
        <v>98296</v>
      </c>
      <c r="Q177" t="s">
        <v>134</v>
      </c>
      <c r="R177" t="s">
        <v>286</v>
      </c>
      <c r="T177">
        <f ca="1">DATEDIF(Employee_Sample_Data_1[[#This Row],[Hire Date]], IF(Employee_Sample_Data_1[[#This Row],[Exit Date]] = "", TODAY(), Employee_Sample_Data_1[[#This Row],[Exit Date]]), "Y")</f>
        <v>11</v>
      </c>
    </row>
    <row r="178" spans="1:20" x14ac:dyDescent="0.25">
      <c r="A178" t="s">
        <v>431</v>
      </c>
      <c r="B178" t="s">
        <v>432</v>
      </c>
      <c r="C178" t="s">
        <v>433</v>
      </c>
      <c r="D178" t="s">
        <v>17</v>
      </c>
      <c r="E178" t="s">
        <v>18</v>
      </c>
      <c r="F178" t="s">
        <v>19</v>
      </c>
      <c r="G178" t="s">
        <v>63</v>
      </c>
      <c r="H178">
        <v>61</v>
      </c>
      <c r="I178" s="1">
        <v>42368</v>
      </c>
      <c r="J178" s="1" t="str">
        <f>TEXT(Employee_Sample_Data_1[[#This Row],[Hire Date]], "dddd")</f>
        <v>Wednesday</v>
      </c>
      <c r="K178" s="1" t="str">
        <f>TEXT(Employee_Sample_Data_1[[#This Row],[Hire Date]], "mmmm")</f>
        <v>December</v>
      </c>
      <c r="L178" s="1" t="str">
        <f>TEXT(Employee_Sample_Data_1[[#This Row],[Hire Date]], "yyyy")</f>
        <v>2015</v>
      </c>
      <c r="M178" s="2">
        <v>98565</v>
      </c>
      <c r="N178" s="3">
        <v>0</v>
      </c>
      <c r="O178" s="9">
        <f>PRODUCT(Employee_Sample_Data_1[[#This Row],[Annual Salary]],Employee_Sample_Data_1[[#This Row],[Bonus %]])</f>
        <v>0</v>
      </c>
      <c r="P178" s="2">
        <f>ROUND(Employee_Sample_Data_1[[#This Row],[Annual Salary]]*(1+Employee_Sample_Data_1[[#This Row],[Bonus %]]), 0)</f>
        <v>98565</v>
      </c>
      <c r="Q178" t="s">
        <v>21</v>
      </c>
      <c r="R178" t="s">
        <v>48</v>
      </c>
      <c r="T178">
        <f ca="1">DATEDIF(Employee_Sample_Data_1[[#This Row],[Hire Date]], IF(Employee_Sample_Data_1[[#This Row],[Exit Date]] = "", TODAY(), Employee_Sample_Data_1[[#This Row],[Exit Date]]), "Y")</f>
        <v>10</v>
      </c>
    </row>
    <row r="179" spans="1:20" x14ac:dyDescent="0.25">
      <c r="A179" t="s">
        <v>434</v>
      </c>
      <c r="B179" t="s">
        <v>435</v>
      </c>
      <c r="C179" t="s">
        <v>57</v>
      </c>
      <c r="D179" t="s">
        <v>58</v>
      </c>
      <c r="E179" t="s">
        <v>18</v>
      </c>
      <c r="F179" t="s">
        <v>19</v>
      </c>
      <c r="G179" t="s">
        <v>40</v>
      </c>
      <c r="H179">
        <v>41</v>
      </c>
      <c r="I179" s="1">
        <v>44151</v>
      </c>
      <c r="J179" s="1" t="str">
        <f>TEXT(Employee_Sample_Data_1[[#This Row],[Hire Date]], "dddd")</f>
        <v>Monday</v>
      </c>
      <c r="K179" s="1" t="str">
        <f>TEXT(Employee_Sample_Data_1[[#This Row],[Hire Date]], "mmmm")</f>
        <v>November</v>
      </c>
      <c r="L179" s="1" t="str">
        <f>TEXT(Employee_Sample_Data_1[[#This Row],[Hire Date]], "yyyy")</f>
        <v>2020</v>
      </c>
      <c r="M179" s="2">
        <v>59149</v>
      </c>
      <c r="N179" s="3">
        <v>0</v>
      </c>
      <c r="O179" s="9">
        <f>PRODUCT(Employee_Sample_Data_1[[#This Row],[Annual Salary]],Employee_Sample_Data_1[[#This Row],[Bonus %]])</f>
        <v>0</v>
      </c>
      <c r="P179" s="2">
        <f>ROUND(Employee_Sample_Data_1[[#This Row],[Annual Salary]]*(1+Employee_Sample_Data_1[[#This Row],[Bonus %]]), 0)</f>
        <v>59149</v>
      </c>
      <c r="Q179" t="s">
        <v>134</v>
      </c>
      <c r="R179" t="s">
        <v>135</v>
      </c>
      <c r="T179">
        <f ca="1">DATEDIF(Employee_Sample_Data_1[[#This Row],[Hire Date]], IF(Employee_Sample_Data_1[[#This Row],[Exit Date]] = "", TODAY(), Employee_Sample_Data_1[[#This Row],[Exit Date]]), "Y")</f>
        <v>5</v>
      </c>
    </row>
    <row r="180" spans="1:20" x14ac:dyDescent="0.25">
      <c r="A180" t="s">
        <v>436</v>
      </c>
      <c r="B180" t="s">
        <v>437</v>
      </c>
      <c r="C180" t="s">
        <v>57</v>
      </c>
      <c r="D180" t="s">
        <v>77</v>
      </c>
      <c r="E180" t="s">
        <v>53</v>
      </c>
      <c r="F180" t="s">
        <v>39</v>
      </c>
      <c r="G180" t="s">
        <v>40</v>
      </c>
      <c r="H180">
        <v>25</v>
      </c>
      <c r="I180" s="1">
        <v>44207</v>
      </c>
      <c r="J180" s="1" t="str">
        <f>TEXT(Employee_Sample_Data_1[[#This Row],[Hire Date]], "dddd")</f>
        <v>Monday</v>
      </c>
      <c r="K180" s="1" t="str">
        <f>TEXT(Employee_Sample_Data_1[[#This Row],[Hire Date]], "mmmm")</f>
        <v>January</v>
      </c>
      <c r="L180" s="1" t="str">
        <f>TEXT(Employee_Sample_Data_1[[#This Row],[Hire Date]], "yyyy")</f>
        <v>2021</v>
      </c>
      <c r="M180" s="2">
        <v>70126</v>
      </c>
      <c r="N180" s="3">
        <v>0</v>
      </c>
      <c r="O180" s="9">
        <f>PRODUCT(Employee_Sample_Data_1[[#This Row],[Annual Salary]],Employee_Sample_Data_1[[#This Row],[Bonus %]])</f>
        <v>0</v>
      </c>
      <c r="P180" s="2">
        <f>ROUND(Employee_Sample_Data_1[[#This Row],[Annual Salary]]*(1+Employee_Sample_Data_1[[#This Row],[Bonus %]]), 0)</f>
        <v>70126</v>
      </c>
      <c r="Q180" t="s">
        <v>134</v>
      </c>
      <c r="R180" t="s">
        <v>180</v>
      </c>
      <c r="T180">
        <f ca="1">DATEDIF(Employee_Sample_Data_1[[#This Row],[Hire Date]], IF(Employee_Sample_Data_1[[#This Row],[Exit Date]] = "", TODAY(), Employee_Sample_Data_1[[#This Row],[Exit Date]]), "Y")</f>
        <v>5</v>
      </c>
    </row>
    <row r="181" spans="1:20" x14ac:dyDescent="0.25">
      <c r="A181" t="s">
        <v>438</v>
      </c>
      <c r="B181" t="s">
        <v>439</v>
      </c>
      <c r="C181" t="s">
        <v>86</v>
      </c>
      <c r="D181" t="s">
        <v>123</v>
      </c>
      <c r="E181" t="s">
        <v>18</v>
      </c>
      <c r="F181" t="s">
        <v>39</v>
      </c>
      <c r="G181" t="s">
        <v>20</v>
      </c>
      <c r="H181">
        <v>50</v>
      </c>
      <c r="I181" s="1">
        <v>40752</v>
      </c>
      <c r="J181" s="1" t="str">
        <f>TEXT(Employee_Sample_Data_1[[#This Row],[Hire Date]], "dddd")</f>
        <v>Thursday</v>
      </c>
      <c r="K181" s="1" t="str">
        <f>TEXT(Employee_Sample_Data_1[[#This Row],[Hire Date]], "mmmm")</f>
        <v>July</v>
      </c>
      <c r="L181" s="1" t="str">
        <f>TEXT(Employee_Sample_Data_1[[#This Row],[Hire Date]], "yyyy")</f>
        <v>2011</v>
      </c>
      <c r="M181" s="2">
        <v>216787</v>
      </c>
      <c r="N181" s="3">
        <v>0.33</v>
      </c>
      <c r="O181" s="9">
        <f>PRODUCT(Employee_Sample_Data_1[[#This Row],[Annual Salary]],Employee_Sample_Data_1[[#This Row],[Bonus %]])</f>
        <v>71539.710000000006</v>
      </c>
      <c r="P181" s="2">
        <f>ROUND(Employee_Sample_Data_1[[#This Row],[Annual Salary]]*(1+Employee_Sample_Data_1[[#This Row],[Bonus %]]), 0)</f>
        <v>288327</v>
      </c>
      <c r="Q181" t="s">
        <v>34</v>
      </c>
      <c r="R181" t="s">
        <v>108</v>
      </c>
      <c r="T181">
        <f ca="1">DATEDIF(Employee_Sample_Data_1[[#This Row],[Hire Date]], IF(Employee_Sample_Data_1[[#This Row],[Exit Date]] = "", TODAY(), Employee_Sample_Data_1[[#This Row],[Exit Date]]), "Y")</f>
        <v>14</v>
      </c>
    </row>
    <row r="182" spans="1:20" x14ac:dyDescent="0.25">
      <c r="A182" t="s">
        <v>440</v>
      </c>
      <c r="B182" t="s">
        <v>441</v>
      </c>
      <c r="C182" t="s">
        <v>80</v>
      </c>
      <c r="D182" t="s">
        <v>52</v>
      </c>
      <c r="E182" t="s">
        <v>33</v>
      </c>
      <c r="F182" t="s">
        <v>19</v>
      </c>
      <c r="G182" t="s">
        <v>40</v>
      </c>
      <c r="H182">
        <v>61</v>
      </c>
      <c r="I182" s="1">
        <v>39012</v>
      </c>
      <c r="J182" s="1" t="str">
        <f>TEXT(Employee_Sample_Data_1[[#This Row],[Hire Date]], "dddd")</f>
        <v>Sunday</v>
      </c>
      <c r="K182" s="1" t="str">
        <f>TEXT(Employee_Sample_Data_1[[#This Row],[Hire Date]], "mmmm")</f>
        <v>October</v>
      </c>
      <c r="L182" s="1" t="str">
        <f>TEXT(Employee_Sample_Data_1[[#This Row],[Hire Date]], "yyyy")</f>
        <v>2006</v>
      </c>
      <c r="M182" s="2">
        <v>156512</v>
      </c>
      <c r="N182" s="3">
        <v>0.13</v>
      </c>
      <c r="O182" s="9">
        <f>PRODUCT(Employee_Sample_Data_1[[#This Row],[Annual Salary]],Employee_Sample_Data_1[[#This Row],[Bonus %]])</f>
        <v>20346.560000000001</v>
      </c>
      <c r="P182" s="2">
        <f>ROUND(Employee_Sample_Data_1[[#This Row],[Annual Salary]]*(1+Employee_Sample_Data_1[[#This Row],[Bonus %]]), 0)</f>
        <v>176859</v>
      </c>
      <c r="Q182" t="s">
        <v>134</v>
      </c>
      <c r="R182" t="s">
        <v>135</v>
      </c>
      <c r="T182">
        <f ca="1">DATEDIF(Employee_Sample_Data_1[[#This Row],[Hire Date]], IF(Employee_Sample_Data_1[[#This Row],[Exit Date]] = "", TODAY(), Employee_Sample_Data_1[[#This Row],[Exit Date]]), "Y")</f>
        <v>19</v>
      </c>
    </row>
    <row r="183" spans="1:20" x14ac:dyDescent="0.25">
      <c r="A183" t="s">
        <v>442</v>
      </c>
      <c r="B183" t="s">
        <v>443</v>
      </c>
      <c r="C183" t="s">
        <v>25</v>
      </c>
      <c r="D183" t="s">
        <v>58</v>
      </c>
      <c r="E183" t="s">
        <v>33</v>
      </c>
      <c r="F183" t="s">
        <v>39</v>
      </c>
      <c r="G183" t="s">
        <v>20</v>
      </c>
      <c r="H183">
        <v>63</v>
      </c>
      <c r="I183" s="1">
        <v>40689</v>
      </c>
      <c r="J183" s="1" t="str">
        <f>TEXT(Employee_Sample_Data_1[[#This Row],[Hire Date]], "dddd")</f>
        <v>Thursday</v>
      </c>
      <c r="K183" s="1" t="str">
        <f>TEXT(Employee_Sample_Data_1[[#This Row],[Hire Date]], "mmmm")</f>
        <v>May</v>
      </c>
      <c r="L183" s="1" t="str">
        <f>TEXT(Employee_Sample_Data_1[[#This Row],[Hire Date]], "yyyy")</f>
        <v>2011</v>
      </c>
      <c r="M183" s="2">
        <v>44444</v>
      </c>
      <c r="N183" s="3">
        <v>0</v>
      </c>
      <c r="O183" s="9">
        <f>PRODUCT(Employee_Sample_Data_1[[#This Row],[Annual Salary]],Employee_Sample_Data_1[[#This Row],[Bonus %]])</f>
        <v>0</v>
      </c>
      <c r="P183" s="2">
        <f>ROUND(Employee_Sample_Data_1[[#This Row],[Annual Salary]]*(1+Employee_Sample_Data_1[[#This Row],[Bonus %]]), 0)</f>
        <v>44444</v>
      </c>
      <c r="Q183" t="s">
        <v>21</v>
      </c>
      <c r="R183" t="s">
        <v>67</v>
      </c>
      <c r="S183" s="1">
        <v>42197</v>
      </c>
      <c r="T183">
        <f ca="1">DATEDIF(Employee_Sample_Data_1[[#This Row],[Hire Date]], IF(Employee_Sample_Data_1[[#This Row],[Exit Date]] = "", TODAY(), Employee_Sample_Data_1[[#This Row],[Exit Date]]), "Y")</f>
        <v>4</v>
      </c>
    </row>
    <row r="184" spans="1:20" x14ac:dyDescent="0.25">
      <c r="A184" t="s">
        <v>444</v>
      </c>
      <c r="B184" t="s">
        <v>445</v>
      </c>
      <c r="C184" t="s">
        <v>86</v>
      </c>
      <c r="D184" t="s">
        <v>26</v>
      </c>
      <c r="E184" t="s">
        <v>33</v>
      </c>
      <c r="F184" t="s">
        <v>39</v>
      </c>
      <c r="G184" t="s">
        <v>20</v>
      </c>
      <c r="H184">
        <v>45</v>
      </c>
      <c r="I184" s="1">
        <v>41663</v>
      </c>
      <c r="J184" s="1" t="str">
        <f>TEXT(Employee_Sample_Data_1[[#This Row],[Hire Date]], "dddd")</f>
        <v>Friday</v>
      </c>
      <c r="K184" s="1" t="str">
        <f>TEXT(Employee_Sample_Data_1[[#This Row],[Hire Date]], "mmmm")</f>
        <v>January</v>
      </c>
      <c r="L184" s="1" t="str">
        <f>TEXT(Employee_Sample_Data_1[[#This Row],[Hire Date]], "yyyy")</f>
        <v>2014</v>
      </c>
      <c r="M184" s="2">
        <v>257725</v>
      </c>
      <c r="N184" s="3">
        <v>0.34</v>
      </c>
      <c r="O184" s="9">
        <f>PRODUCT(Employee_Sample_Data_1[[#This Row],[Annual Salary]],Employee_Sample_Data_1[[#This Row],[Bonus %]])</f>
        <v>87626.5</v>
      </c>
      <c r="P184" s="2">
        <f>ROUND(Employee_Sample_Data_1[[#This Row],[Annual Salary]]*(1+Employee_Sample_Data_1[[#This Row],[Bonus %]]), 0)</f>
        <v>345352</v>
      </c>
      <c r="Q184" t="s">
        <v>21</v>
      </c>
      <c r="R184" t="s">
        <v>41</v>
      </c>
      <c r="S184" s="1">
        <v>44741</v>
      </c>
      <c r="T184">
        <f ca="1">DATEDIF(Employee_Sample_Data_1[[#This Row],[Hire Date]], IF(Employee_Sample_Data_1[[#This Row],[Exit Date]] = "", TODAY(), Employee_Sample_Data_1[[#This Row],[Exit Date]]), "Y")</f>
        <v>8</v>
      </c>
    </row>
    <row r="185" spans="1:20" x14ac:dyDescent="0.25">
      <c r="A185" t="s">
        <v>446</v>
      </c>
      <c r="B185" t="s">
        <v>447</v>
      </c>
      <c r="C185" t="s">
        <v>80</v>
      </c>
      <c r="D185" t="s">
        <v>52</v>
      </c>
      <c r="E185" t="s">
        <v>53</v>
      </c>
      <c r="F185" t="s">
        <v>19</v>
      </c>
      <c r="G185" t="s">
        <v>40</v>
      </c>
      <c r="H185">
        <v>33</v>
      </c>
      <c r="I185" s="1">
        <v>41531</v>
      </c>
      <c r="J185" s="1" t="str">
        <f>TEXT(Employee_Sample_Data_1[[#This Row],[Hire Date]], "dddd")</f>
        <v>Saturday</v>
      </c>
      <c r="K185" s="1" t="str">
        <f>TEXT(Employee_Sample_Data_1[[#This Row],[Hire Date]], "mmmm")</f>
        <v>September</v>
      </c>
      <c r="L185" s="1" t="str">
        <f>TEXT(Employee_Sample_Data_1[[#This Row],[Hire Date]], "yyyy")</f>
        <v>2013</v>
      </c>
      <c r="M185" s="2">
        <v>122408</v>
      </c>
      <c r="N185" s="3">
        <v>0.11</v>
      </c>
      <c r="O185" s="9">
        <f>PRODUCT(Employee_Sample_Data_1[[#This Row],[Annual Salary]],Employee_Sample_Data_1[[#This Row],[Bonus %]])</f>
        <v>13464.88</v>
      </c>
      <c r="P185" s="2">
        <f>ROUND(Employee_Sample_Data_1[[#This Row],[Annual Salary]]*(1+Employee_Sample_Data_1[[#This Row],[Bonus %]]), 0)</f>
        <v>135873</v>
      </c>
      <c r="Q185" t="s">
        <v>134</v>
      </c>
      <c r="R185" t="s">
        <v>135</v>
      </c>
      <c r="T185">
        <f ca="1">DATEDIF(Employee_Sample_Data_1[[#This Row],[Hire Date]], IF(Employee_Sample_Data_1[[#This Row],[Exit Date]] = "", TODAY(), Employee_Sample_Data_1[[#This Row],[Exit Date]]), "Y")</f>
        <v>12</v>
      </c>
    </row>
    <row r="186" spans="1:20" x14ac:dyDescent="0.25">
      <c r="A186" t="s">
        <v>448</v>
      </c>
      <c r="B186" t="s">
        <v>449</v>
      </c>
      <c r="C186" t="s">
        <v>410</v>
      </c>
      <c r="D186" t="s">
        <v>17</v>
      </c>
      <c r="E186" t="s">
        <v>27</v>
      </c>
      <c r="F186" t="s">
        <v>19</v>
      </c>
      <c r="G186" t="s">
        <v>40</v>
      </c>
      <c r="H186">
        <v>62</v>
      </c>
      <c r="I186" s="1">
        <v>34799</v>
      </c>
      <c r="J186" s="1" t="str">
        <f>TEXT(Employee_Sample_Data_1[[#This Row],[Hire Date]], "dddd")</f>
        <v>Monday</v>
      </c>
      <c r="K186" s="1" t="str">
        <f>TEXT(Employee_Sample_Data_1[[#This Row],[Hire Date]], "mmmm")</f>
        <v>April</v>
      </c>
      <c r="L186" s="1" t="str">
        <f>TEXT(Employee_Sample_Data_1[[#This Row],[Hire Date]], "yyyy")</f>
        <v>1995</v>
      </c>
      <c r="M186" s="2">
        <v>78251</v>
      </c>
      <c r="N186" s="3">
        <v>0</v>
      </c>
      <c r="O186" s="9">
        <f>PRODUCT(Employee_Sample_Data_1[[#This Row],[Annual Salary]],Employee_Sample_Data_1[[#This Row],[Bonus %]])</f>
        <v>0</v>
      </c>
      <c r="P186" s="2">
        <f>ROUND(Employee_Sample_Data_1[[#This Row],[Annual Salary]]*(1+Employee_Sample_Data_1[[#This Row],[Bonus %]]), 0)</f>
        <v>78251</v>
      </c>
      <c r="Q186" t="s">
        <v>134</v>
      </c>
      <c r="R186" t="s">
        <v>180</v>
      </c>
      <c r="S186" s="1">
        <v>43909</v>
      </c>
      <c r="T186">
        <f ca="1">DATEDIF(Employee_Sample_Data_1[[#This Row],[Hire Date]], IF(Employee_Sample_Data_1[[#This Row],[Exit Date]] = "", TODAY(), Employee_Sample_Data_1[[#This Row],[Exit Date]]), "Y")</f>
        <v>24</v>
      </c>
    </row>
    <row r="187" spans="1:20" x14ac:dyDescent="0.25">
      <c r="A187" t="s">
        <v>450</v>
      </c>
      <c r="B187" t="s">
        <v>451</v>
      </c>
      <c r="C187" t="s">
        <v>86</v>
      </c>
      <c r="D187" t="s">
        <v>26</v>
      </c>
      <c r="E187" t="s">
        <v>27</v>
      </c>
      <c r="F187" t="s">
        <v>39</v>
      </c>
      <c r="G187" t="s">
        <v>20</v>
      </c>
      <c r="H187">
        <v>43</v>
      </c>
      <c r="I187" s="1">
        <v>38109</v>
      </c>
      <c r="J187" s="1" t="str">
        <f>TEXT(Employee_Sample_Data_1[[#This Row],[Hire Date]], "dddd")</f>
        <v>Sunday</v>
      </c>
      <c r="K187" s="1" t="str">
        <f>TEXT(Employee_Sample_Data_1[[#This Row],[Hire Date]], "mmmm")</f>
        <v>May</v>
      </c>
      <c r="L187" s="1" t="str">
        <f>TEXT(Employee_Sample_Data_1[[#This Row],[Hire Date]], "yyyy")</f>
        <v>2004</v>
      </c>
      <c r="M187" s="2">
        <v>252938</v>
      </c>
      <c r="N187" s="3">
        <v>0.35</v>
      </c>
      <c r="O187" s="9">
        <f>PRODUCT(Employee_Sample_Data_1[[#This Row],[Annual Salary]],Employee_Sample_Data_1[[#This Row],[Bonus %]])</f>
        <v>88528.299999999988</v>
      </c>
      <c r="P187" s="2">
        <f>ROUND(Employee_Sample_Data_1[[#This Row],[Annual Salary]]*(1+Employee_Sample_Data_1[[#This Row],[Bonus %]]), 0)</f>
        <v>341466</v>
      </c>
      <c r="Q187" t="s">
        <v>21</v>
      </c>
      <c r="R187" t="s">
        <v>45</v>
      </c>
      <c r="T187">
        <f ca="1">DATEDIF(Employee_Sample_Data_1[[#This Row],[Hire Date]], IF(Employee_Sample_Data_1[[#This Row],[Exit Date]] = "", TODAY(), Employee_Sample_Data_1[[#This Row],[Exit Date]]), "Y")</f>
        <v>22</v>
      </c>
    </row>
    <row r="188" spans="1:20" x14ac:dyDescent="0.25">
      <c r="A188" t="s">
        <v>452</v>
      </c>
      <c r="B188" t="s">
        <v>453</v>
      </c>
      <c r="C188" t="s">
        <v>51</v>
      </c>
      <c r="D188" t="s">
        <v>26</v>
      </c>
      <c r="E188" t="s">
        <v>18</v>
      </c>
      <c r="F188" t="s">
        <v>19</v>
      </c>
      <c r="G188" t="s">
        <v>81</v>
      </c>
      <c r="H188">
        <v>48</v>
      </c>
      <c r="I188" s="1">
        <v>43766</v>
      </c>
      <c r="J188" s="1" t="str">
        <f>TEXT(Employee_Sample_Data_1[[#This Row],[Hire Date]], "dddd")</f>
        <v>Monday</v>
      </c>
      <c r="K188" s="1" t="str">
        <f>TEXT(Employee_Sample_Data_1[[#This Row],[Hire Date]], "mmmm")</f>
        <v>October</v>
      </c>
      <c r="L188" s="1" t="str">
        <f>TEXT(Employee_Sample_Data_1[[#This Row],[Hire Date]], "yyyy")</f>
        <v>2019</v>
      </c>
      <c r="M188" s="2">
        <v>90296</v>
      </c>
      <c r="N188" s="3">
        <v>0</v>
      </c>
      <c r="O188" s="9">
        <f>PRODUCT(Employee_Sample_Data_1[[#This Row],[Annual Salary]],Employee_Sample_Data_1[[#This Row],[Bonus %]])</f>
        <v>0</v>
      </c>
      <c r="P188" s="2">
        <f>ROUND(Employee_Sample_Data_1[[#This Row],[Annual Salary]]*(1+Employee_Sample_Data_1[[#This Row],[Bonus %]]), 0)</f>
        <v>90296</v>
      </c>
      <c r="Q188" t="s">
        <v>21</v>
      </c>
      <c r="R188" t="s">
        <v>45</v>
      </c>
      <c r="T188">
        <f ca="1">DATEDIF(Employee_Sample_Data_1[[#This Row],[Hire Date]], IF(Employee_Sample_Data_1[[#This Row],[Exit Date]] = "", TODAY(), Employee_Sample_Data_1[[#This Row],[Exit Date]]), "Y")</f>
        <v>6</v>
      </c>
    </row>
    <row r="189" spans="1:20" x14ac:dyDescent="0.25">
      <c r="A189" t="s">
        <v>454</v>
      </c>
      <c r="B189" t="s">
        <v>455</v>
      </c>
      <c r="C189" t="s">
        <v>51</v>
      </c>
      <c r="D189" t="s">
        <v>58</v>
      </c>
      <c r="E189" t="s">
        <v>27</v>
      </c>
      <c r="F189" t="s">
        <v>19</v>
      </c>
      <c r="G189" t="s">
        <v>20</v>
      </c>
      <c r="H189">
        <v>42</v>
      </c>
      <c r="I189" s="1">
        <v>41387</v>
      </c>
      <c r="J189" s="1" t="str">
        <f>TEXT(Employee_Sample_Data_1[[#This Row],[Hire Date]], "dddd")</f>
        <v>Tuesday</v>
      </c>
      <c r="K189" s="1" t="str">
        <f>TEXT(Employee_Sample_Data_1[[#This Row],[Hire Date]], "mmmm")</f>
        <v>April</v>
      </c>
      <c r="L189" s="1" t="str">
        <f>TEXT(Employee_Sample_Data_1[[#This Row],[Hire Date]], "yyyy")</f>
        <v>2013</v>
      </c>
      <c r="M189" s="2">
        <v>91689</v>
      </c>
      <c r="N189" s="3">
        <v>0</v>
      </c>
      <c r="O189" s="9">
        <f>PRODUCT(Employee_Sample_Data_1[[#This Row],[Annual Salary]],Employee_Sample_Data_1[[#This Row],[Bonus %]])</f>
        <v>0</v>
      </c>
      <c r="P189" s="2">
        <f>ROUND(Employee_Sample_Data_1[[#This Row],[Annual Salary]]*(1+Employee_Sample_Data_1[[#This Row],[Bonus %]]), 0)</f>
        <v>91689</v>
      </c>
      <c r="Q189" t="s">
        <v>34</v>
      </c>
      <c r="R189" t="s">
        <v>54</v>
      </c>
      <c r="T189">
        <f ca="1">DATEDIF(Employee_Sample_Data_1[[#This Row],[Hire Date]], IF(Employee_Sample_Data_1[[#This Row],[Exit Date]] = "", TODAY(), Employee_Sample_Data_1[[#This Row],[Exit Date]]), "Y")</f>
        <v>13</v>
      </c>
    </row>
    <row r="190" spans="1:20" x14ac:dyDescent="0.25">
      <c r="A190" t="s">
        <v>456</v>
      </c>
      <c r="B190" t="s">
        <v>457</v>
      </c>
      <c r="C190" t="s">
        <v>80</v>
      </c>
      <c r="D190" t="s">
        <v>58</v>
      </c>
      <c r="E190" t="s">
        <v>27</v>
      </c>
      <c r="F190" t="s">
        <v>19</v>
      </c>
      <c r="G190" t="s">
        <v>20</v>
      </c>
      <c r="H190">
        <v>49</v>
      </c>
      <c r="I190" s="1">
        <v>36516</v>
      </c>
      <c r="J190" s="1" t="str">
        <f>TEXT(Employee_Sample_Data_1[[#This Row],[Hire Date]], "dddd")</f>
        <v>Wednesday</v>
      </c>
      <c r="K190" s="1" t="str">
        <f>TEXT(Employee_Sample_Data_1[[#This Row],[Hire Date]], "mmmm")</f>
        <v>December</v>
      </c>
      <c r="L190" s="1" t="str">
        <f>TEXT(Employee_Sample_Data_1[[#This Row],[Hire Date]], "yyyy")</f>
        <v>1999</v>
      </c>
      <c r="M190" s="2">
        <v>158028</v>
      </c>
      <c r="N190" s="3">
        <v>0.12</v>
      </c>
      <c r="O190" s="9">
        <f>PRODUCT(Employee_Sample_Data_1[[#This Row],[Annual Salary]],Employee_Sample_Data_1[[#This Row],[Bonus %]])</f>
        <v>18963.36</v>
      </c>
      <c r="P190" s="2">
        <f>ROUND(Employee_Sample_Data_1[[#This Row],[Annual Salary]]*(1+Employee_Sample_Data_1[[#This Row],[Bonus %]]), 0)</f>
        <v>176991</v>
      </c>
      <c r="Q190" t="s">
        <v>34</v>
      </c>
      <c r="R190" t="s">
        <v>59</v>
      </c>
      <c r="T190">
        <f ca="1">DATEDIF(Employee_Sample_Data_1[[#This Row],[Hire Date]], IF(Employee_Sample_Data_1[[#This Row],[Exit Date]] = "", TODAY(), Employee_Sample_Data_1[[#This Row],[Exit Date]]), "Y")</f>
        <v>26</v>
      </c>
    </row>
    <row r="191" spans="1:20" x14ac:dyDescent="0.25">
      <c r="A191" t="s">
        <v>458</v>
      </c>
      <c r="B191" t="s">
        <v>459</v>
      </c>
      <c r="C191" t="s">
        <v>402</v>
      </c>
      <c r="D191" t="s">
        <v>26</v>
      </c>
      <c r="E191" t="s">
        <v>27</v>
      </c>
      <c r="F191" t="s">
        <v>19</v>
      </c>
      <c r="G191" t="s">
        <v>20</v>
      </c>
      <c r="H191">
        <v>33</v>
      </c>
      <c r="I191" s="1">
        <v>44769</v>
      </c>
      <c r="J191" s="1" t="str">
        <f>TEXT(Employee_Sample_Data_1[[#This Row],[Hire Date]], "dddd")</f>
        <v>Wednesday</v>
      </c>
      <c r="K191" s="1" t="str">
        <f>TEXT(Employee_Sample_Data_1[[#This Row],[Hire Date]], "mmmm")</f>
        <v>July</v>
      </c>
      <c r="L191" s="1" t="str">
        <f>TEXT(Employee_Sample_Data_1[[#This Row],[Hire Date]], "yyyy")</f>
        <v>2022</v>
      </c>
      <c r="M191" s="2">
        <v>89759</v>
      </c>
      <c r="N191" s="3">
        <v>0</v>
      </c>
      <c r="O191" s="9">
        <f>PRODUCT(Employee_Sample_Data_1[[#This Row],[Annual Salary]],Employee_Sample_Data_1[[#This Row],[Bonus %]])</f>
        <v>0</v>
      </c>
      <c r="P191" s="2">
        <f>ROUND(Employee_Sample_Data_1[[#This Row],[Annual Salary]]*(1+Employee_Sample_Data_1[[#This Row],[Bonus %]]), 0)</f>
        <v>89759</v>
      </c>
      <c r="Q191" t="s">
        <v>34</v>
      </c>
      <c r="R191" t="s">
        <v>54</v>
      </c>
      <c r="T191">
        <f ca="1">DATEDIF(Employee_Sample_Data_1[[#This Row],[Hire Date]], IF(Employee_Sample_Data_1[[#This Row],[Exit Date]] = "", TODAY(), Employee_Sample_Data_1[[#This Row],[Exit Date]]), "Y")</f>
        <v>3</v>
      </c>
    </row>
    <row r="192" spans="1:20" x14ac:dyDescent="0.25">
      <c r="A192" t="s">
        <v>460</v>
      </c>
      <c r="B192" t="s">
        <v>461</v>
      </c>
      <c r="C192" t="s">
        <v>98</v>
      </c>
      <c r="D192" t="s">
        <v>32</v>
      </c>
      <c r="E192" t="s">
        <v>33</v>
      </c>
      <c r="F192" t="s">
        <v>39</v>
      </c>
      <c r="G192" t="s">
        <v>20</v>
      </c>
      <c r="H192">
        <v>39</v>
      </c>
      <c r="I192" s="1">
        <v>42260</v>
      </c>
      <c r="J192" s="1" t="str">
        <f>TEXT(Employee_Sample_Data_1[[#This Row],[Hire Date]], "dddd")</f>
        <v>Sunday</v>
      </c>
      <c r="K192" s="1" t="str">
        <f>TEXT(Employee_Sample_Data_1[[#This Row],[Hire Date]], "mmmm")</f>
        <v>September</v>
      </c>
      <c r="L192" s="1" t="str">
        <f>TEXT(Employee_Sample_Data_1[[#This Row],[Hire Date]], "yyyy")</f>
        <v>2015</v>
      </c>
      <c r="M192" s="2">
        <v>78640</v>
      </c>
      <c r="N192" s="3">
        <v>0</v>
      </c>
      <c r="O192" s="9">
        <f>PRODUCT(Employee_Sample_Data_1[[#This Row],[Annual Salary]],Employee_Sample_Data_1[[#This Row],[Bonus %]])</f>
        <v>0</v>
      </c>
      <c r="P192" s="2">
        <f>ROUND(Employee_Sample_Data_1[[#This Row],[Annual Salary]]*(1+Employee_Sample_Data_1[[#This Row],[Bonus %]]), 0)</f>
        <v>78640</v>
      </c>
      <c r="Q192" t="s">
        <v>34</v>
      </c>
      <c r="R192" t="s">
        <v>54</v>
      </c>
      <c r="T192">
        <f ca="1">DATEDIF(Employee_Sample_Data_1[[#This Row],[Hire Date]], IF(Employee_Sample_Data_1[[#This Row],[Exit Date]] = "", TODAY(), Employee_Sample_Data_1[[#This Row],[Exit Date]]), "Y")</f>
        <v>10</v>
      </c>
    </row>
    <row r="193" spans="1:20" x14ac:dyDescent="0.25">
      <c r="A193" t="s">
        <v>462</v>
      </c>
      <c r="B193" t="s">
        <v>463</v>
      </c>
      <c r="C193" t="s">
        <v>25</v>
      </c>
      <c r="D193" t="s">
        <v>58</v>
      </c>
      <c r="E193" t="s">
        <v>53</v>
      </c>
      <c r="F193" t="s">
        <v>39</v>
      </c>
      <c r="G193" t="s">
        <v>20</v>
      </c>
      <c r="H193">
        <v>51</v>
      </c>
      <c r="I193" s="1">
        <v>38363</v>
      </c>
      <c r="J193" s="1" t="str">
        <f>TEXT(Employee_Sample_Data_1[[#This Row],[Hire Date]], "dddd")</f>
        <v>Tuesday</v>
      </c>
      <c r="K193" s="1" t="str">
        <f>TEXT(Employee_Sample_Data_1[[#This Row],[Hire Date]], "mmmm")</f>
        <v>January</v>
      </c>
      <c r="L193" s="1" t="str">
        <f>TEXT(Employee_Sample_Data_1[[#This Row],[Hire Date]], "yyyy")</f>
        <v>2005</v>
      </c>
      <c r="M193" s="2">
        <v>55368</v>
      </c>
      <c r="N193" s="3">
        <v>0</v>
      </c>
      <c r="O193" s="9">
        <f>PRODUCT(Employee_Sample_Data_1[[#This Row],[Annual Salary]],Employee_Sample_Data_1[[#This Row],[Bonus %]])</f>
        <v>0</v>
      </c>
      <c r="P193" s="2">
        <f>ROUND(Employee_Sample_Data_1[[#This Row],[Annual Salary]]*(1+Employee_Sample_Data_1[[#This Row],[Bonus %]]), 0)</f>
        <v>55368</v>
      </c>
      <c r="Q193" t="s">
        <v>21</v>
      </c>
      <c r="R193" t="s">
        <v>28</v>
      </c>
      <c r="T193">
        <f ca="1">DATEDIF(Employee_Sample_Data_1[[#This Row],[Hire Date]], IF(Employee_Sample_Data_1[[#This Row],[Exit Date]] = "", TODAY(), Employee_Sample_Data_1[[#This Row],[Exit Date]]), "Y")</f>
        <v>21</v>
      </c>
    </row>
    <row r="194" spans="1:20" x14ac:dyDescent="0.25">
      <c r="A194" t="s">
        <v>464</v>
      </c>
      <c r="B194" t="s">
        <v>465</v>
      </c>
      <c r="C194" t="s">
        <v>31</v>
      </c>
      <c r="D194" t="s">
        <v>32</v>
      </c>
      <c r="E194" t="s">
        <v>53</v>
      </c>
      <c r="F194" t="s">
        <v>39</v>
      </c>
      <c r="G194" t="s">
        <v>63</v>
      </c>
      <c r="H194">
        <v>49</v>
      </c>
      <c r="I194" s="1">
        <v>44339</v>
      </c>
      <c r="J194" s="1" t="str">
        <f>TEXT(Employee_Sample_Data_1[[#This Row],[Hire Date]], "dddd")</f>
        <v>Sunday</v>
      </c>
      <c r="K194" s="1" t="str">
        <f>TEXT(Employee_Sample_Data_1[[#This Row],[Hire Date]], "mmmm")</f>
        <v>May</v>
      </c>
      <c r="L194" s="1" t="str">
        <f>TEXT(Employee_Sample_Data_1[[#This Row],[Hire Date]], "yyyy")</f>
        <v>2021</v>
      </c>
      <c r="M194" s="2">
        <v>78164</v>
      </c>
      <c r="N194" s="3">
        <v>0</v>
      </c>
      <c r="O194" s="9">
        <f>PRODUCT(Employee_Sample_Data_1[[#This Row],[Annual Salary]],Employee_Sample_Data_1[[#This Row],[Bonus %]])</f>
        <v>0</v>
      </c>
      <c r="P194" s="2">
        <f>ROUND(Employee_Sample_Data_1[[#This Row],[Annual Salary]]*(1+Employee_Sample_Data_1[[#This Row],[Bonus %]]), 0)</f>
        <v>78164</v>
      </c>
      <c r="Q194" t="s">
        <v>21</v>
      </c>
      <c r="R194" t="s">
        <v>41</v>
      </c>
      <c r="T194">
        <f ca="1">DATEDIF(Employee_Sample_Data_1[[#This Row],[Hire Date]], IF(Employee_Sample_Data_1[[#This Row],[Exit Date]] = "", TODAY(), Employee_Sample_Data_1[[#This Row],[Exit Date]]), "Y")</f>
        <v>5</v>
      </c>
    </row>
    <row r="195" spans="1:20" x14ac:dyDescent="0.25">
      <c r="A195" t="s">
        <v>466</v>
      </c>
      <c r="B195" t="s">
        <v>467</v>
      </c>
      <c r="C195" t="s">
        <v>51</v>
      </c>
      <c r="D195" t="s">
        <v>77</v>
      </c>
      <c r="E195" t="s">
        <v>33</v>
      </c>
      <c r="F195" t="s">
        <v>19</v>
      </c>
      <c r="G195" t="s">
        <v>20</v>
      </c>
      <c r="H195">
        <v>30</v>
      </c>
      <c r="I195" s="1">
        <v>43965</v>
      </c>
      <c r="J195" s="1" t="str">
        <f>TEXT(Employee_Sample_Data_1[[#This Row],[Hire Date]], "dddd")</f>
        <v>Thursday</v>
      </c>
      <c r="K195" s="1" t="str">
        <f>TEXT(Employee_Sample_Data_1[[#This Row],[Hire Date]], "mmmm")</f>
        <v>May</v>
      </c>
      <c r="L195" s="1" t="str">
        <f>TEXT(Employee_Sample_Data_1[[#This Row],[Hire Date]], "yyyy")</f>
        <v>2020</v>
      </c>
      <c r="M195" s="2">
        <v>76014</v>
      </c>
      <c r="N195" s="3">
        <v>0</v>
      </c>
      <c r="O195" s="9">
        <f>PRODUCT(Employee_Sample_Data_1[[#This Row],[Annual Salary]],Employee_Sample_Data_1[[#This Row],[Bonus %]])</f>
        <v>0</v>
      </c>
      <c r="P195" s="2">
        <f>ROUND(Employee_Sample_Data_1[[#This Row],[Annual Salary]]*(1+Employee_Sample_Data_1[[#This Row],[Bonus %]]), 0)</f>
        <v>76014</v>
      </c>
      <c r="Q195" t="s">
        <v>34</v>
      </c>
      <c r="R195" t="s">
        <v>59</v>
      </c>
      <c r="T195">
        <f ca="1">DATEDIF(Employee_Sample_Data_1[[#This Row],[Hire Date]], IF(Employee_Sample_Data_1[[#This Row],[Exit Date]] = "", TODAY(), Employee_Sample_Data_1[[#This Row],[Exit Date]]), "Y")</f>
        <v>6</v>
      </c>
    </row>
    <row r="196" spans="1:20" x14ac:dyDescent="0.25">
      <c r="A196" t="s">
        <v>468</v>
      </c>
      <c r="B196" t="s">
        <v>469</v>
      </c>
      <c r="C196" t="s">
        <v>101</v>
      </c>
      <c r="D196" t="s">
        <v>26</v>
      </c>
      <c r="E196" t="s">
        <v>18</v>
      </c>
      <c r="F196" t="s">
        <v>39</v>
      </c>
      <c r="G196" t="s">
        <v>40</v>
      </c>
      <c r="H196">
        <v>41</v>
      </c>
      <c r="I196" s="1">
        <v>42321</v>
      </c>
      <c r="J196" s="1" t="str">
        <f>TEXT(Employee_Sample_Data_1[[#This Row],[Hire Date]], "dddd")</f>
        <v>Friday</v>
      </c>
      <c r="K196" s="1" t="str">
        <f>TEXT(Employee_Sample_Data_1[[#This Row],[Hire Date]], "mmmm")</f>
        <v>November</v>
      </c>
      <c r="L196" s="1" t="str">
        <f>TEXT(Employee_Sample_Data_1[[#This Row],[Hire Date]], "yyyy")</f>
        <v>2015</v>
      </c>
      <c r="M196" s="2">
        <v>61403</v>
      </c>
      <c r="N196" s="3">
        <v>0</v>
      </c>
      <c r="O196" s="9">
        <f>PRODUCT(Employee_Sample_Data_1[[#This Row],[Annual Salary]],Employee_Sample_Data_1[[#This Row],[Bonus %]])</f>
        <v>0</v>
      </c>
      <c r="P196" s="2">
        <f>ROUND(Employee_Sample_Data_1[[#This Row],[Annual Salary]]*(1+Employee_Sample_Data_1[[#This Row],[Bonus %]]), 0)</f>
        <v>61403</v>
      </c>
      <c r="Q196" t="s">
        <v>21</v>
      </c>
      <c r="R196" t="s">
        <v>67</v>
      </c>
      <c r="T196">
        <f ca="1">DATEDIF(Employee_Sample_Data_1[[#This Row],[Hire Date]], IF(Employee_Sample_Data_1[[#This Row],[Exit Date]] = "", TODAY(), Employee_Sample_Data_1[[#This Row],[Exit Date]]), "Y")</f>
        <v>10</v>
      </c>
    </row>
    <row r="197" spans="1:20" x14ac:dyDescent="0.25">
      <c r="A197" t="s">
        <v>470</v>
      </c>
      <c r="B197" t="s">
        <v>471</v>
      </c>
      <c r="C197" t="s">
        <v>98</v>
      </c>
      <c r="D197" t="s">
        <v>32</v>
      </c>
      <c r="E197" t="s">
        <v>33</v>
      </c>
      <c r="F197" t="s">
        <v>19</v>
      </c>
      <c r="G197" t="s">
        <v>81</v>
      </c>
      <c r="H197">
        <v>58</v>
      </c>
      <c r="I197" s="1">
        <v>40529</v>
      </c>
      <c r="J197" s="1" t="str">
        <f>TEXT(Employee_Sample_Data_1[[#This Row],[Hire Date]], "dddd")</f>
        <v>Friday</v>
      </c>
      <c r="K197" s="1" t="str">
        <f>TEXT(Employee_Sample_Data_1[[#This Row],[Hire Date]], "mmmm")</f>
        <v>December</v>
      </c>
      <c r="L197" s="1" t="str">
        <f>TEXT(Employee_Sample_Data_1[[#This Row],[Hire Date]], "yyyy")</f>
        <v>2010</v>
      </c>
      <c r="M197" s="2">
        <v>80720</v>
      </c>
      <c r="N197" s="3">
        <v>0</v>
      </c>
      <c r="O197" s="9">
        <f>PRODUCT(Employee_Sample_Data_1[[#This Row],[Annual Salary]],Employee_Sample_Data_1[[#This Row],[Bonus %]])</f>
        <v>0</v>
      </c>
      <c r="P197" s="2">
        <f>ROUND(Employee_Sample_Data_1[[#This Row],[Annual Salary]]*(1+Employee_Sample_Data_1[[#This Row],[Bonus %]]), 0)</f>
        <v>80720</v>
      </c>
      <c r="Q197" t="s">
        <v>21</v>
      </c>
      <c r="R197" t="s">
        <v>22</v>
      </c>
      <c r="T197">
        <f ca="1">DATEDIF(Employee_Sample_Data_1[[#This Row],[Hire Date]], IF(Employee_Sample_Data_1[[#This Row],[Exit Date]] = "", TODAY(), Employee_Sample_Data_1[[#This Row],[Exit Date]]), "Y")</f>
        <v>15</v>
      </c>
    </row>
    <row r="198" spans="1:20" x14ac:dyDescent="0.25">
      <c r="A198" t="s">
        <v>472</v>
      </c>
      <c r="B198" t="s">
        <v>473</v>
      </c>
      <c r="C198" t="s">
        <v>62</v>
      </c>
      <c r="D198" t="s">
        <v>32</v>
      </c>
      <c r="E198" t="s">
        <v>53</v>
      </c>
      <c r="F198" t="s">
        <v>19</v>
      </c>
      <c r="G198" t="s">
        <v>20</v>
      </c>
      <c r="H198">
        <v>55</v>
      </c>
      <c r="I198" s="1">
        <v>39809</v>
      </c>
      <c r="J198" s="1" t="str">
        <f>TEXT(Employee_Sample_Data_1[[#This Row],[Hire Date]], "dddd")</f>
        <v>Saturday</v>
      </c>
      <c r="K198" s="1" t="str">
        <f>TEXT(Employee_Sample_Data_1[[#This Row],[Hire Date]], "mmmm")</f>
        <v>December</v>
      </c>
      <c r="L198" s="1" t="str">
        <f>TEXT(Employee_Sample_Data_1[[#This Row],[Hire Date]], "yyyy")</f>
        <v>2008</v>
      </c>
      <c r="M198" s="2">
        <v>94026</v>
      </c>
      <c r="N198" s="3">
        <v>0</v>
      </c>
      <c r="O198" s="9">
        <f>PRODUCT(Employee_Sample_Data_1[[#This Row],[Annual Salary]],Employee_Sample_Data_1[[#This Row],[Bonus %]])</f>
        <v>0</v>
      </c>
      <c r="P198" s="2">
        <f>ROUND(Employee_Sample_Data_1[[#This Row],[Annual Salary]]*(1+Employee_Sample_Data_1[[#This Row],[Bonus %]]), 0)</f>
        <v>94026</v>
      </c>
      <c r="Q198" t="s">
        <v>34</v>
      </c>
      <c r="R198" t="s">
        <v>35</v>
      </c>
      <c r="T198">
        <f ca="1">DATEDIF(Employee_Sample_Data_1[[#This Row],[Hire Date]], IF(Employee_Sample_Data_1[[#This Row],[Exit Date]] = "", TODAY(), Employee_Sample_Data_1[[#This Row],[Exit Date]]), "Y")</f>
        <v>17</v>
      </c>
    </row>
    <row r="199" spans="1:20" x14ac:dyDescent="0.25">
      <c r="A199" t="s">
        <v>474</v>
      </c>
      <c r="B199" t="s">
        <v>475</v>
      </c>
      <c r="C199" t="s">
        <v>25</v>
      </c>
      <c r="D199" t="s">
        <v>77</v>
      </c>
      <c r="E199" t="s">
        <v>33</v>
      </c>
      <c r="F199" t="s">
        <v>39</v>
      </c>
      <c r="G199" t="s">
        <v>20</v>
      </c>
      <c r="H199">
        <v>40</v>
      </c>
      <c r="I199" s="1">
        <v>42435</v>
      </c>
      <c r="J199" s="1" t="str">
        <f>TEXT(Employee_Sample_Data_1[[#This Row],[Hire Date]], "dddd")</f>
        <v>Sunday</v>
      </c>
      <c r="K199" s="1" t="str">
        <f>TEXT(Employee_Sample_Data_1[[#This Row],[Hire Date]], "mmmm")</f>
        <v>March</v>
      </c>
      <c r="L199" s="1" t="str">
        <f>TEXT(Employee_Sample_Data_1[[#This Row],[Hire Date]], "yyyy")</f>
        <v>2016</v>
      </c>
      <c r="M199" s="2">
        <v>56963</v>
      </c>
      <c r="N199" s="3">
        <v>0</v>
      </c>
      <c r="O199" s="9">
        <f>PRODUCT(Employee_Sample_Data_1[[#This Row],[Annual Salary]],Employee_Sample_Data_1[[#This Row],[Bonus %]])</f>
        <v>0</v>
      </c>
      <c r="P199" s="2">
        <f>ROUND(Employee_Sample_Data_1[[#This Row],[Annual Salary]]*(1+Employee_Sample_Data_1[[#This Row],[Bonus %]]), 0)</f>
        <v>56963</v>
      </c>
      <c r="Q199" t="s">
        <v>21</v>
      </c>
      <c r="R199" t="s">
        <v>28</v>
      </c>
      <c r="T199">
        <f ca="1">DATEDIF(Employee_Sample_Data_1[[#This Row],[Hire Date]], IF(Employee_Sample_Data_1[[#This Row],[Exit Date]] = "", TODAY(), Employee_Sample_Data_1[[#This Row],[Exit Date]]), "Y")</f>
        <v>10</v>
      </c>
    </row>
    <row r="200" spans="1:20" x14ac:dyDescent="0.25">
      <c r="A200" t="s">
        <v>476</v>
      </c>
      <c r="B200" t="s">
        <v>477</v>
      </c>
      <c r="C200" t="s">
        <v>66</v>
      </c>
      <c r="D200" t="s">
        <v>58</v>
      </c>
      <c r="E200" t="s">
        <v>53</v>
      </c>
      <c r="F200" t="s">
        <v>19</v>
      </c>
      <c r="G200" t="s">
        <v>40</v>
      </c>
      <c r="H200">
        <v>41</v>
      </c>
      <c r="I200" s="1">
        <v>41647</v>
      </c>
      <c r="J200" s="1" t="str">
        <f>TEXT(Employee_Sample_Data_1[[#This Row],[Hire Date]], "dddd")</f>
        <v>Wednesday</v>
      </c>
      <c r="K200" s="1" t="str">
        <f>TEXT(Employee_Sample_Data_1[[#This Row],[Hire Date]], "mmmm")</f>
        <v>January</v>
      </c>
      <c r="L200" s="1" t="str">
        <f>TEXT(Employee_Sample_Data_1[[#This Row],[Hire Date]], "yyyy")</f>
        <v>2014</v>
      </c>
      <c r="M200" s="2">
        <v>113246</v>
      </c>
      <c r="N200" s="3">
        <v>0.06</v>
      </c>
      <c r="O200" s="9">
        <f>PRODUCT(Employee_Sample_Data_1[[#This Row],[Annual Salary]],Employee_Sample_Data_1[[#This Row],[Bonus %]])</f>
        <v>6794.7599999999993</v>
      </c>
      <c r="P200" s="2">
        <f>ROUND(Employee_Sample_Data_1[[#This Row],[Annual Salary]]*(1+Employee_Sample_Data_1[[#This Row],[Bonus %]]), 0)</f>
        <v>120041</v>
      </c>
      <c r="Q200" t="s">
        <v>21</v>
      </c>
      <c r="R200" t="s">
        <v>28</v>
      </c>
      <c r="T200">
        <f ca="1">DATEDIF(Employee_Sample_Data_1[[#This Row],[Hire Date]], IF(Employee_Sample_Data_1[[#This Row],[Exit Date]] = "", TODAY(), Employee_Sample_Data_1[[#This Row],[Exit Date]]), "Y")</f>
        <v>12</v>
      </c>
    </row>
    <row r="201" spans="1:20" x14ac:dyDescent="0.25">
      <c r="A201" t="s">
        <v>478</v>
      </c>
      <c r="B201" t="s">
        <v>479</v>
      </c>
      <c r="C201" t="s">
        <v>289</v>
      </c>
      <c r="D201" t="s">
        <v>17</v>
      </c>
      <c r="E201" t="s">
        <v>33</v>
      </c>
      <c r="F201" t="s">
        <v>19</v>
      </c>
      <c r="G201" t="s">
        <v>63</v>
      </c>
      <c r="H201">
        <v>45</v>
      </c>
      <c r="I201" s="1">
        <v>38573</v>
      </c>
      <c r="J201" s="1" t="str">
        <f>TEXT(Employee_Sample_Data_1[[#This Row],[Hire Date]], "dddd")</f>
        <v>Tuesday</v>
      </c>
      <c r="K201" s="1" t="str">
        <f>TEXT(Employee_Sample_Data_1[[#This Row],[Hire Date]], "mmmm")</f>
        <v>August</v>
      </c>
      <c r="L201" s="1" t="str">
        <f>TEXT(Employee_Sample_Data_1[[#This Row],[Hire Date]], "yyyy")</f>
        <v>2005</v>
      </c>
      <c r="M201" s="2">
        <v>76416</v>
      </c>
      <c r="N201" s="3">
        <v>0</v>
      </c>
      <c r="O201" s="9">
        <f>PRODUCT(Employee_Sample_Data_1[[#This Row],[Annual Salary]],Employee_Sample_Data_1[[#This Row],[Bonus %]])</f>
        <v>0</v>
      </c>
      <c r="P201" s="2">
        <f>ROUND(Employee_Sample_Data_1[[#This Row],[Annual Salary]]*(1+Employee_Sample_Data_1[[#This Row],[Bonus %]]), 0)</f>
        <v>76416</v>
      </c>
      <c r="Q201" t="s">
        <v>21</v>
      </c>
      <c r="R201" t="s">
        <v>48</v>
      </c>
      <c r="T201">
        <f ca="1">DATEDIF(Employee_Sample_Data_1[[#This Row],[Hire Date]], IF(Employee_Sample_Data_1[[#This Row],[Exit Date]] = "", TODAY(), Employee_Sample_Data_1[[#This Row],[Exit Date]]), "Y")</f>
        <v>20</v>
      </c>
    </row>
    <row r="202" spans="1:20" x14ac:dyDescent="0.25">
      <c r="A202" t="s">
        <v>480</v>
      </c>
      <c r="B202" t="s">
        <v>481</v>
      </c>
      <c r="C202" t="s">
        <v>51</v>
      </c>
      <c r="D202" t="s">
        <v>52</v>
      </c>
      <c r="E202" t="s">
        <v>27</v>
      </c>
      <c r="F202" t="s">
        <v>19</v>
      </c>
      <c r="G202" t="s">
        <v>40</v>
      </c>
      <c r="H202">
        <v>57</v>
      </c>
      <c r="I202" s="1">
        <v>40272</v>
      </c>
      <c r="J202" s="1" t="str">
        <f>TEXT(Employee_Sample_Data_1[[#This Row],[Hire Date]], "dddd")</f>
        <v>Sunday</v>
      </c>
      <c r="K202" s="1" t="str">
        <f>TEXT(Employee_Sample_Data_1[[#This Row],[Hire Date]], "mmmm")</f>
        <v>April</v>
      </c>
      <c r="L202" s="1" t="str">
        <f>TEXT(Employee_Sample_Data_1[[#This Row],[Hire Date]], "yyyy")</f>
        <v>2010</v>
      </c>
      <c r="M202" s="2">
        <v>74597</v>
      </c>
      <c r="N202" s="3">
        <v>0</v>
      </c>
      <c r="O202" s="9">
        <f>PRODUCT(Employee_Sample_Data_1[[#This Row],[Annual Salary]],Employee_Sample_Data_1[[#This Row],[Bonus %]])</f>
        <v>0</v>
      </c>
      <c r="P202" s="2">
        <f>ROUND(Employee_Sample_Data_1[[#This Row],[Annual Salary]]*(1+Employee_Sample_Data_1[[#This Row],[Bonus %]]), 0)</f>
        <v>74597</v>
      </c>
      <c r="Q202" t="s">
        <v>21</v>
      </c>
      <c r="R202" t="s">
        <v>45</v>
      </c>
      <c r="S202" s="1">
        <v>42399</v>
      </c>
      <c r="T202">
        <f ca="1">DATEDIF(Employee_Sample_Data_1[[#This Row],[Hire Date]], IF(Employee_Sample_Data_1[[#This Row],[Exit Date]] = "", TODAY(), Employee_Sample_Data_1[[#This Row],[Exit Date]]), "Y")</f>
        <v>5</v>
      </c>
    </row>
    <row r="203" spans="1:20" x14ac:dyDescent="0.25">
      <c r="A203" t="s">
        <v>482</v>
      </c>
      <c r="B203" t="s">
        <v>483</v>
      </c>
      <c r="C203" t="s">
        <v>44</v>
      </c>
      <c r="D203" t="s">
        <v>32</v>
      </c>
      <c r="E203" t="s">
        <v>18</v>
      </c>
      <c r="F203" t="s">
        <v>39</v>
      </c>
      <c r="G203" t="s">
        <v>63</v>
      </c>
      <c r="H203">
        <v>65</v>
      </c>
      <c r="I203" s="1">
        <v>35308</v>
      </c>
      <c r="J203" s="1" t="str">
        <f>TEXT(Employee_Sample_Data_1[[#This Row],[Hire Date]], "dddd")</f>
        <v>Saturday</v>
      </c>
      <c r="K203" s="1" t="str">
        <f>TEXT(Employee_Sample_Data_1[[#This Row],[Hire Date]], "mmmm")</f>
        <v>August</v>
      </c>
      <c r="L203" s="1" t="str">
        <f>TEXT(Employee_Sample_Data_1[[#This Row],[Hire Date]], "yyyy")</f>
        <v>1996</v>
      </c>
      <c r="M203" s="2">
        <v>164102</v>
      </c>
      <c r="N203" s="3">
        <v>0.3</v>
      </c>
      <c r="O203" s="9">
        <f>PRODUCT(Employee_Sample_Data_1[[#This Row],[Annual Salary]],Employee_Sample_Data_1[[#This Row],[Bonus %]])</f>
        <v>49230.6</v>
      </c>
      <c r="P203" s="2">
        <f>ROUND(Employee_Sample_Data_1[[#This Row],[Annual Salary]]*(1+Employee_Sample_Data_1[[#This Row],[Bonus %]]), 0)</f>
        <v>213333</v>
      </c>
      <c r="Q203" t="s">
        <v>21</v>
      </c>
      <c r="R203" t="s">
        <v>22</v>
      </c>
      <c r="T203">
        <f ca="1">DATEDIF(Employee_Sample_Data_1[[#This Row],[Hire Date]], IF(Employee_Sample_Data_1[[#This Row],[Exit Date]] = "", TODAY(), Employee_Sample_Data_1[[#This Row],[Exit Date]]), "Y")</f>
        <v>29</v>
      </c>
    </row>
    <row r="204" spans="1:20" x14ac:dyDescent="0.25">
      <c r="A204" t="s">
        <v>484</v>
      </c>
      <c r="B204" t="s">
        <v>485</v>
      </c>
      <c r="C204" t="s">
        <v>62</v>
      </c>
      <c r="D204" t="s">
        <v>32</v>
      </c>
      <c r="E204" t="s">
        <v>33</v>
      </c>
      <c r="F204" t="s">
        <v>39</v>
      </c>
      <c r="G204" t="s">
        <v>63</v>
      </c>
      <c r="H204">
        <v>44</v>
      </c>
      <c r="I204" s="1">
        <v>37668</v>
      </c>
      <c r="J204" s="1" t="str">
        <f>TEXT(Employee_Sample_Data_1[[#This Row],[Hire Date]], "dddd")</f>
        <v>Sunday</v>
      </c>
      <c r="K204" s="1" t="str">
        <f>TEXT(Employee_Sample_Data_1[[#This Row],[Hire Date]], "mmmm")</f>
        <v>February</v>
      </c>
      <c r="L204" s="1" t="str">
        <f>TEXT(Employee_Sample_Data_1[[#This Row],[Hire Date]], "yyyy")</f>
        <v>2003</v>
      </c>
      <c r="M204" s="2">
        <v>74431</v>
      </c>
      <c r="N204" s="3">
        <v>0</v>
      </c>
      <c r="O204" s="9">
        <f>PRODUCT(Employee_Sample_Data_1[[#This Row],[Annual Salary]],Employee_Sample_Data_1[[#This Row],[Bonus %]])</f>
        <v>0</v>
      </c>
      <c r="P204" s="2">
        <f>ROUND(Employee_Sample_Data_1[[#This Row],[Annual Salary]]*(1+Employee_Sample_Data_1[[#This Row],[Bonus %]]), 0)</f>
        <v>74431</v>
      </c>
      <c r="Q204" t="s">
        <v>21</v>
      </c>
      <c r="R204" t="s">
        <v>48</v>
      </c>
      <c r="T204">
        <f ca="1">DATEDIF(Employee_Sample_Data_1[[#This Row],[Hire Date]], IF(Employee_Sample_Data_1[[#This Row],[Exit Date]] = "", TODAY(), Employee_Sample_Data_1[[#This Row],[Exit Date]]), "Y")</f>
        <v>23</v>
      </c>
    </row>
    <row r="205" spans="1:20" x14ac:dyDescent="0.25">
      <c r="A205" t="s">
        <v>486</v>
      </c>
      <c r="B205" t="s">
        <v>487</v>
      </c>
      <c r="C205" t="s">
        <v>25</v>
      </c>
      <c r="D205" t="s">
        <v>58</v>
      </c>
      <c r="E205" t="s">
        <v>53</v>
      </c>
      <c r="F205" t="s">
        <v>39</v>
      </c>
      <c r="G205" t="s">
        <v>40</v>
      </c>
      <c r="H205">
        <v>52</v>
      </c>
      <c r="I205" s="1">
        <v>41835</v>
      </c>
      <c r="J205" s="1" t="str">
        <f>TEXT(Employee_Sample_Data_1[[#This Row],[Hire Date]], "dddd")</f>
        <v>Tuesday</v>
      </c>
      <c r="K205" s="1" t="str">
        <f>TEXT(Employee_Sample_Data_1[[#This Row],[Hire Date]], "mmmm")</f>
        <v>July</v>
      </c>
      <c r="L205" s="1" t="str">
        <f>TEXT(Employee_Sample_Data_1[[#This Row],[Hire Date]], "yyyy")</f>
        <v>2014</v>
      </c>
      <c r="M205" s="2">
        <v>43378</v>
      </c>
      <c r="N205" s="3">
        <v>0</v>
      </c>
      <c r="O205" s="9">
        <f>PRODUCT(Employee_Sample_Data_1[[#This Row],[Annual Salary]],Employee_Sample_Data_1[[#This Row],[Bonus %]])</f>
        <v>0</v>
      </c>
      <c r="P205" s="2">
        <f>ROUND(Employee_Sample_Data_1[[#This Row],[Annual Salary]]*(1+Employee_Sample_Data_1[[#This Row],[Bonus %]]), 0)</f>
        <v>43378</v>
      </c>
      <c r="Q205" t="s">
        <v>21</v>
      </c>
      <c r="R205" t="s">
        <v>67</v>
      </c>
      <c r="T205">
        <f ca="1">DATEDIF(Employee_Sample_Data_1[[#This Row],[Hire Date]], IF(Employee_Sample_Data_1[[#This Row],[Exit Date]] = "", TODAY(), Employee_Sample_Data_1[[#This Row],[Exit Date]]), "Y")</f>
        <v>11</v>
      </c>
    </row>
    <row r="206" spans="1:20" x14ac:dyDescent="0.25">
      <c r="A206" t="s">
        <v>488</v>
      </c>
      <c r="B206" t="s">
        <v>489</v>
      </c>
      <c r="C206" t="s">
        <v>25</v>
      </c>
      <c r="D206" t="s">
        <v>58</v>
      </c>
      <c r="E206" t="s">
        <v>27</v>
      </c>
      <c r="F206" t="s">
        <v>19</v>
      </c>
      <c r="G206" t="s">
        <v>20</v>
      </c>
      <c r="H206">
        <v>52</v>
      </c>
      <c r="I206" s="1">
        <v>37000</v>
      </c>
      <c r="J206" s="1" t="str">
        <f>TEXT(Employee_Sample_Data_1[[#This Row],[Hire Date]], "dddd")</f>
        <v>Thursday</v>
      </c>
      <c r="K206" s="1" t="str">
        <f>TEXT(Employee_Sample_Data_1[[#This Row],[Hire Date]], "mmmm")</f>
        <v>April</v>
      </c>
      <c r="L206" s="1" t="str">
        <f>TEXT(Employee_Sample_Data_1[[#This Row],[Hire Date]], "yyyy")</f>
        <v>2001</v>
      </c>
      <c r="M206" s="2">
        <v>47587</v>
      </c>
      <c r="N206" s="3">
        <v>0</v>
      </c>
      <c r="O206" s="9">
        <f>PRODUCT(Employee_Sample_Data_1[[#This Row],[Annual Salary]],Employee_Sample_Data_1[[#This Row],[Bonus %]])</f>
        <v>0</v>
      </c>
      <c r="P206" s="2">
        <f>ROUND(Employee_Sample_Data_1[[#This Row],[Annual Salary]]*(1+Employee_Sample_Data_1[[#This Row],[Bonus %]]), 0)</f>
        <v>47587</v>
      </c>
      <c r="Q206" t="s">
        <v>21</v>
      </c>
      <c r="R206" t="s">
        <v>28</v>
      </c>
      <c r="T206">
        <f ca="1">DATEDIF(Employee_Sample_Data_1[[#This Row],[Hire Date]], IF(Employee_Sample_Data_1[[#This Row],[Exit Date]] = "", TODAY(), Employee_Sample_Data_1[[#This Row],[Exit Date]]), "Y")</f>
        <v>25</v>
      </c>
    </row>
    <row r="207" spans="1:20" x14ac:dyDescent="0.25">
      <c r="A207" t="s">
        <v>490</v>
      </c>
      <c r="B207" t="s">
        <v>491</v>
      </c>
      <c r="C207" t="s">
        <v>44</v>
      </c>
      <c r="D207" t="s">
        <v>123</v>
      </c>
      <c r="E207" t="s">
        <v>53</v>
      </c>
      <c r="F207" t="s">
        <v>19</v>
      </c>
      <c r="G207" t="s">
        <v>40</v>
      </c>
      <c r="H207">
        <v>53</v>
      </c>
      <c r="I207" s="1">
        <v>37224</v>
      </c>
      <c r="J207" s="1" t="str">
        <f>TEXT(Employee_Sample_Data_1[[#This Row],[Hire Date]], "dddd")</f>
        <v>Thursday</v>
      </c>
      <c r="K207" s="1" t="str">
        <f>TEXT(Employee_Sample_Data_1[[#This Row],[Hire Date]], "mmmm")</f>
        <v>November</v>
      </c>
      <c r="L207" s="1" t="str">
        <f>TEXT(Employee_Sample_Data_1[[#This Row],[Hire Date]], "yyyy")</f>
        <v>2001</v>
      </c>
      <c r="M207" s="2">
        <v>179983</v>
      </c>
      <c r="N207" s="3">
        <v>0.16</v>
      </c>
      <c r="O207" s="9">
        <f>PRODUCT(Employee_Sample_Data_1[[#This Row],[Annual Salary]],Employee_Sample_Data_1[[#This Row],[Bonus %]])</f>
        <v>28797.279999999999</v>
      </c>
      <c r="P207" s="2">
        <f>ROUND(Employee_Sample_Data_1[[#This Row],[Annual Salary]]*(1+Employee_Sample_Data_1[[#This Row],[Bonus %]]), 0)</f>
        <v>208780</v>
      </c>
      <c r="Q207" t="s">
        <v>21</v>
      </c>
      <c r="R207" t="s">
        <v>48</v>
      </c>
      <c r="T207">
        <f ca="1">DATEDIF(Employee_Sample_Data_1[[#This Row],[Hire Date]], IF(Employee_Sample_Data_1[[#This Row],[Exit Date]] = "", TODAY(), Employee_Sample_Data_1[[#This Row],[Exit Date]]), "Y")</f>
        <v>24</v>
      </c>
    </row>
    <row r="208" spans="1:20" x14ac:dyDescent="0.25">
      <c r="A208" t="s">
        <v>492</v>
      </c>
      <c r="B208" t="s">
        <v>493</v>
      </c>
      <c r="C208" t="s">
        <v>66</v>
      </c>
      <c r="D208" t="s">
        <v>77</v>
      </c>
      <c r="E208" t="s">
        <v>33</v>
      </c>
      <c r="F208" t="s">
        <v>19</v>
      </c>
      <c r="G208" t="s">
        <v>20</v>
      </c>
      <c r="H208">
        <v>31</v>
      </c>
      <c r="I208" s="1">
        <v>44528</v>
      </c>
      <c r="J208" s="1" t="str">
        <f>TEXT(Employee_Sample_Data_1[[#This Row],[Hire Date]], "dddd")</f>
        <v>Sunday</v>
      </c>
      <c r="K208" s="1" t="str">
        <f>TEXT(Employee_Sample_Data_1[[#This Row],[Hire Date]], "mmmm")</f>
        <v>November</v>
      </c>
      <c r="L208" s="1" t="str">
        <f>TEXT(Employee_Sample_Data_1[[#This Row],[Hire Date]], "yyyy")</f>
        <v>2021</v>
      </c>
      <c r="M208" s="2">
        <v>115565</v>
      </c>
      <c r="N208" s="3">
        <v>0.06</v>
      </c>
      <c r="O208" s="9">
        <f>PRODUCT(Employee_Sample_Data_1[[#This Row],[Annual Salary]],Employee_Sample_Data_1[[#This Row],[Bonus %]])</f>
        <v>6933.9</v>
      </c>
      <c r="P208" s="2">
        <f>ROUND(Employee_Sample_Data_1[[#This Row],[Annual Salary]]*(1+Employee_Sample_Data_1[[#This Row],[Bonus %]]), 0)</f>
        <v>122499</v>
      </c>
      <c r="Q208" t="s">
        <v>21</v>
      </c>
      <c r="R208" t="s">
        <v>48</v>
      </c>
      <c r="T208">
        <f ca="1">DATEDIF(Employee_Sample_Data_1[[#This Row],[Hire Date]], IF(Employee_Sample_Data_1[[#This Row],[Exit Date]] = "", TODAY(), Employee_Sample_Data_1[[#This Row],[Exit Date]]), "Y")</f>
        <v>4</v>
      </c>
    </row>
    <row r="209" spans="1:20" x14ac:dyDescent="0.25">
      <c r="A209" t="s">
        <v>494</v>
      </c>
      <c r="B209" t="s">
        <v>495</v>
      </c>
      <c r="C209" t="s">
        <v>66</v>
      </c>
      <c r="D209" t="s">
        <v>58</v>
      </c>
      <c r="E209" t="s">
        <v>18</v>
      </c>
      <c r="F209" t="s">
        <v>39</v>
      </c>
      <c r="G209" t="s">
        <v>40</v>
      </c>
      <c r="H209">
        <v>63</v>
      </c>
      <c r="I209" s="1">
        <v>42988</v>
      </c>
      <c r="J209" s="1" t="str">
        <f>TEXT(Employee_Sample_Data_1[[#This Row],[Hire Date]], "dddd")</f>
        <v>Sunday</v>
      </c>
      <c r="K209" s="1" t="str">
        <f>TEXT(Employee_Sample_Data_1[[#This Row],[Hire Date]], "mmmm")</f>
        <v>September</v>
      </c>
      <c r="L209" s="1" t="str">
        <f>TEXT(Employee_Sample_Data_1[[#This Row],[Hire Date]], "yyyy")</f>
        <v>2017</v>
      </c>
      <c r="M209" s="2">
        <v>126064</v>
      </c>
      <c r="N209" s="3">
        <v>0.05</v>
      </c>
      <c r="O209" s="9">
        <f>PRODUCT(Employee_Sample_Data_1[[#This Row],[Annual Salary]],Employee_Sample_Data_1[[#This Row],[Bonus %]])</f>
        <v>6303.2000000000007</v>
      </c>
      <c r="P209" s="2">
        <f>ROUND(Employee_Sample_Data_1[[#This Row],[Annual Salary]]*(1+Employee_Sample_Data_1[[#This Row],[Bonus %]]), 0)</f>
        <v>132367</v>
      </c>
      <c r="Q209" t="s">
        <v>21</v>
      </c>
      <c r="R209" t="s">
        <v>67</v>
      </c>
      <c r="T209">
        <f ca="1">DATEDIF(Employee_Sample_Data_1[[#This Row],[Hire Date]], IF(Employee_Sample_Data_1[[#This Row],[Exit Date]] = "", TODAY(), Employee_Sample_Data_1[[#This Row],[Exit Date]]), "Y")</f>
        <v>8</v>
      </c>
    </row>
    <row r="210" spans="1:20" x14ac:dyDescent="0.25">
      <c r="A210" t="s">
        <v>496</v>
      </c>
      <c r="B210" t="s">
        <v>497</v>
      </c>
      <c r="C210" t="s">
        <v>80</v>
      </c>
      <c r="D210" t="s">
        <v>123</v>
      </c>
      <c r="E210" t="s">
        <v>53</v>
      </c>
      <c r="F210" t="s">
        <v>39</v>
      </c>
      <c r="G210" t="s">
        <v>81</v>
      </c>
      <c r="H210">
        <v>39</v>
      </c>
      <c r="I210" s="1">
        <v>41292</v>
      </c>
      <c r="J210" s="1" t="str">
        <f>TEXT(Employee_Sample_Data_1[[#This Row],[Hire Date]], "dddd")</f>
        <v>Friday</v>
      </c>
      <c r="K210" s="1" t="str">
        <f>TEXT(Employee_Sample_Data_1[[#This Row],[Hire Date]], "mmmm")</f>
        <v>January</v>
      </c>
      <c r="L210" s="1" t="str">
        <f>TEXT(Employee_Sample_Data_1[[#This Row],[Hire Date]], "yyyy")</f>
        <v>2013</v>
      </c>
      <c r="M210" s="2">
        <v>151666</v>
      </c>
      <c r="N210" s="3">
        <v>0.13</v>
      </c>
      <c r="O210" s="9">
        <f>PRODUCT(Employee_Sample_Data_1[[#This Row],[Annual Salary]],Employee_Sample_Data_1[[#This Row],[Bonus %]])</f>
        <v>19716.580000000002</v>
      </c>
      <c r="P210" s="2">
        <f>ROUND(Employee_Sample_Data_1[[#This Row],[Annual Salary]]*(1+Employee_Sample_Data_1[[#This Row],[Bonus %]]), 0)</f>
        <v>171383</v>
      </c>
      <c r="Q210" t="s">
        <v>21</v>
      </c>
      <c r="R210" t="s">
        <v>28</v>
      </c>
      <c r="S210" s="1">
        <v>43281</v>
      </c>
      <c r="T210">
        <f ca="1">DATEDIF(Employee_Sample_Data_1[[#This Row],[Hire Date]], IF(Employee_Sample_Data_1[[#This Row],[Exit Date]] = "", TODAY(), Employee_Sample_Data_1[[#This Row],[Exit Date]]), "Y")</f>
        <v>5</v>
      </c>
    </row>
    <row r="211" spans="1:20" x14ac:dyDescent="0.25">
      <c r="A211" t="s">
        <v>498</v>
      </c>
      <c r="B211" t="s">
        <v>499</v>
      </c>
      <c r="C211" t="s">
        <v>91</v>
      </c>
      <c r="D211" t="s">
        <v>32</v>
      </c>
      <c r="E211" t="s">
        <v>53</v>
      </c>
      <c r="F211" t="s">
        <v>19</v>
      </c>
      <c r="G211" t="s">
        <v>63</v>
      </c>
      <c r="H211">
        <v>63</v>
      </c>
      <c r="I211" s="1">
        <v>36627</v>
      </c>
      <c r="J211" s="1" t="str">
        <f>TEXT(Employee_Sample_Data_1[[#This Row],[Hire Date]], "dddd")</f>
        <v>Tuesday</v>
      </c>
      <c r="K211" s="1" t="str">
        <f>TEXT(Employee_Sample_Data_1[[#This Row],[Hire Date]], "mmmm")</f>
        <v>April</v>
      </c>
      <c r="L211" s="1" t="str">
        <f>TEXT(Employee_Sample_Data_1[[#This Row],[Hire Date]], "yyyy")</f>
        <v>2000</v>
      </c>
      <c r="M211" s="2">
        <v>99215</v>
      </c>
      <c r="N211" s="3">
        <v>0</v>
      </c>
      <c r="O211" s="9">
        <f>PRODUCT(Employee_Sample_Data_1[[#This Row],[Annual Salary]],Employee_Sample_Data_1[[#This Row],[Bonus %]])</f>
        <v>0</v>
      </c>
      <c r="P211" s="2">
        <f>ROUND(Employee_Sample_Data_1[[#This Row],[Annual Salary]]*(1+Employee_Sample_Data_1[[#This Row],[Bonus %]]), 0)</f>
        <v>99215</v>
      </c>
      <c r="Q211" t="s">
        <v>21</v>
      </c>
      <c r="R211" t="s">
        <v>41</v>
      </c>
      <c r="T211">
        <f ca="1">DATEDIF(Employee_Sample_Data_1[[#This Row],[Hire Date]], IF(Employee_Sample_Data_1[[#This Row],[Exit Date]] = "", TODAY(), Employee_Sample_Data_1[[#This Row],[Exit Date]]), "Y")</f>
        <v>26</v>
      </c>
    </row>
    <row r="212" spans="1:20" x14ac:dyDescent="0.25">
      <c r="A212" t="s">
        <v>500</v>
      </c>
      <c r="B212" t="s">
        <v>501</v>
      </c>
      <c r="C212" t="s">
        <v>161</v>
      </c>
      <c r="D212" t="s">
        <v>32</v>
      </c>
      <c r="E212" t="s">
        <v>18</v>
      </c>
      <c r="F212" t="s">
        <v>19</v>
      </c>
      <c r="G212" t="s">
        <v>20</v>
      </c>
      <c r="H212">
        <v>27</v>
      </c>
      <c r="I212" s="1">
        <v>44066</v>
      </c>
      <c r="J212" s="1" t="str">
        <f>TEXT(Employee_Sample_Data_1[[#This Row],[Hire Date]], "dddd")</f>
        <v>Sunday</v>
      </c>
      <c r="K212" s="1" t="str">
        <f>TEXT(Employee_Sample_Data_1[[#This Row],[Hire Date]], "mmmm")</f>
        <v>August</v>
      </c>
      <c r="L212" s="1" t="str">
        <f>TEXT(Employee_Sample_Data_1[[#This Row],[Hire Date]], "yyyy")</f>
        <v>2020</v>
      </c>
      <c r="M212" s="2">
        <v>71502</v>
      </c>
      <c r="N212" s="3">
        <v>0</v>
      </c>
      <c r="O212" s="9">
        <f>PRODUCT(Employee_Sample_Data_1[[#This Row],[Annual Salary]],Employee_Sample_Data_1[[#This Row],[Bonus %]])</f>
        <v>0</v>
      </c>
      <c r="P212" s="2">
        <f>ROUND(Employee_Sample_Data_1[[#This Row],[Annual Salary]]*(1+Employee_Sample_Data_1[[#This Row],[Bonus %]]), 0)</f>
        <v>71502</v>
      </c>
      <c r="Q212" t="s">
        <v>34</v>
      </c>
      <c r="R212" t="s">
        <v>54</v>
      </c>
      <c r="T212">
        <f ca="1">DATEDIF(Employee_Sample_Data_1[[#This Row],[Hire Date]], IF(Employee_Sample_Data_1[[#This Row],[Exit Date]] = "", TODAY(), Employee_Sample_Data_1[[#This Row],[Exit Date]]), "Y")</f>
        <v>5</v>
      </c>
    </row>
    <row r="213" spans="1:20" x14ac:dyDescent="0.25">
      <c r="A213" t="s">
        <v>502</v>
      </c>
      <c r="B213" t="s">
        <v>503</v>
      </c>
      <c r="C213" t="s">
        <v>44</v>
      </c>
      <c r="D213" t="s">
        <v>26</v>
      </c>
      <c r="E213" t="s">
        <v>27</v>
      </c>
      <c r="F213" t="s">
        <v>39</v>
      </c>
      <c r="G213" t="s">
        <v>40</v>
      </c>
      <c r="H213">
        <v>30</v>
      </c>
      <c r="I213" s="1">
        <v>44883</v>
      </c>
      <c r="J213" s="1" t="str">
        <f>TEXT(Employee_Sample_Data_1[[#This Row],[Hire Date]], "dddd")</f>
        <v>Friday</v>
      </c>
      <c r="K213" s="1" t="str">
        <f>TEXT(Employee_Sample_Data_1[[#This Row],[Hire Date]], "mmmm")</f>
        <v>November</v>
      </c>
      <c r="L213" s="1" t="str">
        <f>TEXT(Employee_Sample_Data_1[[#This Row],[Hire Date]], "yyyy")</f>
        <v>2022</v>
      </c>
      <c r="M213" s="2">
        <v>168050</v>
      </c>
      <c r="N213" s="3">
        <v>0.24</v>
      </c>
      <c r="O213" s="9">
        <f>PRODUCT(Employee_Sample_Data_1[[#This Row],[Annual Salary]],Employee_Sample_Data_1[[#This Row],[Bonus %]])</f>
        <v>40332</v>
      </c>
      <c r="P213" s="2">
        <f>ROUND(Employee_Sample_Data_1[[#This Row],[Annual Salary]]*(1+Employee_Sample_Data_1[[#This Row],[Bonus %]]), 0)</f>
        <v>208382</v>
      </c>
      <c r="Q213" t="s">
        <v>134</v>
      </c>
      <c r="R213" t="s">
        <v>286</v>
      </c>
      <c r="T213">
        <f ca="1">DATEDIF(Employee_Sample_Data_1[[#This Row],[Hire Date]], IF(Employee_Sample_Data_1[[#This Row],[Exit Date]] = "", TODAY(), Employee_Sample_Data_1[[#This Row],[Exit Date]]), "Y")</f>
        <v>3</v>
      </c>
    </row>
    <row r="214" spans="1:20" x14ac:dyDescent="0.25">
      <c r="A214" t="s">
        <v>504</v>
      </c>
      <c r="B214" t="s">
        <v>505</v>
      </c>
      <c r="C214" t="s">
        <v>80</v>
      </c>
      <c r="D214" t="s">
        <v>26</v>
      </c>
      <c r="E214" t="s">
        <v>53</v>
      </c>
      <c r="F214" t="s">
        <v>39</v>
      </c>
      <c r="G214" t="s">
        <v>63</v>
      </c>
      <c r="H214">
        <v>51</v>
      </c>
      <c r="I214" s="1">
        <v>37932</v>
      </c>
      <c r="J214" s="1" t="str">
        <f>TEXT(Employee_Sample_Data_1[[#This Row],[Hire Date]], "dddd")</f>
        <v>Friday</v>
      </c>
      <c r="K214" s="1" t="str">
        <f>TEXT(Employee_Sample_Data_1[[#This Row],[Hire Date]], "mmmm")</f>
        <v>November</v>
      </c>
      <c r="L214" s="1" t="str">
        <f>TEXT(Employee_Sample_Data_1[[#This Row],[Hire Date]], "yyyy")</f>
        <v>2003</v>
      </c>
      <c r="M214" s="2">
        <v>130862</v>
      </c>
      <c r="N214" s="3">
        <v>0.12</v>
      </c>
      <c r="O214" s="9">
        <f>PRODUCT(Employee_Sample_Data_1[[#This Row],[Annual Salary]],Employee_Sample_Data_1[[#This Row],[Bonus %]])</f>
        <v>15703.439999999999</v>
      </c>
      <c r="P214" s="2">
        <f>ROUND(Employee_Sample_Data_1[[#This Row],[Annual Salary]]*(1+Employee_Sample_Data_1[[#This Row],[Bonus %]]), 0)</f>
        <v>146565</v>
      </c>
      <c r="Q214" t="s">
        <v>21</v>
      </c>
      <c r="R214" t="s">
        <v>41</v>
      </c>
      <c r="T214">
        <f ca="1">DATEDIF(Employee_Sample_Data_1[[#This Row],[Hire Date]], IF(Employee_Sample_Data_1[[#This Row],[Exit Date]] = "", TODAY(), Employee_Sample_Data_1[[#This Row],[Exit Date]]), "Y")</f>
        <v>22</v>
      </c>
    </row>
    <row r="215" spans="1:20" x14ac:dyDescent="0.25">
      <c r="A215" t="s">
        <v>506</v>
      </c>
      <c r="B215" t="s">
        <v>507</v>
      </c>
      <c r="C215" t="s">
        <v>170</v>
      </c>
      <c r="D215" t="s">
        <v>32</v>
      </c>
      <c r="E215" t="s">
        <v>33</v>
      </c>
      <c r="F215" t="s">
        <v>19</v>
      </c>
      <c r="G215" t="s">
        <v>20</v>
      </c>
      <c r="H215">
        <v>58</v>
      </c>
      <c r="I215" s="1">
        <v>44458</v>
      </c>
      <c r="J215" s="1" t="str">
        <f>TEXT(Employee_Sample_Data_1[[#This Row],[Hire Date]], "dddd")</f>
        <v>Sunday</v>
      </c>
      <c r="K215" s="1" t="str">
        <f>TEXT(Employee_Sample_Data_1[[#This Row],[Hire Date]], "mmmm")</f>
        <v>September</v>
      </c>
      <c r="L215" s="1" t="str">
        <f>TEXT(Employee_Sample_Data_1[[#This Row],[Hire Date]], "yyyy")</f>
        <v>2021</v>
      </c>
      <c r="M215" s="2">
        <v>85716</v>
      </c>
      <c r="N215" s="3">
        <v>0</v>
      </c>
      <c r="O215" s="9">
        <f>PRODUCT(Employee_Sample_Data_1[[#This Row],[Annual Salary]],Employee_Sample_Data_1[[#This Row],[Bonus %]])</f>
        <v>0</v>
      </c>
      <c r="P215" s="2">
        <f>ROUND(Employee_Sample_Data_1[[#This Row],[Annual Salary]]*(1+Employee_Sample_Data_1[[#This Row],[Bonus %]]), 0)</f>
        <v>85716</v>
      </c>
      <c r="Q215" t="s">
        <v>34</v>
      </c>
      <c r="R215" t="s">
        <v>54</v>
      </c>
      <c r="T215">
        <f ca="1">DATEDIF(Employee_Sample_Data_1[[#This Row],[Hire Date]], IF(Employee_Sample_Data_1[[#This Row],[Exit Date]] = "", TODAY(), Employee_Sample_Data_1[[#This Row],[Exit Date]]), "Y")</f>
        <v>4</v>
      </c>
    </row>
    <row r="216" spans="1:20" x14ac:dyDescent="0.25">
      <c r="A216" t="s">
        <v>508</v>
      </c>
      <c r="B216" t="s">
        <v>509</v>
      </c>
      <c r="C216" t="s">
        <v>44</v>
      </c>
      <c r="D216" t="s">
        <v>58</v>
      </c>
      <c r="E216" t="s">
        <v>27</v>
      </c>
      <c r="F216" t="s">
        <v>39</v>
      </c>
      <c r="G216" t="s">
        <v>40</v>
      </c>
      <c r="H216">
        <v>62</v>
      </c>
      <c r="I216" s="1">
        <v>40754</v>
      </c>
      <c r="J216" s="1" t="str">
        <f>TEXT(Employee_Sample_Data_1[[#This Row],[Hire Date]], "dddd")</f>
        <v>Saturday</v>
      </c>
      <c r="K216" s="1" t="str">
        <f>TEXT(Employee_Sample_Data_1[[#This Row],[Hire Date]], "mmmm")</f>
        <v>July</v>
      </c>
      <c r="L216" s="1" t="str">
        <f>TEXT(Employee_Sample_Data_1[[#This Row],[Hire Date]], "yyyy")</f>
        <v>2011</v>
      </c>
      <c r="M216" s="2">
        <v>185026</v>
      </c>
      <c r="N216" s="3">
        <v>0.24</v>
      </c>
      <c r="O216" s="9">
        <f>PRODUCT(Employee_Sample_Data_1[[#This Row],[Annual Salary]],Employee_Sample_Data_1[[#This Row],[Bonus %]])</f>
        <v>44406.239999999998</v>
      </c>
      <c r="P216" s="2">
        <f>ROUND(Employee_Sample_Data_1[[#This Row],[Annual Salary]]*(1+Employee_Sample_Data_1[[#This Row],[Bonus %]]), 0)</f>
        <v>229432</v>
      </c>
      <c r="Q216" t="s">
        <v>134</v>
      </c>
      <c r="R216" t="s">
        <v>286</v>
      </c>
      <c r="T216">
        <f ca="1">DATEDIF(Employee_Sample_Data_1[[#This Row],[Hire Date]], IF(Employee_Sample_Data_1[[#This Row],[Exit Date]] = "", TODAY(), Employee_Sample_Data_1[[#This Row],[Exit Date]]), "Y")</f>
        <v>14</v>
      </c>
    </row>
    <row r="217" spans="1:20" x14ac:dyDescent="0.25">
      <c r="A217" t="s">
        <v>510</v>
      </c>
      <c r="B217" t="s">
        <v>511</v>
      </c>
      <c r="C217" t="s">
        <v>86</v>
      </c>
      <c r="D217" t="s">
        <v>26</v>
      </c>
      <c r="E217" t="s">
        <v>18</v>
      </c>
      <c r="F217" t="s">
        <v>39</v>
      </c>
      <c r="G217" t="s">
        <v>40</v>
      </c>
      <c r="H217">
        <v>27</v>
      </c>
      <c r="I217" s="1">
        <v>44539</v>
      </c>
      <c r="J217" s="1" t="str">
        <f>TEXT(Employee_Sample_Data_1[[#This Row],[Hire Date]], "dddd")</f>
        <v>Thursday</v>
      </c>
      <c r="K217" s="1" t="str">
        <f>TEXT(Employee_Sample_Data_1[[#This Row],[Hire Date]], "mmmm")</f>
        <v>December</v>
      </c>
      <c r="L217" s="1" t="str">
        <f>TEXT(Employee_Sample_Data_1[[#This Row],[Hire Date]], "yyyy")</f>
        <v>2021</v>
      </c>
      <c r="M217" s="2">
        <v>182403</v>
      </c>
      <c r="N217" s="3">
        <v>0.3</v>
      </c>
      <c r="O217" s="9">
        <f>PRODUCT(Employee_Sample_Data_1[[#This Row],[Annual Salary]],Employee_Sample_Data_1[[#This Row],[Bonus %]])</f>
        <v>54720.9</v>
      </c>
      <c r="P217" s="2">
        <f>ROUND(Employee_Sample_Data_1[[#This Row],[Annual Salary]]*(1+Employee_Sample_Data_1[[#This Row],[Bonus %]]), 0)</f>
        <v>237124</v>
      </c>
      <c r="Q217" t="s">
        <v>134</v>
      </c>
      <c r="R217" t="s">
        <v>180</v>
      </c>
      <c r="T217">
        <f ca="1">DATEDIF(Employee_Sample_Data_1[[#This Row],[Hire Date]], IF(Employee_Sample_Data_1[[#This Row],[Exit Date]] = "", TODAY(), Employee_Sample_Data_1[[#This Row],[Exit Date]]), "Y")</f>
        <v>4</v>
      </c>
    </row>
    <row r="218" spans="1:20" x14ac:dyDescent="0.25">
      <c r="A218" t="s">
        <v>512</v>
      </c>
      <c r="B218" t="s">
        <v>513</v>
      </c>
      <c r="C218" t="s">
        <v>86</v>
      </c>
      <c r="D218" t="s">
        <v>52</v>
      </c>
      <c r="E218" t="s">
        <v>27</v>
      </c>
      <c r="F218" t="s">
        <v>39</v>
      </c>
      <c r="G218" t="s">
        <v>20</v>
      </c>
      <c r="H218">
        <v>63</v>
      </c>
      <c r="I218" s="1">
        <v>38211</v>
      </c>
      <c r="J218" s="1" t="str">
        <f>TEXT(Employee_Sample_Data_1[[#This Row],[Hire Date]], "dddd")</f>
        <v>Thursday</v>
      </c>
      <c r="K218" s="1" t="str">
        <f>TEXT(Employee_Sample_Data_1[[#This Row],[Hire Date]], "mmmm")</f>
        <v>August</v>
      </c>
      <c r="L218" s="1" t="str">
        <f>TEXT(Employee_Sample_Data_1[[#This Row],[Hire Date]], "yyyy")</f>
        <v>2004</v>
      </c>
      <c r="M218" s="2">
        <v>193531</v>
      </c>
      <c r="N218" s="3">
        <v>0.4</v>
      </c>
      <c r="O218" s="9">
        <f>PRODUCT(Employee_Sample_Data_1[[#This Row],[Annual Salary]],Employee_Sample_Data_1[[#This Row],[Bonus %]])</f>
        <v>77412.400000000009</v>
      </c>
      <c r="P218" s="2">
        <f>ROUND(Employee_Sample_Data_1[[#This Row],[Annual Salary]]*(1+Employee_Sample_Data_1[[#This Row],[Bonus %]]), 0)</f>
        <v>270943</v>
      </c>
      <c r="Q218" t="s">
        <v>34</v>
      </c>
      <c r="R218" t="s">
        <v>35</v>
      </c>
      <c r="T218">
        <f ca="1">DATEDIF(Employee_Sample_Data_1[[#This Row],[Hire Date]], IF(Employee_Sample_Data_1[[#This Row],[Exit Date]] = "", TODAY(), Employee_Sample_Data_1[[#This Row],[Exit Date]]), "Y")</f>
        <v>21</v>
      </c>
    </row>
    <row r="219" spans="1:20" x14ac:dyDescent="0.25">
      <c r="A219" t="s">
        <v>514</v>
      </c>
      <c r="B219" t="s">
        <v>515</v>
      </c>
      <c r="C219" t="s">
        <v>66</v>
      </c>
      <c r="D219" t="s">
        <v>32</v>
      </c>
      <c r="E219" t="s">
        <v>33</v>
      </c>
      <c r="F219" t="s">
        <v>39</v>
      </c>
      <c r="G219" t="s">
        <v>20</v>
      </c>
      <c r="H219">
        <v>52</v>
      </c>
      <c r="I219" s="1">
        <v>41345</v>
      </c>
      <c r="J219" s="1" t="str">
        <f>TEXT(Employee_Sample_Data_1[[#This Row],[Hire Date]], "dddd")</f>
        <v>Tuesday</v>
      </c>
      <c r="K219" s="1" t="str">
        <f>TEXT(Employee_Sample_Data_1[[#This Row],[Hire Date]], "mmmm")</f>
        <v>March</v>
      </c>
      <c r="L219" s="1" t="str">
        <f>TEXT(Employee_Sample_Data_1[[#This Row],[Hire Date]], "yyyy")</f>
        <v>2013</v>
      </c>
      <c r="M219" s="2">
        <v>128301</v>
      </c>
      <c r="N219" s="3">
        <v>0.06</v>
      </c>
      <c r="O219" s="9">
        <f>PRODUCT(Employee_Sample_Data_1[[#This Row],[Annual Salary]],Employee_Sample_Data_1[[#This Row],[Bonus %]])</f>
        <v>7698.0599999999995</v>
      </c>
      <c r="P219" s="2">
        <f>ROUND(Employee_Sample_Data_1[[#This Row],[Annual Salary]]*(1+Employee_Sample_Data_1[[#This Row],[Bonus %]]), 0)</f>
        <v>135999</v>
      </c>
      <c r="Q219" t="s">
        <v>34</v>
      </c>
      <c r="R219" t="s">
        <v>108</v>
      </c>
      <c r="S219" s="1">
        <v>44456</v>
      </c>
      <c r="T219">
        <f ca="1">DATEDIF(Employee_Sample_Data_1[[#This Row],[Hire Date]], IF(Employee_Sample_Data_1[[#This Row],[Exit Date]] = "", TODAY(), Employee_Sample_Data_1[[#This Row],[Exit Date]]), "Y")</f>
        <v>8</v>
      </c>
    </row>
    <row r="220" spans="1:20" x14ac:dyDescent="0.25">
      <c r="A220" t="s">
        <v>516</v>
      </c>
      <c r="B220" t="s">
        <v>517</v>
      </c>
      <c r="C220" t="s">
        <v>25</v>
      </c>
      <c r="D220" t="s">
        <v>58</v>
      </c>
      <c r="E220" t="s">
        <v>18</v>
      </c>
      <c r="F220" t="s">
        <v>19</v>
      </c>
      <c r="G220" t="s">
        <v>40</v>
      </c>
      <c r="H220">
        <v>36</v>
      </c>
      <c r="I220" s="1">
        <v>43747</v>
      </c>
      <c r="J220" s="1" t="str">
        <f>TEXT(Employee_Sample_Data_1[[#This Row],[Hire Date]], "dddd")</f>
        <v>Wednesday</v>
      </c>
      <c r="K220" s="1" t="str">
        <f>TEXT(Employee_Sample_Data_1[[#This Row],[Hire Date]], "mmmm")</f>
        <v>October</v>
      </c>
      <c r="L220" s="1" t="str">
        <f>TEXT(Employee_Sample_Data_1[[#This Row],[Hire Date]], "yyyy")</f>
        <v>2019</v>
      </c>
      <c r="M220" s="2">
        <v>51669</v>
      </c>
      <c r="N220" s="3">
        <v>0</v>
      </c>
      <c r="O220" s="9">
        <f>PRODUCT(Employee_Sample_Data_1[[#This Row],[Annual Salary]],Employee_Sample_Data_1[[#This Row],[Bonus %]])</f>
        <v>0</v>
      </c>
      <c r="P220" s="2">
        <f>ROUND(Employee_Sample_Data_1[[#This Row],[Annual Salary]]*(1+Employee_Sample_Data_1[[#This Row],[Bonus %]]), 0)</f>
        <v>51669</v>
      </c>
      <c r="Q220" t="s">
        <v>134</v>
      </c>
      <c r="R220" t="s">
        <v>135</v>
      </c>
      <c r="S220" s="1">
        <v>44833</v>
      </c>
      <c r="T220">
        <f ca="1">DATEDIF(Employee_Sample_Data_1[[#This Row],[Hire Date]], IF(Employee_Sample_Data_1[[#This Row],[Exit Date]] = "", TODAY(), Employee_Sample_Data_1[[#This Row],[Exit Date]]), "Y")</f>
        <v>2</v>
      </c>
    </row>
    <row r="221" spans="1:20" x14ac:dyDescent="0.25">
      <c r="A221" t="s">
        <v>518</v>
      </c>
      <c r="B221" t="s">
        <v>519</v>
      </c>
      <c r="C221" t="s">
        <v>195</v>
      </c>
      <c r="D221" t="s">
        <v>17</v>
      </c>
      <c r="E221" t="s">
        <v>33</v>
      </c>
      <c r="F221" t="s">
        <v>39</v>
      </c>
      <c r="G221" t="s">
        <v>20</v>
      </c>
      <c r="H221">
        <v>47</v>
      </c>
      <c r="I221" s="1">
        <v>36917</v>
      </c>
      <c r="J221" s="1" t="str">
        <f>TEXT(Employee_Sample_Data_1[[#This Row],[Hire Date]], "dddd")</f>
        <v>Friday</v>
      </c>
      <c r="K221" s="1" t="str">
        <f>TEXT(Employee_Sample_Data_1[[#This Row],[Hire Date]], "mmmm")</f>
        <v>January</v>
      </c>
      <c r="L221" s="1" t="str">
        <f>TEXT(Employee_Sample_Data_1[[#This Row],[Hire Date]], "yyyy")</f>
        <v>2001</v>
      </c>
      <c r="M221" s="2">
        <v>104289</v>
      </c>
      <c r="N221" s="3">
        <v>0</v>
      </c>
      <c r="O221" s="9">
        <f>PRODUCT(Employee_Sample_Data_1[[#This Row],[Annual Salary]],Employee_Sample_Data_1[[#This Row],[Bonus %]])</f>
        <v>0</v>
      </c>
      <c r="P221" s="2">
        <f>ROUND(Employee_Sample_Data_1[[#This Row],[Annual Salary]]*(1+Employee_Sample_Data_1[[#This Row],[Bonus %]]), 0)</f>
        <v>104289</v>
      </c>
      <c r="Q221" t="s">
        <v>21</v>
      </c>
      <c r="R221" t="s">
        <v>41</v>
      </c>
      <c r="T221">
        <f ca="1">DATEDIF(Employee_Sample_Data_1[[#This Row],[Hire Date]], IF(Employee_Sample_Data_1[[#This Row],[Exit Date]] = "", TODAY(), Employee_Sample_Data_1[[#This Row],[Exit Date]]), "Y")</f>
        <v>25</v>
      </c>
    </row>
    <row r="222" spans="1:20" x14ac:dyDescent="0.25">
      <c r="A222" t="s">
        <v>520</v>
      </c>
      <c r="B222" t="s">
        <v>521</v>
      </c>
      <c r="C222" t="s">
        <v>161</v>
      </c>
      <c r="D222" t="s">
        <v>32</v>
      </c>
      <c r="E222" t="s">
        <v>53</v>
      </c>
      <c r="F222" t="s">
        <v>19</v>
      </c>
      <c r="G222" t="s">
        <v>63</v>
      </c>
      <c r="H222">
        <v>27</v>
      </c>
      <c r="I222" s="1">
        <v>44276</v>
      </c>
      <c r="J222" s="1" t="str">
        <f>TEXT(Employee_Sample_Data_1[[#This Row],[Hire Date]], "dddd")</f>
        <v>Sunday</v>
      </c>
      <c r="K222" s="1" t="str">
        <f>TEXT(Employee_Sample_Data_1[[#This Row],[Hire Date]], "mmmm")</f>
        <v>March</v>
      </c>
      <c r="L222" s="1" t="str">
        <f>TEXT(Employee_Sample_Data_1[[#This Row],[Hire Date]], "yyyy")</f>
        <v>2021</v>
      </c>
      <c r="M222" s="2">
        <v>70181</v>
      </c>
      <c r="N222" s="3">
        <v>0</v>
      </c>
      <c r="O222" s="9">
        <f>PRODUCT(Employee_Sample_Data_1[[#This Row],[Annual Salary]],Employee_Sample_Data_1[[#This Row],[Bonus %]])</f>
        <v>0</v>
      </c>
      <c r="P222" s="2">
        <f>ROUND(Employee_Sample_Data_1[[#This Row],[Annual Salary]]*(1+Employee_Sample_Data_1[[#This Row],[Bonus %]]), 0)</f>
        <v>70181</v>
      </c>
      <c r="Q222" t="s">
        <v>21</v>
      </c>
      <c r="R222" t="s">
        <v>48</v>
      </c>
      <c r="T222">
        <f ca="1">DATEDIF(Employee_Sample_Data_1[[#This Row],[Hire Date]], IF(Employee_Sample_Data_1[[#This Row],[Exit Date]] = "", TODAY(), Employee_Sample_Data_1[[#This Row],[Exit Date]]), "Y")</f>
        <v>5</v>
      </c>
    </row>
    <row r="223" spans="1:20" x14ac:dyDescent="0.25">
      <c r="A223" t="s">
        <v>522</v>
      </c>
      <c r="B223" t="s">
        <v>523</v>
      </c>
      <c r="C223" t="s">
        <v>177</v>
      </c>
      <c r="D223" t="s">
        <v>32</v>
      </c>
      <c r="E223" t="s">
        <v>27</v>
      </c>
      <c r="F223" t="s">
        <v>39</v>
      </c>
      <c r="G223" t="s">
        <v>63</v>
      </c>
      <c r="H223">
        <v>45</v>
      </c>
      <c r="I223" s="1">
        <v>44278</v>
      </c>
      <c r="J223" s="1" t="str">
        <f>TEXT(Employee_Sample_Data_1[[#This Row],[Hire Date]], "dddd")</f>
        <v>Tuesday</v>
      </c>
      <c r="K223" s="1" t="str">
        <f>TEXT(Employee_Sample_Data_1[[#This Row],[Hire Date]], "mmmm")</f>
        <v>March</v>
      </c>
      <c r="L223" s="1" t="str">
        <f>TEXT(Employee_Sample_Data_1[[#This Row],[Hire Date]], "yyyy")</f>
        <v>2021</v>
      </c>
      <c r="M223" s="2">
        <v>92317</v>
      </c>
      <c r="N223" s="3">
        <v>0.06</v>
      </c>
      <c r="O223" s="9">
        <f>PRODUCT(Employee_Sample_Data_1[[#This Row],[Annual Salary]],Employee_Sample_Data_1[[#This Row],[Bonus %]])</f>
        <v>5539.0199999999995</v>
      </c>
      <c r="P223" s="2">
        <f>ROUND(Employee_Sample_Data_1[[#This Row],[Annual Salary]]*(1+Employee_Sample_Data_1[[#This Row],[Bonus %]]), 0)</f>
        <v>97856</v>
      </c>
      <c r="Q223" t="s">
        <v>21</v>
      </c>
      <c r="R223" t="s">
        <v>45</v>
      </c>
      <c r="T223">
        <f ca="1">DATEDIF(Employee_Sample_Data_1[[#This Row],[Hire Date]], IF(Employee_Sample_Data_1[[#This Row],[Exit Date]] = "", TODAY(), Employee_Sample_Data_1[[#This Row],[Exit Date]]), "Y")</f>
        <v>5</v>
      </c>
    </row>
    <row r="224" spans="1:20" x14ac:dyDescent="0.25">
      <c r="A224" t="s">
        <v>524</v>
      </c>
      <c r="B224" t="s">
        <v>525</v>
      </c>
      <c r="C224" t="s">
        <v>51</v>
      </c>
      <c r="D224" t="s">
        <v>77</v>
      </c>
      <c r="E224" t="s">
        <v>27</v>
      </c>
      <c r="F224" t="s">
        <v>19</v>
      </c>
      <c r="G224" t="s">
        <v>81</v>
      </c>
      <c r="H224">
        <v>47</v>
      </c>
      <c r="I224" s="1">
        <v>44902</v>
      </c>
      <c r="J224" s="1" t="str">
        <f>TEXT(Employee_Sample_Data_1[[#This Row],[Hire Date]], "dddd")</f>
        <v>Wednesday</v>
      </c>
      <c r="K224" s="1" t="str">
        <f>TEXT(Employee_Sample_Data_1[[#This Row],[Hire Date]], "mmmm")</f>
        <v>December</v>
      </c>
      <c r="L224" s="1" t="str">
        <f>TEXT(Employee_Sample_Data_1[[#This Row],[Hire Date]], "yyyy")</f>
        <v>2022</v>
      </c>
      <c r="M224" s="2">
        <v>99382</v>
      </c>
      <c r="N224" s="3">
        <v>0</v>
      </c>
      <c r="O224" s="9">
        <f>PRODUCT(Employee_Sample_Data_1[[#This Row],[Annual Salary]],Employee_Sample_Data_1[[#This Row],[Bonus %]])</f>
        <v>0</v>
      </c>
      <c r="P224" s="2">
        <f>ROUND(Employee_Sample_Data_1[[#This Row],[Annual Salary]]*(1+Employee_Sample_Data_1[[#This Row],[Bonus %]]), 0)</f>
        <v>99382</v>
      </c>
      <c r="Q224" t="s">
        <v>21</v>
      </c>
      <c r="R224" t="s">
        <v>28</v>
      </c>
      <c r="T224">
        <f ca="1">DATEDIF(Employee_Sample_Data_1[[#This Row],[Hire Date]], IF(Employee_Sample_Data_1[[#This Row],[Exit Date]] = "", TODAY(), Employee_Sample_Data_1[[#This Row],[Exit Date]]), "Y")</f>
        <v>3</v>
      </c>
    </row>
    <row r="225" spans="1:20" x14ac:dyDescent="0.25">
      <c r="A225" t="s">
        <v>526</v>
      </c>
      <c r="B225" t="s">
        <v>527</v>
      </c>
      <c r="C225" t="s">
        <v>352</v>
      </c>
      <c r="D225" t="s">
        <v>32</v>
      </c>
      <c r="E225" t="s">
        <v>53</v>
      </c>
      <c r="F225" t="s">
        <v>39</v>
      </c>
      <c r="G225" t="s">
        <v>63</v>
      </c>
      <c r="H225">
        <v>26</v>
      </c>
      <c r="I225" s="1">
        <v>43942</v>
      </c>
      <c r="J225" s="1" t="str">
        <f>TEXT(Employee_Sample_Data_1[[#This Row],[Hire Date]], "dddd")</f>
        <v>Tuesday</v>
      </c>
      <c r="K225" s="1" t="str">
        <f>TEXT(Employee_Sample_Data_1[[#This Row],[Hire Date]], "mmmm")</f>
        <v>April</v>
      </c>
      <c r="L225" s="1" t="str">
        <f>TEXT(Employee_Sample_Data_1[[#This Row],[Hire Date]], "yyyy")</f>
        <v>2020</v>
      </c>
      <c r="M225" s="2">
        <v>67702</v>
      </c>
      <c r="N225" s="3">
        <v>0</v>
      </c>
      <c r="O225" s="9">
        <f>PRODUCT(Employee_Sample_Data_1[[#This Row],[Annual Salary]],Employee_Sample_Data_1[[#This Row],[Bonus %]])</f>
        <v>0</v>
      </c>
      <c r="P225" s="2">
        <f>ROUND(Employee_Sample_Data_1[[#This Row],[Annual Salary]]*(1+Employee_Sample_Data_1[[#This Row],[Bonus %]]), 0)</f>
        <v>67702</v>
      </c>
      <c r="Q225" t="s">
        <v>21</v>
      </c>
      <c r="R225" t="s">
        <v>41</v>
      </c>
      <c r="T225">
        <f ca="1">DATEDIF(Employee_Sample_Data_1[[#This Row],[Hire Date]], IF(Employee_Sample_Data_1[[#This Row],[Exit Date]] = "", TODAY(), Employee_Sample_Data_1[[#This Row],[Exit Date]]), "Y")</f>
        <v>6</v>
      </c>
    </row>
    <row r="226" spans="1:20" x14ac:dyDescent="0.25">
      <c r="A226" t="s">
        <v>528</v>
      </c>
      <c r="B226" t="s">
        <v>529</v>
      </c>
      <c r="C226" t="s">
        <v>57</v>
      </c>
      <c r="D226" t="s">
        <v>58</v>
      </c>
      <c r="E226" t="s">
        <v>33</v>
      </c>
      <c r="F226" t="s">
        <v>19</v>
      </c>
      <c r="G226" t="s">
        <v>20</v>
      </c>
      <c r="H226">
        <v>58</v>
      </c>
      <c r="I226" s="1">
        <v>39077</v>
      </c>
      <c r="J226" s="1" t="str">
        <f>TEXT(Employee_Sample_Data_1[[#This Row],[Hire Date]], "dddd")</f>
        <v>Tuesday</v>
      </c>
      <c r="K226" s="1" t="str">
        <f>TEXT(Employee_Sample_Data_1[[#This Row],[Hire Date]], "mmmm")</f>
        <v>December</v>
      </c>
      <c r="L226" s="1" t="str">
        <f>TEXT(Employee_Sample_Data_1[[#This Row],[Hire Date]], "yyyy")</f>
        <v>2006</v>
      </c>
      <c r="M226" s="2">
        <v>53133</v>
      </c>
      <c r="N226" s="3">
        <v>0</v>
      </c>
      <c r="O226" s="9">
        <f>PRODUCT(Employee_Sample_Data_1[[#This Row],[Annual Salary]],Employee_Sample_Data_1[[#This Row],[Bonus %]])</f>
        <v>0</v>
      </c>
      <c r="P226" s="2">
        <f>ROUND(Employee_Sample_Data_1[[#This Row],[Annual Salary]]*(1+Employee_Sample_Data_1[[#This Row],[Bonus %]]), 0)</f>
        <v>53133</v>
      </c>
      <c r="Q226" t="s">
        <v>34</v>
      </c>
      <c r="R226" t="s">
        <v>59</v>
      </c>
      <c r="T226">
        <f ca="1">DATEDIF(Employee_Sample_Data_1[[#This Row],[Hire Date]], IF(Employee_Sample_Data_1[[#This Row],[Exit Date]] = "", TODAY(), Employee_Sample_Data_1[[#This Row],[Exit Date]]), "Y")</f>
        <v>19</v>
      </c>
    </row>
    <row r="227" spans="1:20" x14ac:dyDescent="0.25">
      <c r="A227" t="s">
        <v>530</v>
      </c>
      <c r="B227" t="s">
        <v>531</v>
      </c>
      <c r="C227" t="s">
        <v>433</v>
      </c>
      <c r="D227" t="s">
        <v>17</v>
      </c>
      <c r="E227" t="s">
        <v>27</v>
      </c>
      <c r="F227" t="s">
        <v>39</v>
      </c>
      <c r="G227" t="s">
        <v>40</v>
      </c>
      <c r="H227">
        <v>60</v>
      </c>
      <c r="I227" s="1">
        <v>35898</v>
      </c>
      <c r="J227" s="1" t="str">
        <f>TEXT(Employee_Sample_Data_1[[#This Row],[Hire Date]], "dddd")</f>
        <v>Monday</v>
      </c>
      <c r="K227" s="1" t="str">
        <f>TEXT(Employee_Sample_Data_1[[#This Row],[Hire Date]], "mmmm")</f>
        <v>April</v>
      </c>
      <c r="L227" s="1" t="str">
        <f>TEXT(Employee_Sample_Data_1[[#This Row],[Hire Date]], "yyyy")</f>
        <v>1998</v>
      </c>
      <c r="M227" s="2">
        <v>110554</v>
      </c>
      <c r="N227" s="3">
        <v>0</v>
      </c>
      <c r="O227" s="9">
        <f>PRODUCT(Employee_Sample_Data_1[[#This Row],[Annual Salary]],Employee_Sample_Data_1[[#This Row],[Bonus %]])</f>
        <v>0</v>
      </c>
      <c r="P227" s="2">
        <f>ROUND(Employee_Sample_Data_1[[#This Row],[Annual Salary]]*(1+Employee_Sample_Data_1[[#This Row],[Bonus %]]), 0)</f>
        <v>110554</v>
      </c>
      <c r="Q227" t="s">
        <v>134</v>
      </c>
      <c r="R227" t="s">
        <v>180</v>
      </c>
      <c r="T227">
        <f ca="1">DATEDIF(Employee_Sample_Data_1[[#This Row],[Hire Date]], IF(Employee_Sample_Data_1[[#This Row],[Exit Date]] = "", TODAY(), Employee_Sample_Data_1[[#This Row],[Exit Date]]), "Y")</f>
        <v>28</v>
      </c>
    </row>
    <row r="228" spans="1:20" x14ac:dyDescent="0.25">
      <c r="A228" t="s">
        <v>532</v>
      </c>
      <c r="B228" t="s">
        <v>533</v>
      </c>
      <c r="C228" t="s">
        <v>66</v>
      </c>
      <c r="D228" t="s">
        <v>58</v>
      </c>
      <c r="E228" t="s">
        <v>27</v>
      </c>
      <c r="F228" t="s">
        <v>19</v>
      </c>
      <c r="G228" t="s">
        <v>20</v>
      </c>
      <c r="H228">
        <v>45</v>
      </c>
      <c r="I228" s="1">
        <v>40368</v>
      </c>
      <c r="J228" s="1" t="str">
        <f>TEXT(Employee_Sample_Data_1[[#This Row],[Hire Date]], "dddd")</f>
        <v>Friday</v>
      </c>
      <c r="K228" s="1" t="str">
        <f>TEXT(Employee_Sample_Data_1[[#This Row],[Hire Date]], "mmmm")</f>
        <v>July</v>
      </c>
      <c r="L228" s="1" t="str">
        <f>TEXT(Employee_Sample_Data_1[[#This Row],[Hire Date]], "yyyy")</f>
        <v>2010</v>
      </c>
      <c r="M228" s="2">
        <v>109221</v>
      </c>
      <c r="N228" s="3">
        <v>0.09</v>
      </c>
      <c r="O228" s="9">
        <f>PRODUCT(Employee_Sample_Data_1[[#This Row],[Annual Salary]],Employee_Sample_Data_1[[#This Row],[Bonus %]])</f>
        <v>9829.89</v>
      </c>
      <c r="P228" s="2">
        <f>ROUND(Employee_Sample_Data_1[[#This Row],[Annual Salary]]*(1+Employee_Sample_Data_1[[#This Row],[Bonus %]]), 0)</f>
        <v>119051</v>
      </c>
      <c r="Q228" t="s">
        <v>21</v>
      </c>
      <c r="R228" t="s">
        <v>45</v>
      </c>
      <c r="T228">
        <f ca="1">DATEDIF(Employee_Sample_Data_1[[#This Row],[Hire Date]], IF(Employee_Sample_Data_1[[#This Row],[Exit Date]] = "", TODAY(), Employee_Sample_Data_1[[#This Row],[Exit Date]]), "Y")</f>
        <v>15</v>
      </c>
    </row>
    <row r="229" spans="1:20" x14ac:dyDescent="0.25">
      <c r="A229" t="s">
        <v>534</v>
      </c>
      <c r="B229" t="s">
        <v>535</v>
      </c>
      <c r="C229" t="s">
        <v>38</v>
      </c>
      <c r="D229" t="s">
        <v>32</v>
      </c>
      <c r="E229" t="s">
        <v>53</v>
      </c>
      <c r="F229" t="s">
        <v>39</v>
      </c>
      <c r="G229" t="s">
        <v>40</v>
      </c>
      <c r="H229">
        <v>45</v>
      </c>
      <c r="I229" s="1">
        <v>39114</v>
      </c>
      <c r="J229" s="1" t="str">
        <f>TEXT(Employee_Sample_Data_1[[#This Row],[Hire Date]], "dddd")</f>
        <v>Thursday</v>
      </c>
      <c r="K229" s="1" t="str">
        <f>TEXT(Employee_Sample_Data_1[[#This Row],[Hire Date]], "mmmm")</f>
        <v>February</v>
      </c>
      <c r="L229" s="1" t="str">
        <f>TEXT(Employee_Sample_Data_1[[#This Row],[Hire Date]], "yyyy")</f>
        <v>2007</v>
      </c>
      <c r="M229" s="2">
        <v>88933</v>
      </c>
      <c r="N229" s="3">
        <v>0</v>
      </c>
      <c r="O229" s="9">
        <f>PRODUCT(Employee_Sample_Data_1[[#This Row],[Annual Salary]],Employee_Sample_Data_1[[#This Row],[Bonus %]])</f>
        <v>0</v>
      </c>
      <c r="P229" s="2">
        <f>ROUND(Employee_Sample_Data_1[[#This Row],[Annual Salary]]*(1+Employee_Sample_Data_1[[#This Row],[Bonus %]]), 0)</f>
        <v>88933</v>
      </c>
      <c r="Q229" t="s">
        <v>21</v>
      </c>
      <c r="R229" t="s">
        <v>22</v>
      </c>
      <c r="T229">
        <f ca="1">DATEDIF(Employee_Sample_Data_1[[#This Row],[Hire Date]], IF(Employee_Sample_Data_1[[#This Row],[Exit Date]] = "", TODAY(), Employee_Sample_Data_1[[#This Row],[Exit Date]]), "Y")</f>
        <v>19</v>
      </c>
    </row>
    <row r="230" spans="1:20" x14ac:dyDescent="0.25">
      <c r="A230" t="s">
        <v>536</v>
      </c>
      <c r="B230" t="s">
        <v>537</v>
      </c>
      <c r="C230" t="s">
        <v>128</v>
      </c>
      <c r="D230" t="s">
        <v>123</v>
      </c>
      <c r="E230" t="s">
        <v>18</v>
      </c>
      <c r="F230" t="s">
        <v>19</v>
      </c>
      <c r="G230" t="s">
        <v>63</v>
      </c>
      <c r="H230">
        <v>40</v>
      </c>
      <c r="I230" s="1">
        <v>41951</v>
      </c>
      <c r="J230" s="1" t="str">
        <f>TEXT(Employee_Sample_Data_1[[#This Row],[Hire Date]], "dddd")</f>
        <v>Saturday</v>
      </c>
      <c r="K230" s="1" t="str">
        <f>TEXT(Employee_Sample_Data_1[[#This Row],[Hire Date]], "mmmm")</f>
        <v>November</v>
      </c>
      <c r="L230" s="1" t="str">
        <f>TEXT(Employee_Sample_Data_1[[#This Row],[Hire Date]], "yyyy")</f>
        <v>2014</v>
      </c>
      <c r="M230" s="2">
        <v>49342</v>
      </c>
      <c r="N230" s="3">
        <v>0</v>
      </c>
      <c r="O230" s="9">
        <f>PRODUCT(Employee_Sample_Data_1[[#This Row],[Annual Salary]],Employee_Sample_Data_1[[#This Row],[Bonus %]])</f>
        <v>0</v>
      </c>
      <c r="P230" s="2">
        <f>ROUND(Employee_Sample_Data_1[[#This Row],[Annual Salary]]*(1+Employee_Sample_Data_1[[#This Row],[Bonus %]]), 0)</f>
        <v>49342</v>
      </c>
      <c r="Q230" t="s">
        <v>21</v>
      </c>
      <c r="R230" t="s">
        <v>41</v>
      </c>
      <c r="S230" s="1">
        <v>43704</v>
      </c>
      <c r="T230">
        <f ca="1">DATEDIF(Employee_Sample_Data_1[[#This Row],[Hire Date]], IF(Employee_Sample_Data_1[[#This Row],[Exit Date]] = "", TODAY(), Employee_Sample_Data_1[[#This Row],[Exit Date]]), "Y")</f>
        <v>4</v>
      </c>
    </row>
    <row r="231" spans="1:20" x14ac:dyDescent="0.25">
      <c r="A231" t="s">
        <v>538</v>
      </c>
      <c r="B231" t="s">
        <v>539</v>
      </c>
      <c r="C231" t="s">
        <v>161</v>
      </c>
      <c r="D231" t="s">
        <v>32</v>
      </c>
      <c r="E231" t="s">
        <v>18</v>
      </c>
      <c r="F231" t="s">
        <v>19</v>
      </c>
      <c r="G231" t="s">
        <v>63</v>
      </c>
      <c r="H231">
        <v>27</v>
      </c>
      <c r="I231" s="1">
        <v>44751</v>
      </c>
      <c r="J231" s="1" t="str">
        <f>TEXT(Employee_Sample_Data_1[[#This Row],[Hire Date]], "dddd")</f>
        <v>Saturday</v>
      </c>
      <c r="K231" s="1" t="str">
        <f>TEXT(Employee_Sample_Data_1[[#This Row],[Hire Date]], "mmmm")</f>
        <v>July</v>
      </c>
      <c r="L231" s="1" t="str">
        <f>TEXT(Employee_Sample_Data_1[[#This Row],[Hire Date]], "yyyy")</f>
        <v>2022</v>
      </c>
      <c r="M231" s="2">
        <v>74587</v>
      </c>
      <c r="N231" s="3">
        <v>0</v>
      </c>
      <c r="O231" s="9">
        <f>PRODUCT(Employee_Sample_Data_1[[#This Row],[Annual Salary]],Employee_Sample_Data_1[[#This Row],[Bonus %]])</f>
        <v>0</v>
      </c>
      <c r="P231" s="2">
        <f>ROUND(Employee_Sample_Data_1[[#This Row],[Annual Salary]]*(1+Employee_Sample_Data_1[[#This Row],[Bonus %]]), 0)</f>
        <v>74587</v>
      </c>
      <c r="Q231" t="s">
        <v>21</v>
      </c>
      <c r="R231" t="s">
        <v>45</v>
      </c>
      <c r="T231">
        <f ca="1">DATEDIF(Employee_Sample_Data_1[[#This Row],[Hire Date]], IF(Employee_Sample_Data_1[[#This Row],[Exit Date]] = "", TODAY(), Employee_Sample_Data_1[[#This Row],[Exit Date]]), "Y")</f>
        <v>3</v>
      </c>
    </row>
    <row r="232" spans="1:20" x14ac:dyDescent="0.25">
      <c r="A232" t="s">
        <v>540</v>
      </c>
      <c r="B232" t="s">
        <v>541</v>
      </c>
      <c r="C232" t="s">
        <v>51</v>
      </c>
      <c r="D232" t="s">
        <v>52</v>
      </c>
      <c r="E232" t="s">
        <v>18</v>
      </c>
      <c r="F232" t="s">
        <v>19</v>
      </c>
      <c r="G232" t="s">
        <v>20</v>
      </c>
      <c r="H232">
        <v>36</v>
      </c>
      <c r="I232" s="1">
        <v>43903</v>
      </c>
      <c r="J232" s="1" t="str">
        <f>TEXT(Employee_Sample_Data_1[[#This Row],[Hire Date]], "dddd")</f>
        <v>Friday</v>
      </c>
      <c r="K232" s="1" t="str">
        <f>TEXT(Employee_Sample_Data_1[[#This Row],[Hire Date]], "mmmm")</f>
        <v>March</v>
      </c>
      <c r="L232" s="1" t="str">
        <f>TEXT(Employee_Sample_Data_1[[#This Row],[Hire Date]], "yyyy")</f>
        <v>2020</v>
      </c>
      <c r="M232" s="2">
        <v>80757</v>
      </c>
      <c r="N232" s="3">
        <v>0</v>
      </c>
      <c r="O232" s="9">
        <f>PRODUCT(Employee_Sample_Data_1[[#This Row],[Annual Salary]],Employee_Sample_Data_1[[#This Row],[Bonus %]])</f>
        <v>0</v>
      </c>
      <c r="P232" s="2">
        <f>ROUND(Employee_Sample_Data_1[[#This Row],[Annual Salary]]*(1+Employee_Sample_Data_1[[#This Row],[Bonus %]]), 0)</f>
        <v>80757</v>
      </c>
      <c r="Q232" t="s">
        <v>34</v>
      </c>
      <c r="R232" t="s">
        <v>54</v>
      </c>
      <c r="T232">
        <f ca="1">DATEDIF(Employee_Sample_Data_1[[#This Row],[Hire Date]], IF(Employee_Sample_Data_1[[#This Row],[Exit Date]] = "", TODAY(), Employee_Sample_Data_1[[#This Row],[Exit Date]]), "Y")</f>
        <v>6</v>
      </c>
    </row>
    <row r="233" spans="1:20" x14ac:dyDescent="0.25">
      <c r="A233" t="s">
        <v>542</v>
      </c>
      <c r="B233" t="s">
        <v>543</v>
      </c>
      <c r="C233" t="s">
        <v>44</v>
      </c>
      <c r="D233" t="s">
        <v>58</v>
      </c>
      <c r="E233" t="s">
        <v>27</v>
      </c>
      <c r="F233" t="s">
        <v>19</v>
      </c>
      <c r="G233" t="s">
        <v>20</v>
      </c>
      <c r="H233">
        <v>28</v>
      </c>
      <c r="I233" s="1">
        <v>44846</v>
      </c>
      <c r="J233" s="1" t="str">
        <f>TEXT(Employee_Sample_Data_1[[#This Row],[Hire Date]], "dddd")</f>
        <v>Wednesday</v>
      </c>
      <c r="K233" s="1" t="str">
        <f>TEXT(Employee_Sample_Data_1[[#This Row],[Hire Date]], "mmmm")</f>
        <v>October</v>
      </c>
      <c r="L233" s="1" t="str">
        <f>TEXT(Employee_Sample_Data_1[[#This Row],[Hire Date]], "yyyy")</f>
        <v>2022</v>
      </c>
      <c r="M233" s="2">
        <v>198662</v>
      </c>
      <c r="N233" s="3">
        <v>0.25</v>
      </c>
      <c r="O233" s="9">
        <f>PRODUCT(Employee_Sample_Data_1[[#This Row],[Annual Salary]],Employee_Sample_Data_1[[#This Row],[Bonus %]])</f>
        <v>49665.5</v>
      </c>
      <c r="P233" s="2">
        <f>ROUND(Employee_Sample_Data_1[[#This Row],[Annual Salary]]*(1+Employee_Sample_Data_1[[#This Row],[Bonus %]]), 0)</f>
        <v>248328</v>
      </c>
      <c r="Q233" t="s">
        <v>34</v>
      </c>
      <c r="R233" t="s">
        <v>108</v>
      </c>
      <c r="T233">
        <f ca="1">DATEDIF(Employee_Sample_Data_1[[#This Row],[Hire Date]], IF(Employee_Sample_Data_1[[#This Row],[Exit Date]] = "", TODAY(), Employee_Sample_Data_1[[#This Row],[Exit Date]]), "Y")</f>
        <v>3</v>
      </c>
    </row>
    <row r="234" spans="1:20" x14ac:dyDescent="0.25">
      <c r="A234" t="s">
        <v>544</v>
      </c>
      <c r="B234" t="s">
        <v>545</v>
      </c>
      <c r="C234" t="s">
        <v>80</v>
      </c>
      <c r="D234" t="s">
        <v>77</v>
      </c>
      <c r="E234" t="s">
        <v>18</v>
      </c>
      <c r="F234" t="s">
        <v>39</v>
      </c>
      <c r="G234" t="s">
        <v>81</v>
      </c>
      <c r="H234">
        <v>57</v>
      </c>
      <c r="I234" s="1">
        <v>44420</v>
      </c>
      <c r="J234" s="1" t="str">
        <f>TEXT(Employee_Sample_Data_1[[#This Row],[Hire Date]], "dddd")</f>
        <v>Thursday</v>
      </c>
      <c r="K234" s="1" t="str">
        <f>TEXT(Employee_Sample_Data_1[[#This Row],[Hire Date]], "mmmm")</f>
        <v>August</v>
      </c>
      <c r="L234" s="1" t="str">
        <f>TEXT(Employee_Sample_Data_1[[#This Row],[Hire Date]], "yyyy")</f>
        <v>2021</v>
      </c>
      <c r="M234" s="2">
        <v>142506</v>
      </c>
      <c r="N234" s="3">
        <v>0.11</v>
      </c>
      <c r="O234" s="9">
        <f>PRODUCT(Employee_Sample_Data_1[[#This Row],[Annual Salary]],Employee_Sample_Data_1[[#This Row],[Bonus %]])</f>
        <v>15675.66</v>
      </c>
      <c r="P234" s="2">
        <f>ROUND(Employee_Sample_Data_1[[#This Row],[Annual Salary]]*(1+Employee_Sample_Data_1[[#This Row],[Bonus %]]), 0)</f>
        <v>158182</v>
      </c>
      <c r="Q234" t="s">
        <v>21</v>
      </c>
      <c r="R234" t="s">
        <v>45</v>
      </c>
      <c r="T234">
        <f ca="1">DATEDIF(Employee_Sample_Data_1[[#This Row],[Hire Date]], IF(Employee_Sample_Data_1[[#This Row],[Exit Date]] = "", TODAY(), Employee_Sample_Data_1[[#This Row],[Exit Date]]), "Y")</f>
        <v>4</v>
      </c>
    </row>
    <row r="235" spans="1:20" x14ac:dyDescent="0.25">
      <c r="A235" t="s">
        <v>546</v>
      </c>
      <c r="B235" t="s">
        <v>547</v>
      </c>
      <c r="C235" t="s">
        <v>377</v>
      </c>
      <c r="D235" t="s">
        <v>32</v>
      </c>
      <c r="E235" t="s">
        <v>18</v>
      </c>
      <c r="F235" t="s">
        <v>19</v>
      </c>
      <c r="G235" t="s">
        <v>81</v>
      </c>
      <c r="H235">
        <v>57</v>
      </c>
      <c r="I235" s="1">
        <v>44757</v>
      </c>
      <c r="J235" s="1" t="str">
        <f>TEXT(Employee_Sample_Data_1[[#This Row],[Hire Date]], "dddd")</f>
        <v>Friday</v>
      </c>
      <c r="K235" s="1" t="str">
        <f>TEXT(Employee_Sample_Data_1[[#This Row],[Hire Date]], "mmmm")</f>
        <v>July</v>
      </c>
      <c r="L235" s="1" t="str">
        <f>TEXT(Employee_Sample_Data_1[[#This Row],[Hire Date]], "yyyy")</f>
        <v>2022</v>
      </c>
      <c r="M235" s="2">
        <v>77028</v>
      </c>
      <c r="N235" s="3">
        <v>0</v>
      </c>
      <c r="O235" s="9">
        <f>PRODUCT(Employee_Sample_Data_1[[#This Row],[Annual Salary]],Employee_Sample_Data_1[[#This Row],[Bonus %]])</f>
        <v>0</v>
      </c>
      <c r="P235" s="2">
        <f>ROUND(Employee_Sample_Data_1[[#This Row],[Annual Salary]]*(1+Employee_Sample_Data_1[[#This Row],[Bonus %]]), 0)</f>
        <v>77028</v>
      </c>
      <c r="Q235" t="s">
        <v>21</v>
      </c>
      <c r="R235" t="s">
        <v>41</v>
      </c>
      <c r="T235">
        <f ca="1">DATEDIF(Employee_Sample_Data_1[[#This Row],[Hire Date]], IF(Employee_Sample_Data_1[[#This Row],[Exit Date]] = "", TODAY(), Employee_Sample_Data_1[[#This Row],[Exit Date]]), "Y")</f>
        <v>3</v>
      </c>
    </row>
    <row r="236" spans="1:20" x14ac:dyDescent="0.25">
      <c r="A236" t="s">
        <v>548</v>
      </c>
      <c r="B236" t="s">
        <v>549</v>
      </c>
      <c r="C236" t="s">
        <v>161</v>
      </c>
      <c r="D236" t="s">
        <v>32</v>
      </c>
      <c r="E236" t="s">
        <v>33</v>
      </c>
      <c r="F236" t="s">
        <v>19</v>
      </c>
      <c r="G236" t="s">
        <v>40</v>
      </c>
      <c r="H236">
        <v>30</v>
      </c>
      <c r="I236" s="1">
        <v>42744</v>
      </c>
      <c r="J236" s="1" t="str">
        <f>TEXT(Employee_Sample_Data_1[[#This Row],[Hire Date]], "dddd")</f>
        <v>Monday</v>
      </c>
      <c r="K236" s="1" t="str">
        <f>TEXT(Employee_Sample_Data_1[[#This Row],[Hire Date]], "mmmm")</f>
        <v>January</v>
      </c>
      <c r="L236" s="1" t="str">
        <f>TEXT(Employee_Sample_Data_1[[#This Row],[Hire Date]], "yyyy")</f>
        <v>2017</v>
      </c>
      <c r="M236" s="2">
        <v>80389</v>
      </c>
      <c r="N236" s="3">
        <v>0</v>
      </c>
      <c r="O236" s="9">
        <f>PRODUCT(Employee_Sample_Data_1[[#This Row],[Annual Salary]],Employee_Sample_Data_1[[#This Row],[Bonus %]])</f>
        <v>0</v>
      </c>
      <c r="P236" s="2">
        <f>ROUND(Employee_Sample_Data_1[[#This Row],[Annual Salary]]*(1+Employee_Sample_Data_1[[#This Row],[Bonus %]]), 0)</f>
        <v>80389</v>
      </c>
      <c r="Q236" t="s">
        <v>134</v>
      </c>
      <c r="R236" t="s">
        <v>286</v>
      </c>
      <c r="S236" s="1">
        <v>42988</v>
      </c>
      <c r="T236">
        <f ca="1">DATEDIF(Employee_Sample_Data_1[[#This Row],[Hire Date]], IF(Employee_Sample_Data_1[[#This Row],[Exit Date]] = "", TODAY(), Employee_Sample_Data_1[[#This Row],[Exit Date]]), "Y")</f>
        <v>0</v>
      </c>
    </row>
    <row r="237" spans="1:20" x14ac:dyDescent="0.25">
      <c r="A237" t="s">
        <v>550</v>
      </c>
      <c r="B237" t="s">
        <v>551</v>
      </c>
      <c r="C237" t="s">
        <v>86</v>
      </c>
      <c r="D237" t="s">
        <v>17</v>
      </c>
      <c r="E237" t="s">
        <v>53</v>
      </c>
      <c r="F237" t="s">
        <v>39</v>
      </c>
      <c r="G237" t="s">
        <v>63</v>
      </c>
      <c r="H237">
        <v>26</v>
      </c>
      <c r="I237" s="1">
        <v>44584</v>
      </c>
      <c r="J237" s="1" t="str">
        <f>TEXT(Employee_Sample_Data_1[[#This Row],[Hire Date]], "dddd")</f>
        <v>Sunday</v>
      </c>
      <c r="K237" s="1" t="str">
        <f>TEXT(Employee_Sample_Data_1[[#This Row],[Hire Date]], "mmmm")</f>
        <v>January</v>
      </c>
      <c r="L237" s="1" t="str">
        <f>TEXT(Employee_Sample_Data_1[[#This Row],[Hire Date]], "yyyy")</f>
        <v>2022</v>
      </c>
      <c r="M237" s="2">
        <v>249062</v>
      </c>
      <c r="N237" s="3">
        <v>0.39</v>
      </c>
      <c r="O237" s="9">
        <f>PRODUCT(Employee_Sample_Data_1[[#This Row],[Annual Salary]],Employee_Sample_Data_1[[#This Row],[Bonus %]])</f>
        <v>97134.180000000008</v>
      </c>
      <c r="P237" s="2">
        <f>ROUND(Employee_Sample_Data_1[[#This Row],[Annual Salary]]*(1+Employee_Sample_Data_1[[#This Row],[Bonus %]]), 0)</f>
        <v>346196</v>
      </c>
      <c r="Q237" t="s">
        <v>21</v>
      </c>
      <c r="R237" t="s">
        <v>67</v>
      </c>
      <c r="T237">
        <f ca="1">DATEDIF(Employee_Sample_Data_1[[#This Row],[Hire Date]], IF(Employee_Sample_Data_1[[#This Row],[Exit Date]] = "", TODAY(), Employee_Sample_Data_1[[#This Row],[Exit Date]]), "Y")</f>
        <v>4</v>
      </c>
    </row>
    <row r="238" spans="1:20" x14ac:dyDescent="0.25">
      <c r="A238" t="s">
        <v>552</v>
      </c>
      <c r="B238" t="s">
        <v>553</v>
      </c>
      <c r="C238" t="s">
        <v>156</v>
      </c>
      <c r="D238" t="s">
        <v>32</v>
      </c>
      <c r="E238" t="s">
        <v>27</v>
      </c>
      <c r="F238" t="s">
        <v>39</v>
      </c>
      <c r="G238" t="s">
        <v>40</v>
      </c>
      <c r="H238">
        <v>53</v>
      </c>
      <c r="I238" s="1">
        <v>41282</v>
      </c>
      <c r="J238" s="1" t="str">
        <f>TEXT(Employee_Sample_Data_1[[#This Row],[Hire Date]], "dddd")</f>
        <v>Tuesday</v>
      </c>
      <c r="K238" s="1" t="str">
        <f>TEXT(Employee_Sample_Data_1[[#This Row],[Hire Date]], "mmmm")</f>
        <v>January</v>
      </c>
      <c r="L238" s="1" t="str">
        <f>TEXT(Employee_Sample_Data_1[[#This Row],[Hire Date]], "yyyy")</f>
        <v>2013</v>
      </c>
      <c r="M238" s="2">
        <v>52675</v>
      </c>
      <c r="N238" s="3">
        <v>0</v>
      </c>
      <c r="O238" s="9">
        <f>PRODUCT(Employee_Sample_Data_1[[#This Row],[Annual Salary]],Employee_Sample_Data_1[[#This Row],[Bonus %]])</f>
        <v>0</v>
      </c>
      <c r="P238" s="2">
        <f>ROUND(Employee_Sample_Data_1[[#This Row],[Annual Salary]]*(1+Employee_Sample_Data_1[[#This Row],[Bonus %]]), 0)</f>
        <v>52675</v>
      </c>
      <c r="Q238" t="s">
        <v>134</v>
      </c>
      <c r="R238" t="s">
        <v>286</v>
      </c>
      <c r="T238">
        <f ca="1">DATEDIF(Employee_Sample_Data_1[[#This Row],[Hire Date]], IF(Employee_Sample_Data_1[[#This Row],[Exit Date]] = "", TODAY(), Employee_Sample_Data_1[[#This Row],[Exit Date]]), "Y")</f>
        <v>13</v>
      </c>
    </row>
    <row r="239" spans="1:20" x14ac:dyDescent="0.25">
      <c r="A239" t="s">
        <v>554</v>
      </c>
      <c r="B239" t="s">
        <v>555</v>
      </c>
      <c r="C239" t="s">
        <v>402</v>
      </c>
      <c r="D239" t="s">
        <v>26</v>
      </c>
      <c r="E239" t="s">
        <v>18</v>
      </c>
      <c r="F239" t="s">
        <v>19</v>
      </c>
      <c r="G239" t="s">
        <v>20</v>
      </c>
      <c r="H239">
        <v>59</v>
      </c>
      <c r="I239" s="1">
        <v>41770</v>
      </c>
      <c r="J239" s="1" t="str">
        <f>TEXT(Employee_Sample_Data_1[[#This Row],[Hire Date]], "dddd")</f>
        <v>Sunday</v>
      </c>
      <c r="K239" s="1" t="str">
        <f>TEXT(Employee_Sample_Data_1[[#This Row],[Hire Date]], "mmmm")</f>
        <v>May</v>
      </c>
      <c r="L239" s="1" t="str">
        <f>TEXT(Employee_Sample_Data_1[[#This Row],[Hire Date]], "yyyy")</f>
        <v>2014</v>
      </c>
      <c r="M239" s="2">
        <v>83365</v>
      </c>
      <c r="N239" s="3">
        <v>0</v>
      </c>
      <c r="O239" s="9">
        <f>PRODUCT(Employee_Sample_Data_1[[#This Row],[Annual Salary]],Employee_Sample_Data_1[[#This Row],[Bonus %]])</f>
        <v>0</v>
      </c>
      <c r="P239" s="2">
        <f>ROUND(Employee_Sample_Data_1[[#This Row],[Annual Salary]]*(1+Employee_Sample_Data_1[[#This Row],[Bonus %]]), 0)</f>
        <v>83365</v>
      </c>
      <c r="Q239" t="s">
        <v>34</v>
      </c>
      <c r="R239" t="s">
        <v>54</v>
      </c>
      <c r="T239">
        <f ca="1">DATEDIF(Employee_Sample_Data_1[[#This Row],[Hire Date]], IF(Employee_Sample_Data_1[[#This Row],[Exit Date]] = "", TODAY(), Employee_Sample_Data_1[[#This Row],[Exit Date]]), "Y")</f>
        <v>12</v>
      </c>
    </row>
    <row r="240" spans="1:20" x14ac:dyDescent="0.25">
      <c r="A240" t="s">
        <v>556</v>
      </c>
      <c r="B240" t="s">
        <v>557</v>
      </c>
      <c r="C240" t="s">
        <v>224</v>
      </c>
      <c r="D240" t="s">
        <v>32</v>
      </c>
      <c r="E240" t="s">
        <v>53</v>
      </c>
      <c r="F240" t="s">
        <v>19</v>
      </c>
      <c r="G240" t="s">
        <v>20</v>
      </c>
      <c r="H240">
        <v>56</v>
      </c>
      <c r="I240" s="1">
        <v>37850</v>
      </c>
      <c r="J240" s="1" t="str">
        <f>TEXT(Employee_Sample_Data_1[[#This Row],[Hire Date]], "dddd")</f>
        <v>Sunday</v>
      </c>
      <c r="K240" s="1" t="str">
        <f>TEXT(Employee_Sample_Data_1[[#This Row],[Hire Date]], "mmmm")</f>
        <v>August</v>
      </c>
      <c r="L240" s="1" t="str">
        <f>TEXT(Employee_Sample_Data_1[[#This Row],[Hire Date]], "yyyy")</f>
        <v>2003</v>
      </c>
      <c r="M240" s="2">
        <v>82758</v>
      </c>
      <c r="N240" s="3">
        <v>0</v>
      </c>
      <c r="O240" s="9">
        <f>PRODUCT(Employee_Sample_Data_1[[#This Row],[Annual Salary]],Employee_Sample_Data_1[[#This Row],[Bonus %]])</f>
        <v>0</v>
      </c>
      <c r="P240" s="2">
        <f>ROUND(Employee_Sample_Data_1[[#This Row],[Annual Salary]]*(1+Employee_Sample_Data_1[[#This Row],[Bonus %]]), 0)</f>
        <v>82758</v>
      </c>
      <c r="Q240" t="s">
        <v>21</v>
      </c>
      <c r="R240" t="s">
        <v>41</v>
      </c>
      <c r="T240">
        <f ca="1">DATEDIF(Employee_Sample_Data_1[[#This Row],[Hire Date]], IF(Employee_Sample_Data_1[[#This Row],[Exit Date]] = "", TODAY(), Employee_Sample_Data_1[[#This Row],[Exit Date]]), "Y")</f>
        <v>22</v>
      </c>
    </row>
    <row r="241" spans="1:20" x14ac:dyDescent="0.25">
      <c r="A241" t="s">
        <v>558</v>
      </c>
      <c r="B241" t="s">
        <v>559</v>
      </c>
      <c r="C241" t="s">
        <v>66</v>
      </c>
      <c r="D241" t="s">
        <v>32</v>
      </c>
      <c r="E241" t="s">
        <v>27</v>
      </c>
      <c r="F241" t="s">
        <v>19</v>
      </c>
      <c r="G241" t="s">
        <v>63</v>
      </c>
      <c r="H241">
        <v>41</v>
      </c>
      <c r="I241" s="1">
        <v>41059</v>
      </c>
      <c r="J241" s="1" t="str">
        <f>TEXT(Employee_Sample_Data_1[[#This Row],[Hire Date]], "dddd")</f>
        <v>Wednesday</v>
      </c>
      <c r="K241" s="1" t="str">
        <f>TEXT(Employee_Sample_Data_1[[#This Row],[Hire Date]], "mmmm")</f>
        <v>May</v>
      </c>
      <c r="L241" s="1" t="str">
        <f>TEXT(Employee_Sample_Data_1[[#This Row],[Hire Date]], "yyyy")</f>
        <v>2012</v>
      </c>
      <c r="M241" s="2">
        <v>126406</v>
      </c>
      <c r="N241" s="3">
        <v>0.1</v>
      </c>
      <c r="O241" s="9">
        <f>PRODUCT(Employee_Sample_Data_1[[#This Row],[Annual Salary]],Employee_Sample_Data_1[[#This Row],[Bonus %]])</f>
        <v>12640.6</v>
      </c>
      <c r="P241" s="2">
        <f>ROUND(Employee_Sample_Data_1[[#This Row],[Annual Salary]]*(1+Employee_Sample_Data_1[[#This Row],[Bonus %]]), 0)</f>
        <v>139047</v>
      </c>
      <c r="Q241" t="s">
        <v>21</v>
      </c>
      <c r="R241" t="s">
        <v>28</v>
      </c>
      <c r="T241">
        <f ca="1">DATEDIF(Employee_Sample_Data_1[[#This Row],[Hire Date]], IF(Employee_Sample_Data_1[[#This Row],[Exit Date]] = "", TODAY(), Employee_Sample_Data_1[[#This Row],[Exit Date]]), "Y")</f>
        <v>14</v>
      </c>
    </row>
    <row r="242" spans="1:20" x14ac:dyDescent="0.25">
      <c r="A242" t="s">
        <v>560</v>
      </c>
      <c r="B242" t="s">
        <v>561</v>
      </c>
      <c r="C242" t="s">
        <v>66</v>
      </c>
      <c r="D242" t="s">
        <v>77</v>
      </c>
      <c r="E242" t="s">
        <v>27</v>
      </c>
      <c r="F242" t="s">
        <v>39</v>
      </c>
      <c r="G242" t="s">
        <v>20</v>
      </c>
      <c r="H242">
        <v>46</v>
      </c>
      <c r="I242" s="1">
        <v>42759</v>
      </c>
      <c r="J242" s="1" t="str">
        <f>TEXT(Employee_Sample_Data_1[[#This Row],[Hire Date]], "dddd")</f>
        <v>Tuesday</v>
      </c>
      <c r="K242" s="1" t="str">
        <f>TEXT(Employee_Sample_Data_1[[#This Row],[Hire Date]], "mmmm")</f>
        <v>January</v>
      </c>
      <c r="L242" s="1" t="str">
        <f>TEXT(Employee_Sample_Data_1[[#This Row],[Hire Date]], "yyyy")</f>
        <v>2017</v>
      </c>
      <c r="M242" s="2">
        <v>103147</v>
      </c>
      <c r="N242" s="3">
        <v>0.06</v>
      </c>
      <c r="O242" s="9">
        <f>PRODUCT(Employee_Sample_Data_1[[#This Row],[Annual Salary]],Employee_Sample_Data_1[[#This Row],[Bonus %]])</f>
        <v>6188.82</v>
      </c>
      <c r="P242" s="2">
        <f>ROUND(Employee_Sample_Data_1[[#This Row],[Annual Salary]]*(1+Employee_Sample_Data_1[[#This Row],[Bonus %]]), 0)</f>
        <v>109336</v>
      </c>
      <c r="Q242" t="s">
        <v>21</v>
      </c>
      <c r="R242" t="s">
        <v>67</v>
      </c>
      <c r="T242">
        <f ca="1">DATEDIF(Employee_Sample_Data_1[[#This Row],[Hire Date]], IF(Employee_Sample_Data_1[[#This Row],[Exit Date]] = "", TODAY(), Employee_Sample_Data_1[[#This Row],[Exit Date]]), "Y")</f>
        <v>9</v>
      </c>
    </row>
    <row r="243" spans="1:20" x14ac:dyDescent="0.25">
      <c r="A243" t="s">
        <v>562</v>
      </c>
      <c r="B243" t="s">
        <v>563</v>
      </c>
      <c r="C243" t="s">
        <v>38</v>
      </c>
      <c r="D243" t="s">
        <v>32</v>
      </c>
      <c r="E243" t="s">
        <v>18</v>
      </c>
      <c r="F243" t="s">
        <v>19</v>
      </c>
      <c r="G243" t="s">
        <v>40</v>
      </c>
      <c r="H243">
        <v>49</v>
      </c>
      <c r="I243" s="1">
        <v>44108</v>
      </c>
      <c r="J243" s="1" t="str">
        <f>TEXT(Employee_Sample_Data_1[[#This Row],[Hire Date]], "dddd")</f>
        <v>Sunday</v>
      </c>
      <c r="K243" s="1" t="str">
        <f>TEXT(Employee_Sample_Data_1[[#This Row],[Hire Date]], "mmmm")</f>
        <v>October</v>
      </c>
      <c r="L243" s="1" t="str">
        <f>TEXT(Employee_Sample_Data_1[[#This Row],[Hire Date]], "yyyy")</f>
        <v>2020</v>
      </c>
      <c r="M243" s="2">
        <v>81622</v>
      </c>
      <c r="N243" s="3">
        <v>0</v>
      </c>
      <c r="O243" s="9">
        <f>PRODUCT(Employee_Sample_Data_1[[#This Row],[Annual Salary]],Employee_Sample_Data_1[[#This Row],[Bonus %]])</f>
        <v>0</v>
      </c>
      <c r="P243" s="2">
        <f>ROUND(Employee_Sample_Data_1[[#This Row],[Annual Salary]]*(1+Employee_Sample_Data_1[[#This Row],[Bonus %]]), 0)</f>
        <v>81622</v>
      </c>
      <c r="Q243" t="s">
        <v>21</v>
      </c>
      <c r="R243" t="s">
        <v>28</v>
      </c>
      <c r="T243">
        <f ca="1">DATEDIF(Employee_Sample_Data_1[[#This Row],[Hire Date]], IF(Employee_Sample_Data_1[[#This Row],[Exit Date]] = "", TODAY(), Employee_Sample_Data_1[[#This Row],[Exit Date]]), "Y")</f>
        <v>5</v>
      </c>
    </row>
    <row r="244" spans="1:20" x14ac:dyDescent="0.25">
      <c r="A244" t="s">
        <v>564</v>
      </c>
      <c r="B244" t="s">
        <v>565</v>
      </c>
      <c r="C244" t="s">
        <v>70</v>
      </c>
      <c r="D244" t="s">
        <v>32</v>
      </c>
      <c r="E244" t="s">
        <v>53</v>
      </c>
      <c r="F244" t="s">
        <v>19</v>
      </c>
      <c r="G244" t="s">
        <v>63</v>
      </c>
      <c r="H244">
        <v>42</v>
      </c>
      <c r="I244" s="1">
        <v>44270</v>
      </c>
      <c r="J244" s="1" t="str">
        <f>TEXT(Employee_Sample_Data_1[[#This Row],[Hire Date]], "dddd")</f>
        <v>Monday</v>
      </c>
      <c r="K244" s="1" t="str">
        <f>TEXT(Employee_Sample_Data_1[[#This Row],[Hire Date]], "mmmm")</f>
        <v>March</v>
      </c>
      <c r="L244" s="1" t="str">
        <f>TEXT(Employee_Sample_Data_1[[#This Row],[Hire Date]], "yyyy")</f>
        <v>2021</v>
      </c>
      <c r="M244" s="2">
        <v>44265</v>
      </c>
      <c r="N244" s="3">
        <v>0</v>
      </c>
      <c r="O244" s="9">
        <f>PRODUCT(Employee_Sample_Data_1[[#This Row],[Annual Salary]],Employee_Sample_Data_1[[#This Row],[Bonus %]])</f>
        <v>0</v>
      </c>
      <c r="P244" s="2">
        <f>ROUND(Employee_Sample_Data_1[[#This Row],[Annual Salary]]*(1+Employee_Sample_Data_1[[#This Row],[Bonus %]]), 0)</f>
        <v>44265</v>
      </c>
      <c r="Q244" t="s">
        <v>21</v>
      </c>
      <c r="R244" t="s">
        <v>45</v>
      </c>
      <c r="S244" s="1">
        <v>44739</v>
      </c>
      <c r="T244">
        <f ca="1">DATEDIF(Employee_Sample_Data_1[[#This Row],[Hire Date]], IF(Employee_Sample_Data_1[[#This Row],[Exit Date]] = "", TODAY(), Employee_Sample_Data_1[[#This Row],[Exit Date]]), "Y")</f>
        <v>1</v>
      </c>
    </row>
    <row r="245" spans="1:20" x14ac:dyDescent="0.25">
      <c r="A245" t="s">
        <v>566</v>
      </c>
      <c r="B245" t="s">
        <v>567</v>
      </c>
      <c r="C245" t="s">
        <v>86</v>
      </c>
      <c r="D245" t="s">
        <v>26</v>
      </c>
      <c r="E245" t="s">
        <v>53</v>
      </c>
      <c r="F245" t="s">
        <v>39</v>
      </c>
      <c r="G245" t="s">
        <v>20</v>
      </c>
      <c r="H245">
        <v>55</v>
      </c>
      <c r="I245" s="1">
        <v>36222</v>
      </c>
      <c r="J245" s="1" t="str">
        <f>TEXT(Employee_Sample_Data_1[[#This Row],[Hire Date]], "dddd")</f>
        <v>Wednesday</v>
      </c>
      <c r="K245" s="1" t="str">
        <f>TEXT(Employee_Sample_Data_1[[#This Row],[Hire Date]], "mmmm")</f>
        <v>March</v>
      </c>
      <c r="L245" s="1" t="str">
        <f>TEXT(Employee_Sample_Data_1[[#This Row],[Hire Date]], "yyyy")</f>
        <v>1999</v>
      </c>
      <c r="M245" s="2">
        <v>213998</v>
      </c>
      <c r="N245" s="3">
        <v>0.34</v>
      </c>
      <c r="O245" s="9">
        <f>PRODUCT(Employee_Sample_Data_1[[#This Row],[Annual Salary]],Employee_Sample_Data_1[[#This Row],[Bonus %]])</f>
        <v>72759.320000000007</v>
      </c>
      <c r="P245" s="2">
        <f>ROUND(Employee_Sample_Data_1[[#This Row],[Annual Salary]]*(1+Employee_Sample_Data_1[[#This Row],[Bonus %]]), 0)</f>
        <v>286757</v>
      </c>
      <c r="Q245" t="s">
        <v>21</v>
      </c>
      <c r="R245" t="s">
        <v>67</v>
      </c>
      <c r="T245">
        <f ca="1">DATEDIF(Employee_Sample_Data_1[[#This Row],[Hire Date]], IF(Employee_Sample_Data_1[[#This Row],[Exit Date]] = "", TODAY(), Employee_Sample_Data_1[[#This Row],[Exit Date]]), "Y")</f>
        <v>27</v>
      </c>
    </row>
    <row r="246" spans="1:20" x14ac:dyDescent="0.25">
      <c r="A246" t="s">
        <v>568</v>
      </c>
      <c r="B246" t="s">
        <v>569</v>
      </c>
      <c r="C246" t="s">
        <v>44</v>
      </c>
      <c r="D246" t="s">
        <v>32</v>
      </c>
      <c r="E246" t="s">
        <v>33</v>
      </c>
      <c r="F246" t="s">
        <v>19</v>
      </c>
      <c r="G246" t="s">
        <v>40</v>
      </c>
      <c r="H246">
        <v>44</v>
      </c>
      <c r="I246" s="1">
        <v>41874</v>
      </c>
      <c r="J246" s="1" t="str">
        <f>TEXT(Employee_Sample_Data_1[[#This Row],[Hire Date]], "dddd")</f>
        <v>Saturday</v>
      </c>
      <c r="K246" s="1" t="str">
        <f>TEXT(Employee_Sample_Data_1[[#This Row],[Hire Date]], "mmmm")</f>
        <v>August</v>
      </c>
      <c r="L246" s="1" t="str">
        <f>TEXT(Employee_Sample_Data_1[[#This Row],[Hire Date]], "yyyy")</f>
        <v>2014</v>
      </c>
      <c r="M246" s="2">
        <v>171823</v>
      </c>
      <c r="N246" s="3">
        <v>0.27</v>
      </c>
      <c r="O246" s="9">
        <f>PRODUCT(Employee_Sample_Data_1[[#This Row],[Annual Salary]],Employee_Sample_Data_1[[#This Row],[Bonus %]])</f>
        <v>46392.210000000006</v>
      </c>
      <c r="P246" s="2">
        <f>ROUND(Employee_Sample_Data_1[[#This Row],[Annual Salary]]*(1+Employee_Sample_Data_1[[#This Row],[Bonus %]]), 0)</f>
        <v>218215</v>
      </c>
      <c r="Q246" t="s">
        <v>21</v>
      </c>
      <c r="R246" t="s">
        <v>22</v>
      </c>
      <c r="T246">
        <f ca="1">DATEDIF(Employee_Sample_Data_1[[#This Row],[Hire Date]], IF(Employee_Sample_Data_1[[#This Row],[Exit Date]] = "", TODAY(), Employee_Sample_Data_1[[#This Row],[Exit Date]]), "Y")</f>
        <v>11</v>
      </c>
    </row>
    <row r="247" spans="1:20" x14ac:dyDescent="0.25">
      <c r="A247" t="s">
        <v>570</v>
      </c>
      <c r="B247" t="s">
        <v>571</v>
      </c>
      <c r="C247" t="s">
        <v>86</v>
      </c>
      <c r="D247" t="s">
        <v>52</v>
      </c>
      <c r="E247" t="s">
        <v>18</v>
      </c>
      <c r="F247" t="s">
        <v>19</v>
      </c>
      <c r="G247" t="s">
        <v>20</v>
      </c>
      <c r="H247">
        <v>28</v>
      </c>
      <c r="I247" s="1">
        <v>43410</v>
      </c>
      <c r="J247" s="1" t="str">
        <f>TEXT(Employee_Sample_Data_1[[#This Row],[Hire Date]], "dddd")</f>
        <v>Tuesday</v>
      </c>
      <c r="K247" s="1" t="str">
        <f>TEXT(Employee_Sample_Data_1[[#This Row],[Hire Date]], "mmmm")</f>
        <v>November</v>
      </c>
      <c r="L247" s="1" t="str">
        <f>TEXT(Employee_Sample_Data_1[[#This Row],[Hire Date]], "yyyy")</f>
        <v>2018</v>
      </c>
      <c r="M247" s="2">
        <v>201013</v>
      </c>
      <c r="N247" s="3">
        <v>0.31</v>
      </c>
      <c r="O247" s="9">
        <f>PRODUCT(Employee_Sample_Data_1[[#This Row],[Annual Salary]],Employee_Sample_Data_1[[#This Row],[Bonus %]])</f>
        <v>62314.03</v>
      </c>
      <c r="P247" s="2">
        <f>ROUND(Employee_Sample_Data_1[[#This Row],[Annual Salary]]*(1+Employee_Sample_Data_1[[#This Row],[Bonus %]]), 0)</f>
        <v>263327</v>
      </c>
      <c r="Q247" t="s">
        <v>21</v>
      </c>
      <c r="R247" t="s">
        <v>48</v>
      </c>
      <c r="T247">
        <f ca="1">DATEDIF(Employee_Sample_Data_1[[#This Row],[Hire Date]], IF(Employee_Sample_Data_1[[#This Row],[Exit Date]] = "", TODAY(), Employee_Sample_Data_1[[#This Row],[Exit Date]]), "Y")</f>
        <v>7</v>
      </c>
    </row>
    <row r="248" spans="1:20" x14ac:dyDescent="0.25">
      <c r="A248" t="s">
        <v>572</v>
      </c>
      <c r="B248" t="s">
        <v>573</v>
      </c>
      <c r="C248" t="s">
        <v>44</v>
      </c>
      <c r="D248" t="s">
        <v>32</v>
      </c>
      <c r="E248" t="s">
        <v>18</v>
      </c>
      <c r="F248" t="s">
        <v>19</v>
      </c>
      <c r="G248" t="s">
        <v>81</v>
      </c>
      <c r="H248">
        <v>41</v>
      </c>
      <c r="I248" s="1">
        <v>41537</v>
      </c>
      <c r="J248" s="1" t="str">
        <f>TEXT(Employee_Sample_Data_1[[#This Row],[Hire Date]], "dddd")</f>
        <v>Friday</v>
      </c>
      <c r="K248" s="1" t="str">
        <f>TEXT(Employee_Sample_Data_1[[#This Row],[Hire Date]], "mmmm")</f>
        <v>September</v>
      </c>
      <c r="L248" s="1" t="str">
        <f>TEXT(Employee_Sample_Data_1[[#This Row],[Hire Date]], "yyyy")</f>
        <v>2013</v>
      </c>
      <c r="M248" s="2">
        <v>192944</v>
      </c>
      <c r="N248" s="3">
        <v>0.22</v>
      </c>
      <c r="O248" s="9">
        <f>PRODUCT(Employee_Sample_Data_1[[#This Row],[Annual Salary]],Employee_Sample_Data_1[[#This Row],[Bonus %]])</f>
        <v>42447.68</v>
      </c>
      <c r="P248" s="2">
        <f>ROUND(Employee_Sample_Data_1[[#This Row],[Annual Salary]]*(1+Employee_Sample_Data_1[[#This Row],[Bonus %]]), 0)</f>
        <v>235392</v>
      </c>
      <c r="Q248" t="s">
        <v>21</v>
      </c>
      <c r="R248" t="s">
        <v>67</v>
      </c>
      <c r="T248">
        <f ca="1">DATEDIF(Employee_Sample_Data_1[[#This Row],[Hire Date]], IF(Employee_Sample_Data_1[[#This Row],[Exit Date]] = "", TODAY(), Employee_Sample_Data_1[[#This Row],[Exit Date]]), "Y")</f>
        <v>12</v>
      </c>
    </row>
    <row r="249" spans="1:20" x14ac:dyDescent="0.25">
      <c r="A249" t="s">
        <v>574</v>
      </c>
      <c r="B249" t="s">
        <v>575</v>
      </c>
      <c r="C249" t="s">
        <v>16</v>
      </c>
      <c r="D249" t="s">
        <v>17</v>
      </c>
      <c r="E249" t="s">
        <v>18</v>
      </c>
      <c r="F249" t="s">
        <v>19</v>
      </c>
      <c r="G249" t="s">
        <v>20</v>
      </c>
      <c r="H249">
        <v>60</v>
      </c>
      <c r="I249" s="1">
        <v>35321</v>
      </c>
      <c r="J249" s="1" t="str">
        <f>TEXT(Employee_Sample_Data_1[[#This Row],[Hire Date]], "dddd")</f>
        <v>Friday</v>
      </c>
      <c r="K249" s="1" t="str">
        <f>TEXT(Employee_Sample_Data_1[[#This Row],[Hire Date]], "mmmm")</f>
        <v>September</v>
      </c>
      <c r="L249" s="1" t="str">
        <f>TEXT(Employee_Sample_Data_1[[#This Row],[Hire Date]], "yyyy")</f>
        <v>1996</v>
      </c>
      <c r="M249" s="2">
        <v>81699</v>
      </c>
      <c r="N249" s="3">
        <v>0</v>
      </c>
      <c r="O249" s="9">
        <f>PRODUCT(Employee_Sample_Data_1[[#This Row],[Annual Salary]],Employee_Sample_Data_1[[#This Row],[Bonus %]])</f>
        <v>0</v>
      </c>
      <c r="P249" s="2">
        <f>ROUND(Employee_Sample_Data_1[[#This Row],[Annual Salary]]*(1+Employee_Sample_Data_1[[#This Row],[Bonus %]]), 0)</f>
        <v>81699</v>
      </c>
      <c r="Q249" t="s">
        <v>34</v>
      </c>
      <c r="R249" t="s">
        <v>108</v>
      </c>
      <c r="T249">
        <f ca="1">DATEDIF(Employee_Sample_Data_1[[#This Row],[Hire Date]], IF(Employee_Sample_Data_1[[#This Row],[Exit Date]] = "", TODAY(), Employee_Sample_Data_1[[#This Row],[Exit Date]]), "Y")</f>
        <v>29</v>
      </c>
    </row>
    <row r="250" spans="1:20" x14ac:dyDescent="0.25">
      <c r="A250" t="s">
        <v>576</v>
      </c>
      <c r="B250" t="s">
        <v>577</v>
      </c>
      <c r="C250" t="s">
        <v>66</v>
      </c>
      <c r="D250" t="s">
        <v>26</v>
      </c>
      <c r="E250" t="s">
        <v>18</v>
      </c>
      <c r="F250" t="s">
        <v>39</v>
      </c>
      <c r="G250" t="s">
        <v>20</v>
      </c>
      <c r="H250">
        <v>54</v>
      </c>
      <c r="I250" s="1">
        <v>40131</v>
      </c>
      <c r="J250" s="1" t="str">
        <f>TEXT(Employee_Sample_Data_1[[#This Row],[Hire Date]], "dddd")</f>
        <v>Saturday</v>
      </c>
      <c r="K250" s="1" t="str">
        <f>TEXT(Employee_Sample_Data_1[[#This Row],[Hire Date]], "mmmm")</f>
        <v>November</v>
      </c>
      <c r="L250" s="1" t="str">
        <f>TEXT(Employee_Sample_Data_1[[#This Row],[Hire Date]], "yyyy")</f>
        <v>2009</v>
      </c>
      <c r="M250" s="2">
        <v>128791</v>
      </c>
      <c r="N250" s="3">
        <v>0.06</v>
      </c>
      <c r="O250" s="9">
        <f>PRODUCT(Employee_Sample_Data_1[[#This Row],[Annual Salary]],Employee_Sample_Data_1[[#This Row],[Bonus %]])</f>
        <v>7727.46</v>
      </c>
      <c r="P250" s="2">
        <f>ROUND(Employee_Sample_Data_1[[#This Row],[Annual Salary]]*(1+Employee_Sample_Data_1[[#This Row],[Bonus %]]), 0)</f>
        <v>136518</v>
      </c>
      <c r="Q250" t="s">
        <v>21</v>
      </c>
      <c r="R250" t="s">
        <v>67</v>
      </c>
      <c r="T250">
        <f ca="1">DATEDIF(Employee_Sample_Data_1[[#This Row],[Hire Date]], IF(Employee_Sample_Data_1[[#This Row],[Exit Date]] = "", TODAY(), Employee_Sample_Data_1[[#This Row],[Exit Date]]), "Y")</f>
        <v>16</v>
      </c>
    </row>
    <row r="251" spans="1:20" x14ac:dyDescent="0.25">
      <c r="A251" t="s">
        <v>578</v>
      </c>
      <c r="B251" t="s">
        <v>579</v>
      </c>
      <c r="C251" t="s">
        <v>66</v>
      </c>
      <c r="D251" t="s">
        <v>32</v>
      </c>
      <c r="E251" t="s">
        <v>33</v>
      </c>
      <c r="F251" t="s">
        <v>39</v>
      </c>
      <c r="G251" t="s">
        <v>40</v>
      </c>
      <c r="H251">
        <v>34</v>
      </c>
      <c r="I251" s="1">
        <v>42280</v>
      </c>
      <c r="J251" s="1" t="str">
        <f>TEXT(Employee_Sample_Data_1[[#This Row],[Hire Date]], "dddd")</f>
        <v>Saturday</v>
      </c>
      <c r="K251" s="1" t="str">
        <f>TEXT(Employee_Sample_Data_1[[#This Row],[Hire Date]], "mmmm")</f>
        <v>October</v>
      </c>
      <c r="L251" s="1" t="str">
        <f>TEXT(Employee_Sample_Data_1[[#This Row],[Hire Date]], "yyyy")</f>
        <v>2015</v>
      </c>
      <c r="M251" s="2">
        <v>126898</v>
      </c>
      <c r="N251" s="3">
        <v>0.1</v>
      </c>
      <c r="O251" s="9">
        <f>PRODUCT(Employee_Sample_Data_1[[#This Row],[Annual Salary]],Employee_Sample_Data_1[[#This Row],[Bonus %]])</f>
        <v>12689.800000000001</v>
      </c>
      <c r="P251" s="2">
        <f>ROUND(Employee_Sample_Data_1[[#This Row],[Annual Salary]]*(1+Employee_Sample_Data_1[[#This Row],[Bonus %]]), 0)</f>
        <v>139588</v>
      </c>
      <c r="Q251" t="s">
        <v>134</v>
      </c>
      <c r="R251" t="s">
        <v>286</v>
      </c>
      <c r="T251">
        <f ca="1">DATEDIF(Employee_Sample_Data_1[[#This Row],[Hire Date]], IF(Employee_Sample_Data_1[[#This Row],[Exit Date]] = "", TODAY(), Employee_Sample_Data_1[[#This Row],[Exit Date]]), "Y")</f>
        <v>10</v>
      </c>
    </row>
    <row r="252" spans="1:20" x14ac:dyDescent="0.25">
      <c r="A252" t="s">
        <v>580</v>
      </c>
      <c r="B252" t="s">
        <v>581</v>
      </c>
      <c r="C252" t="s">
        <v>352</v>
      </c>
      <c r="D252" t="s">
        <v>32</v>
      </c>
      <c r="E252" t="s">
        <v>53</v>
      </c>
      <c r="F252" t="s">
        <v>39</v>
      </c>
      <c r="G252" t="s">
        <v>40</v>
      </c>
      <c r="H252">
        <v>53</v>
      </c>
      <c r="I252" s="1">
        <v>43934</v>
      </c>
      <c r="J252" s="1" t="str">
        <f>TEXT(Employee_Sample_Data_1[[#This Row],[Hire Date]], "dddd")</f>
        <v>Monday</v>
      </c>
      <c r="K252" s="1" t="str">
        <f>TEXT(Employee_Sample_Data_1[[#This Row],[Hire Date]], "mmmm")</f>
        <v>April</v>
      </c>
      <c r="L252" s="1" t="str">
        <f>TEXT(Employee_Sample_Data_1[[#This Row],[Hire Date]], "yyyy")</f>
        <v>2020</v>
      </c>
      <c r="M252" s="2">
        <v>93053</v>
      </c>
      <c r="N252" s="3">
        <v>0</v>
      </c>
      <c r="O252" s="9">
        <f>PRODUCT(Employee_Sample_Data_1[[#This Row],[Annual Salary]],Employee_Sample_Data_1[[#This Row],[Bonus %]])</f>
        <v>0</v>
      </c>
      <c r="P252" s="2">
        <f>ROUND(Employee_Sample_Data_1[[#This Row],[Annual Salary]]*(1+Employee_Sample_Data_1[[#This Row],[Bonus %]]), 0)</f>
        <v>93053</v>
      </c>
      <c r="Q252" t="s">
        <v>134</v>
      </c>
      <c r="R252" t="s">
        <v>180</v>
      </c>
      <c r="T252">
        <f ca="1">DATEDIF(Employee_Sample_Data_1[[#This Row],[Hire Date]], IF(Employee_Sample_Data_1[[#This Row],[Exit Date]] = "", TODAY(), Employee_Sample_Data_1[[#This Row],[Exit Date]]), "Y")</f>
        <v>6</v>
      </c>
    </row>
    <row r="253" spans="1:20" x14ac:dyDescent="0.25">
      <c r="A253" t="s">
        <v>582</v>
      </c>
      <c r="B253" t="s">
        <v>583</v>
      </c>
      <c r="C253" t="s">
        <v>70</v>
      </c>
      <c r="D253" t="s">
        <v>32</v>
      </c>
      <c r="E253" t="s">
        <v>27</v>
      </c>
      <c r="F253" t="s">
        <v>39</v>
      </c>
      <c r="G253" t="s">
        <v>20</v>
      </c>
      <c r="H253">
        <v>48</v>
      </c>
      <c r="I253" s="1">
        <v>40805</v>
      </c>
      <c r="J253" s="1" t="str">
        <f>TEXT(Employee_Sample_Data_1[[#This Row],[Hire Date]], "dddd")</f>
        <v>Monday</v>
      </c>
      <c r="K253" s="1" t="str">
        <f>TEXT(Employee_Sample_Data_1[[#This Row],[Hire Date]], "mmmm")</f>
        <v>September</v>
      </c>
      <c r="L253" s="1" t="str">
        <f>TEXT(Employee_Sample_Data_1[[#This Row],[Hire Date]], "yyyy")</f>
        <v>2011</v>
      </c>
      <c r="M253" s="2">
        <v>50513</v>
      </c>
      <c r="N253" s="3">
        <v>0</v>
      </c>
      <c r="O253" s="9">
        <f>PRODUCT(Employee_Sample_Data_1[[#This Row],[Annual Salary]],Employee_Sample_Data_1[[#This Row],[Bonus %]])</f>
        <v>0</v>
      </c>
      <c r="P253" s="2">
        <f>ROUND(Employee_Sample_Data_1[[#This Row],[Annual Salary]]*(1+Employee_Sample_Data_1[[#This Row],[Bonus %]]), 0)</f>
        <v>50513</v>
      </c>
      <c r="Q253" t="s">
        <v>21</v>
      </c>
      <c r="R253" t="s">
        <v>41</v>
      </c>
      <c r="S253" s="1">
        <v>43768</v>
      </c>
      <c r="T253">
        <f ca="1">DATEDIF(Employee_Sample_Data_1[[#This Row],[Hire Date]], IF(Employee_Sample_Data_1[[#This Row],[Exit Date]] = "", TODAY(), Employee_Sample_Data_1[[#This Row],[Exit Date]]), "Y")</f>
        <v>8</v>
      </c>
    </row>
    <row r="254" spans="1:20" x14ac:dyDescent="0.25">
      <c r="A254" t="s">
        <v>584</v>
      </c>
      <c r="B254" t="s">
        <v>585</v>
      </c>
      <c r="C254" t="s">
        <v>402</v>
      </c>
      <c r="D254" t="s">
        <v>26</v>
      </c>
      <c r="E254" t="s">
        <v>27</v>
      </c>
      <c r="F254" t="s">
        <v>39</v>
      </c>
      <c r="G254" t="s">
        <v>40</v>
      </c>
      <c r="H254">
        <v>43</v>
      </c>
      <c r="I254" s="1">
        <v>42862</v>
      </c>
      <c r="J254" s="1" t="str">
        <f>TEXT(Employee_Sample_Data_1[[#This Row],[Hire Date]], "dddd")</f>
        <v>Sunday</v>
      </c>
      <c r="K254" s="1" t="str">
        <f>TEXT(Employee_Sample_Data_1[[#This Row],[Hire Date]], "mmmm")</f>
        <v>May</v>
      </c>
      <c r="L254" s="1" t="str">
        <f>TEXT(Employee_Sample_Data_1[[#This Row],[Hire Date]], "yyyy")</f>
        <v>2017</v>
      </c>
      <c r="M254" s="2">
        <v>86533</v>
      </c>
      <c r="N254" s="3">
        <v>0</v>
      </c>
      <c r="O254" s="9">
        <f>PRODUCT(Employee_Sample_Data_1[[#This Row],[Annual Salary]],Employee_Sample_Data_1[[#This Row],[Bonus %]])</f>
        <v>0</v>
      </c>
      <c r="P254" s="2">
        <f>ROUND(Employee_Sample_Data_1[[#This Row],[Annual Salary]]*(1+Employee_Sample_Data_1[[#This Row],[Bonus %]]), 0)</f>
        <v>86533</v>
      </c>
      <c r="Q254" t="s">
        <v>21</v>
      </c>
      <c r="R254" t="s">
        <v>22</v>
      </c>
      <c r="T254">
        <f ca="1">DATEDIF(Employee_Sample_Data_1[[#This Row],[Hire Date]], IF(Employee_Sample_Data_1[[#This Row],[Exit Date]] = "", TODAY(), Employee_Sample_Data_1[[#This Row],[Exit Date]]), "Y")</f>
        <v>9</v>
      </c>
    </row>
    <row r="255" spans="1:20" x14ac:dyDescent="0.25">
      <c r="A255" t="s">
        <v>586</v>
      </c>
      <c r="B255" t="s">
        <v>587</v>
      </c>
      <c r="C255" t="s">
        <v>131</v>
      </c>
      <c r="D255" t="s">
        <v>17</v>
      </c>
      <c r="E255" t="s">
        <v>33</v>
      </c>
      <c r="F255" t="s">
        <v>39</v>
      </c>
      <c r="G255" t="s">
        <v>20</v>
      </c>
      <c r="H255">
        <v>60</v>
      </c>
      <c r="I255" s="1">
        <v>35719</v>
      </c>
      <c r="J255" s="1" t="str">
        <f>TEXT(Employee_Sample_Data_1[[#This Row],[Hire Date]], "dddd")</f>
        <v>Thursday</v>
      </c>
      <c r="K255" s="1" t="str">
        <f>TEXT(Employee_Sample_Data_1[[#This Row],[Hire Date]], "mmmm")</f>
        <v>October</v>
      </c>
      <c r="L255" s="1" t="str">
        <f>TEXT(Employee_Sample_Data_1[[#This Row],[Hire Date]], "yyyy")</f>
        <v>1997</v>
      </c>
      <c r="M255" s="2">
        <v>72806</v>
      </c>
      <c r="N255" s="3">
        <v>0</v>
      </c>
      <c r="O255" s="9">
        <f>PRODUCT(Employee_Sample_Data_1[[#This Row],[Annual Salary]],Employee_Sample_Data_1[[#This Row],[Bonus %]])</f>
        <v>0</v>
      </c>
      <c r="P255" s="2">
        <f>ROUND(Employee_Sample_Data_1[[#This Row],[Annual Salary]]*(1+Employee_Sample_Data_1[[#This Row],[Bonus %]]), 0)</f>
        <v>72806</v>
      </c>
      <c r="Q255" t="s">
        <v>34</v>
      </c>
      <c r="R255" t="s">
        <v>54</v>
      </c>
      <c r="T255">
        <f ca="1">DATEDIF(Employee_Sample_Data_1[[#This Row],[Hire Date]], IF(Employee_Sample_Data_1[[#This Row],[Exit Date]] = "", TODAY(), Employee_Sample_Data_1[[#This Row],[Exit Date]]), "Y")</f>
        <v>28</v>
      </c>
    </row>
    <row r="256" spans="1:20" x14ac:dyDescent="0.25">
      <c r="A256" t="s">
        <v>588</v>
      </c>
      <c r="B256" t="s">
        <v>589</v>
      </c>
      <c r="C256" t="s">
        <v>86</v>
      </c>
      <c r="D256" t="s">
        <v>26</v>
      </c>
      <c r="E256" t="s">
        <v>53</v>
      </c>
      <c r="F256" t="s">
        <v>39</v>
      </c>
      <c r="G256" t="s">
        <v>81</v>
      </c>
      <c r="H256">
        <v>42</v>
      </c>
      <c r="I256" s="1">
        <v>43508</v>
      </c>
      <c r="J256" s="1" t="str">
        <f>TEXT(Employee_Sample_Data_1[[#This Row],[Hire Date]], "dddd")</f>
        <v>Tuesday</v>
      </c>
      <c r="K256" s="1" t="str">
        <f>TEXT(Employee_Sample_Data_1[[#This Row],[Hire Date]], "mmmm")</f>
        <v>February</v>
      </c>
      <c r="L256" s="1" t="str">
        <f>TEXT(Employee_Sample_Data_1[[#This Row],[Hire Date]], "yyyy")</f>
        <v>2019</v>
      </c>
      <c r="M256" s="2">
        <v>258115</v>
      </c>
      <c r="N256" s="3">
        <v>0.36</v>
      </c>
      <c r="O256" s="9">
        <f>PRODUCT(Employee_Sample_Data_1[[#This Row],[Annual Salary]],Employee_Sample_Data_1[[#This Row],[Bonus %]])</f>
        <v>92921.4</v>
      </c>
      <c r="P256" s="2">
        <f>ROUND(Employee_Sample_Data_1[[#This Row],[Annual Salary]]*(1+Employee_Sample_Data_1[[#This Row],[Bonus %]]), 0)</f>
        <v>351036</v>
      </c>
      <c r="Q256" t="s">
        <v>21</v>
      </c>
      <c r="R256" t="s">
        <v>45</v>
      </c>
      <c r="T256">
        <f ca="1">DATEDIF(Employee_Sample_Data_1[[#This Row],[Hire Date]], IF(Employee_Sample_Data_1[[#This Row],[Exit Date]] = "", TODAY(), Employee_Sample_Data_1[[#This Row],[Exit Date]]), "Y")</f>
        <v>7</v>
      </c>
    </row>
    <row r="257" spans="1:20" x14ac:dyDescent="0.25">
      <c r="A257" t="s">
        <v>590</v>
      </c>
      <c r="B257" t="s">
        <v>591</v>
      </c>
      <c r="C257" t="s">
        <v>161</v>
      </c>
      <c r="D257" t="s">
        <v>32</v>
      </c>
      <c r="E257" t="s">
        <v>18</v>
      </c>
      <c r="F257" t="s">
        <v>19</v>
      </c>
      <c r="G257" t="s">
        <v>40</v>
      </c>
      <c r="H257">
        <v>52</v>
      </c>
      <c r="I257" s="1">
        <v>39569</v>
      </c>
      <c r="J257" s="1" t="str">
        <f>TEXT(Employee_Sample_Data_1[[#This Row],[Hire Date]], "dddd")</f>
        <v>Thursday</v>
      </c>
      <c r="K257" s="1" t="str">
        <f>TEXT(Employee_Sample_Data_1[[#This Row],[Hire Date]], "mmmm")</f>
        <v>May</v>
      </c>
      <c r="L257" s="1" t="str">
        <f>TEXT(Employee_Sample_Data_1[[#This Row],[Hire Date]], "yyyy")</f>
        <v>2008</v>
      </c>
      <c r="M257" s="2">
        <v>63444</v>
      </c>
      <c r="N257" s="3">
        <v>0</v>
      </c>
      <c r="O257" s="9">
        <f>PRODUCT(Employee_Sample_Data_1[[#This Row],[Annual Salary]],Employee_Sample_Data_1[[#This Row],[Bonus %]])</f>
        <v>0</v>
      </c>
      <c r="P257" s="2">
        <f>ROUND(Employee_Sample_Data_1[[#This Row],[Annual Salary]]*(1+Employee_Sample_Data_1[[#This Row],[Bonus %]]), 0)</f>
        <v>63444</v>
      </c>
      <c r="Q257" t="s">
        <v>21</v>
      </c>
      <c r="R257" t="s">
        <v>67</v>
      </c>
      <c r="T257">
        <f ca="1">DATEDIF(Employee_Sample_Data_1[[#This Row],[Hire Date]], IF(Employee_Sample_Data_1[[#This Row],[Exit Date]] = "", TODAY(), Employee_Sample_Data_1[[#This Row],[Exit Date]]), "Y")</f>
        <v>18</v>
      </c>
    </row>
    <row r="258" spans="1:20" x14ac:dyDescent="0.25">
      <c r="A258" t="s">
        <v>592</v>
      </c>
      <c r="B258" t="s">
        <v>593</v>
      </c>
      <c r="C258" t="s">
        <v>265</v>
      </c>
      <c r="D258" t="s">
        <v>17</v>
      </c>
      <c r="E258" t="s">
        <v>53</v>
      </c>
      <c r="F258" t="s">
        <v>19</v>
      </c>
      <c r="G258" t="s">
        <v>63</v>
      </c>
      <c r="H258">
        <v>50</v>
      </c>
      <c r="I258" s="1">
        <v>36212</v>
      </c>
      <c r="J258" s="1" t="str">
        <f>TEXT(Employee_Sample_Data_1[[#This Row],[Hire Date]], "dddd")</f>
        <v>Sunday</v>
      </c>
      <c r="K258" s="1" t="str">
        <f>TEXT(Employee_Sample_Data_1[[#This Row],[Hire Date]], "mmmm")</f>
        <v>February</v>
      </c>
      <c r="L258" s="1" t="str">
        <f>TEXT(Employee_Sample_Data_1[[#This Row],[Hire Date]], "yyyy")</f>
        <v>1999</v>
      </c>
      <c r="M258" s="2">
        <v>96099</v>
      </c>
      <c r="N258" s="3">
        <v>0.11</v>
      </c>
      <c r="O258" s="9">
        <f>PRODUCT(Employee_Sample_Data_1[[#This Row],[Annual Salary]],Employee_Sample_Data_1[[#This Row],[Bonus %]])</f>
        <v>10570.89</v>
      </c>
      <c r="P258" s="2">
        <f>ROUND(Employee_Sample_Data_1[[#This Row],[Annual Salary]]*(1+Employee_Sample_Data_1[[#This Row],[Bonus %]]), 0)</f>
        <v>106670</v>
      </c>
      <c r="Q258" t="s">
        <v>21</v>
      </c>
      <c r="R258" t="s">
        <v>28</v>
      </c>
      <c r="T258">
        <f ca="1">DATEDIF(Employee_Sample_Data_1[[#This Row],[Hire Date]], IF(Employee_Sample_Data_1[[#This Row],[Exit Date]] = "", TODAY(), Employee_Sample_Data_1[[#This Row],[Exit Date]]), "Y")</f>
        <v>27</v>
      </c>
    </row>
    <row r="259" spans="1:20" x14ac:dyDescent="0.25">
      <c r="A259" t="s">
        <v>594</v>
      </c>
      <c r="B259" t="s">
        <v>595</v>
      </c>
      <c r="C259" t="s">
        <v>38</v>
      </c>
      <c r="D259" t="s">
        <v>32</v>
      </c>
      <c r="E259" t="s">
        <v>18</v>
      </c>
      <c r="F259" t="s">
        <v>39</v>
      </c>
      <c r="G259" t="s">
        <v>40</v>
      </c>
      <c r="H259">
        <v>37</v>
      </c>
      <c r="I259" s="1">
        <v>39873</v>
      </c>
      <c r="J259" s="1" t="str">
        <f>TEXT(Employee_Sample_Data_1[[#This Row],[Hire Date]], "dddd")</f>
        <v>Sunday</v>
      </c>
      <c r="K259" s="1" t="str">
        <f>TEXT(Employee_Sample_Data_1[[#This Row],[Hire Date]], "mmmm")</f>
        <v>March</v>
      </c>
      <c r="L259" s="1" t="str">
        <f>TEXT(Employee_Sample_Data_1[[#This Row],[Hire Date]], "yyyy")</f>
        <v>2009</v>
      </c>
      <c r="M259" s="2">
        <v>92849</v>
      </c>
      <c r="N259" s="3">
        <v>0</v>
      </c>
      <c r="O259" s="9">
        <f>PRODUCT(Employee_Sample_Data_1[[#This Row],[Annual Salary]],Employee_Sample_Data_1[[#This Row],[Bonus %]])</f>
        <v>0</v>
      </c>
      <c r="P259" s="2">
        <f>ROUND(Employee_Sample_Data_1[[#This Row],[Annual Salary]]*(1+Employee_Sample_Data_1[[#This Row],[Bonus %]]), 0)</f>
        <v>92849</v>
      </c>
      <c r="Q259" t="s">
        <v>21</v>
      </c>
      <c r="R259" t="s">
        <v>28</v>
      </c>
      <c r="T259">
        <f ca="1">DATEDIF(Employee_Sample_Data_1[[#This Row],[Hire Date]], IF(Employee_Sample_Data_1[[#This Row],[Exit Date]] = "", TODAY(), Employee_Sample_Data_1[[#This Row],[Exit Date]]), "Y")</f>
        <v>17</v>
      </c>
    </row>
    <row r="260" spans="1:20" x14ac:dyDescent="0.25">
      <c r="A260" t="s">
        <v>596</v>
      </c>
      <c r="B260" t="s">
        <v>597</v>
      </c>
      <c r="C260" t="s">
        <v>402</v>
      </c>
      <c r="D260" t="s">
        <v>26</v>
      </c>
      <c r="E260" t="s">
        <v>18</v>
      </c>
      <c r="F260" t="s">
        <v>19</v>
      </c>
      <c r="G260" t="s">
        <v>20</v>
      </c>
      <c r="H260">
        <v>58</v>
      </c>
      <c r="I260" s="1">
        <v>41940</v>
      </c>
      <c r="J260" s="1" t="str">
        <f>TEXT(Employee_Sample_Data_1[[#This Row],[Hire Date]], "dddd")</f>
        <v>Tuesday</v>
      </c>
      <c r="K260" s="1" t="str">
        <f>TEXT(Employee_Sample_Data_1[[#This Row],[Hire Date]], "mmmm")</f>
        <v>October</v>
      </c>
      <c r="L260" s="1" t="str">
        <f>TEXT(Employee_Sample_Data_1[[#This Row],[Hire Date]], "yyyy")</f>
        <v>2014</v>
      </c>
      <c r="M260" s="2">
        <v>85094</v>
      </c>
      <c r="N260" s="3">
        <v>0</v>
      </c>
      <c r="O260" s="9">
        <f>PRODUCT(Employee_Sample_Data_1[[#This Row],[Annual Salary]],Employee_Sample_Data_1[[#This Row],[Bonus %]])</f>
        <v>0</v>
      </c>
      <c r="P260" s="2">
        <f>ROUND(Employee_Sample_Data_1[[#This Row],[Annual Salary]]*(1+Employee_Sample_Data_1[[#This Row],[Bonus %]]), 0)</f>
        <v>85094</v>
      </c>
      <c r="Q260" t="s">
        <v>34</v>
      </c>
      <c r="R260" t="s">
        <v>59</v>
      </c>
      <c r="T260">
        <f ca="1">DATEDIF(Employee_Sample_Data_1[[#This Row],[Hire Date]], IF(Employee_Sample_Data_1[[#This Row],[Exit Date]] = "", TODAY(), Employee_Sample_Data_1[[#This Row],[Exit Date]]), "Y")</f>
        <v>11</v>
      </c>
    </row>
    <row r="261" spans="1:20" x14ac:dyDescent="0.25">
      <c r="A261" t="s">
        <v>598</v>
      </c>
      <c r="B261" t="s">
        <v>599</v>
      </c>
      <c r="C261" t="s">
        <v>80</v>
      </c>
      <c r="D261" t="s">
        <v>77</v>
      </c>
      <c r="E261" t="s">
        <v>27</v>
      </c>
      <c r="F261" t="s">
        <v>39</v>
      </c>
      <c r="G261" t="s">
        <v>40</v>
      </c>
      <c r="H261">
        <v>39</v>
      </c>
      <c r="I261" s="1">
        <v>42901</v>
      </c>
      <c r="J261" s="1" t="str">
        <f>TEXT(Employee_Sample_Data_1[[#This Row],[Hire Date]], "dddd")</f>
        <v>Thursday</v>
      </c>
      <c r="K261" s="1" t="str">
        <f>TEXT(Employee_Sample_Data_1[[#This Row],[Hire Date]], "mmmm")</f>
        <v>June</v>
      </c>
      <c r="L261" s="1" t="str">
        <f>TEXT(Employee_Sample_Data_1[[#This Row],[Hire Date]], "yyyy")</f>
        <v>2017</v>
      </c>
      <c r="M261" s="2">
        <v>156224</v>
      </c>
      <c r="N261" s="3">
        <v>0.14000000000000001</v>
      </c>
      <c r="O261" s="9">
        <f>PRODUCT(Employee_Sample_Data_1[[#This Row],[Annual Salary]],Employee_Sample_Data_1[[#This Row],[Bonus %]])</f>
        <v>21871.360000000001</v>
      </c>
      <c r="P261" s="2">
        <f>ROUND(Employee_Sample_Data_1[[#This Row],[Annual Salary]]*(1+Employee_Sample_Data_1[[#This Row],[Bonus %]]), 0)</f>
        <v>178095</v>
      </c>
      <c r="Q261" t="s">
        <v>134</v>
      </c>
      <c r="R261" t="s">
        <v>286</v>
      </c>
      <c r="T261">
        <f ca="1">DATEDIF(Employee_Sample_Data_1[[#This Row],[Hire Date]], IF(Employee_Sample_Data_1[[#This Row],[Exit Date]] = "", TODAY(), Employee_Sample_Data_1[[#This Row],[Exit Date]]), "Y")</f>
        <v>8</v>
      </c>
    </row>
    <row r="262" spans="1:20" x14ac:dyDescent="0.25">
      <c r="A262" t="s">
        <v>600</v>
      </c>
      <c r="B262" t="s">
        <v>601</v>
      </c>
      <c r="C262" t="s">
        <v>86</v>
      </c>
      <c r="D262" t="s">
        <v>52</v>
      </c>
      <c r="E262" t="s">
        <v>27</v>
      </c>
      <c r="F262" t="s">
        <v>19</v>
      </c>
      <c r="G262" t="s">
        <v>20</v>
      </c>
      <c r="H262">
        <v>50</v>
      </c>
      <c r="I262" s="1">
        <v>35170</v>
      </c>
      <c r="J262" s="1" t="str">
        <f>TEXT(Employee_Sample_Data_1[[#This Row],[Hire Date]], "dddd")</f>
        <v>Monday</v>
      </c>
      <c r="K262" s="1" t="str">
        <f>TEXT(Employee_Sample_Data_1[[#This Row],[Hire Date]], "mmmm")</f>
        <v>April</v>
      </c>
      <c r="L262" s="1" t="str">
        <f>TEXT(Employee_Sample_Data_1[[#This Row],[Hire Date]], "yyyy")</f>
        <v>1996</v>
      </c>
      <c r="M262" s="2">
        <v>245920</v>
      </c>
      <c r="N262" s="3">
        <v>0.36</v>
      </c>
      <c r="O262" s="9">
        <f>PRODUCT(Employee_Sample_Data_1[[#This Row],[Annual Salary]],Employee_Sample_Data_1[[#This Row],[Bonus %]])</f>
        <v>88531.199999999997</v>
      </c>
      <c r="P262" s="2">
        <f>ROUND(Employee_Sample_Data_1[[#This Row],[Annual Salary]]*(1+Employee_Sample_Data_1[[#This Row],[Bonus %]]), 0)</f>
        <v>334451</v>
      </c>
      <c r="Q262" t="s">
        <v>21</v>
      </c>
      <c r="R262" t="s">
        <v>22</v>
      </c>
      <c r="S262" s="1">
        <v>35201</v>
      </c>
      <c r="T262">
        <f ca="1">DATEDIF(Employee_Sample_Data_1[[#This Row],[Hire Date]], IF(Employee_Sample_Data_1[[#This Row],[Exit Date]] = "", TODAY(), Employee_Sample_Data_1[[#This Row],[Exit Date]]), "Y")</f>
        <v>0</v>
      </c>
    </row>
    <row r="263" spans="1:20" x14ac:dyDescent="0.25">
      <c r="A263" t="s">
        <v>602</v>
      </c>
      <c r="B263" t="s">
        <v>83</v>
      </c>
      <c r="C263" t="s">
        <v>57</v>
      </c>
      <c r="D263" t="s">
        <v>77</v>
      </c>
      <c r="E263" t="s">
        <v>33</v>
      </c>
      <c r="F263" t="s">
        <v>39</v>
      </c>
      <c r="G263" t="s">
        <v>20</v>
      </c>
      <c r="H263">
        <v>51</v>
      </c>
      <c r="I263" s="1">
        <v>39147</v>
      </c>
      <c r="J263" s="1" t="str">
        <f>TEXT(Employee_Sample_Data_1[[#This Row],[Hire Date]], "dddd")</f>
        <v>Tuesday</v>
      </c>
      <c r="K263" s="1" t="str">
        <f>TEXT(Employee_Sample_Data_1[[#This Row],[Hire Date]], "mmmm")</f>
        <v>March</v>
      </c>
      <c r="L263" s="1" t="str">
        <f>TEXT(Employee_Sample_Data_1[[#This Row],[Hire Date]], "yyyy")</f>
        <v>2007</v>
      </c>
      <c r="M263" s="2">
        <v>50214</v>
      </c>
      <c r="N263" s="3">
        <v>0</v>
      </c>
      <c r="O263" s="9">
        <f>PRODUCT(Employee_Sample_Data_1[[#This Row],[Annual Salary]],Employee_Sample_Data_1[[#This Row],[Bonus %]])</f>
        <v>0</v>
      </c>
      <c r="P263" s="2">
        <f>ROUND(Employee_Sample_Data_1[[#This Row],[Annual Salary]]*(1+Employee_Sample_Data_1[[#This Row],[Bonus %]]), 0)</f>
        <v>50214</v>
      </c>
      <c r="Q263" t="s">
        <v>34</v>
      </c>
      <c r="R263" t="s">
        <v>108</v>
      </c>
      <c r="T263">
        <f ca="1">DATEDIF(Employee_Sample_Data_1[[#This Row],[Hire Date]], IF(Employee_Sample_Data_1[[#This Row],[Exit Date]] = "", TODAY(), Employee_Sample_Data_1[[#This Row],[Exit Date]]), "Y")</f>
        <v>19</v>
      </c>
    </row>
    <row r="264" spans="1:20" x14ac:dyDescent="0.25">
      <c r="A264" t="s">
        <v>603</v>
      </c>
      <c r="B264" t="s">
        <v>604</v>
      </c>
      <c r="C264" t="s">
        <v>51</v>
      </c>
      <c r="D264" t="s">
        <v>77</v>
      </c>
      <c r="E264" t="s">
        <v>53</v>
      </c>
      <c r="F264" t="s">
        <v>19</v>
      </c>
      <c r="G264" t="s">
        <v>20</v>
      </c>
      <c r="H264">
        <v>31</v>
      </c>
      <c r="I264" s="1">
        <v>42015</v>
      </c>
      <c r="J264" s="1" t="str">
        <f>TEXT(Employee_Sample_Data_1[[#This Row],[Hire Date]], "dddd")</f>
        <v>Sunday</v>
      </c>
      <c r="K264" s="1" t="str">
        <f>TEXT(Employee_Sample_Data_1[[#This Row],[Hire Date]], "mmmm")</f>
        <v>January</v>
      </c>
      <c r="L264" s="1" t="str">
        <f>TEXT(Employee_Sample_Data_1[[#This Row],[Hire Date]], "yyyy")</f>
        <v>2015</v>
      </c>
      <c r="M264" s="2">
        <v>79713</v>
      </c>
      <c r="N264" s="3">
        <v>0</v>
      </c>
      <c r="O264" s="9">
        <f>PRODUCT(Employee_Sample_Data_1[[#This Row],[Annual Salary]],Employee_Sample_Data_1[[#This Row],[Bonus %]])</f>
        <v>0</v>
      </c>
      <c r="P264" s="2">
        <f>ROUND(Employee_Sample_Data_1[[#This Row],[Annual Salary]]*(1+Employee_Sample_Data_1[[#This Row],[Bonus %]]), 0)</f>
        <v>79713</v>
      </c>
      <c r="Q264" t="s">
        <v>34</v>
      </c>
      <c r="R264" t="s">
        <v>108</v>
      </c>
      <c r="T264">
        <f ca="1">DATEDIF(Employee_Sample_Data_1[[#This Row],[Hire Date]], IF(Employee_Sample_Data_1[[#This Row],[Exit Date]] = "", TODAY(), Employee_Sample_Data_1[[#This Row],[Exit Date]]), "Y")</f>
        <v>11</v>
      </c>
    </row>
    <row r="265" spans="1:20" x14ac:dyDescent="0.25">
      <c r="A265" t="s">
        <v>605</v>
      </c>
      <c r="B265" t="s">
        <v>606</v>
      </c>
      <c r="C265" t="s">
        <v>44</v>
      </c>
      <c r="D265" t="s">
        <v>32</v>
      </c>
      <c r="E265" t="s">
        <v>33</v>
      </c>
      <c r="F265" t="s">
        <v>39</v>
      </c>
      <c r="G265" t="s">
        <v>40</v>
      </c>
      <c r="H265">
        <v>52</v>
      </c>
      <c r="I265" s="1">
        <v>36381</v>
      </c>
      <c r="J265" s="1" t="str">
        <f>TEXT(Employee_Sample_Data_1[[#This Row],[Hire Date]], "dddd")</f>
        <v>Monday</v>
      </c>
      <c r="K265" s="1" t="str">
        <f>TEXT(Employee_Sample_Data_1[[#This Row],[Hire Date]], "mmmm")</f>
        <v>August</v>
      </c>
      <c r="L265" s="1" t="str">
        <f>TEXT(Employee_Sample_Data_1[[#This Row],[Hire Date]], "yyyy")</f>
        <v>1999</v>
      </c>
      <c r="M265" s="2">
        <v>166699</v>
      </c>
      <c r="N265" s="3">
        <v>0.27</v>
      </c>
      <c r="O265" s="9">
        <f>PRODUCT(Employee_Sample_Data_1[[#This Row],[Annual Salary]],Employee_Sample_Data_1[[#This Row],[Bonus %]])</f>
        <v>45008.73</v>
      </c>
      <c r="P265" s="2">
        <f>ROUND(Employee_Sample_Data_1[[#This Row],[Annual Salary]]*(1+Employee_Sample_Data_1[[#This Row],[Bonus %]]), 0)</f>
        <v>211708</v>
      </c>
      <c r="Q265" t="s">
        <v>134</v>
      </c>
      <c r="R265" t="s">
        <v>180</v>
      </c>
      <c r="T265">
        <f ca="1">DATEDIF(Employee_Sample_Data_1[[#This Row],[Hire Date]], IF(Employee_Sample_Data_1[[#This Row],[Exit Date]] = "", TODAY(), Employee_Sample_Data_1[[#This Row],[Exit Date]]), "Y")</f>
        <v>26</v>
      </c>
    </row>
    <row r="266" spans="1:20" x14ac:dyDescent="0.25">
      <c r="A266" t="s">
        <v>607</v>
      </c>
      <c r="B266" t="s">
        <v>608</v>
      </c>
      <c r="C266" t="s">
        <v>31</v>
      </c>
      <c r="D266" t="s">
        <v>32</v>
      </c>
      <c r="E266" t="s">
        <v>33</v>
      </c>
      <c r="F266" t="s">
        <v>39</v>
      </c>
      <c r="G266" t="s">
        <v>63</v>
      </c>
      <c r="H266">
        <v>63</v>
      </c>
      <c r="I266" s="1">
        <v>40532</v>
      </c>
      <c r="J266" s="1" t="str">
        <f>TEXT(Employee_Sample_Data_1[[#This Row],[Hire Date]], "dddd")</f>
        <v>Monday</v>
      </c>
      <c r="K266" s="1" t="str">
        <f>TEXT(Employee_Sample_Data_1[[#This Row],[Hire Date]], "mmmm")</f>
        <v>December</v>
      </c>
      <c r="L266" s="1" t="str">
        <f>TEXT(Employee_Sample_Data_1[[#This Row],[Hire Date]], "yyyy")</f>
        <v>2010</v>
      </c>
      <c r="M266" s="2">
        <v>78788</v>
      </c>
      <c r="N266" s="3">
        <v>0</v>
      </c>
      <c r="O266" s="9">
        <f>PRODUCT(Employee_Sample_Data_1[[#This Row],[Annual Salary]],Employee_Sample_Data_1[[#This Row],[Bonus %]])</f>
        <v>0</v>
      </c>
      <c r="P266" s="2">
        <f>ROUND(Employee_Sample_Data_1[[#This Row],[Annual Salary]]*(1+Employee_Sample_Data_1[[#This Row],[Bonus %]]), 0)</f>
        <v>78788</v>
      </c>
      <c r="Q266" t="s">
        <v>21</v>
      </c>
      <c r="R266" t="s">
        <v>41</v>
      </c>
      <c r="T266">
        <f ca="1">DATEDIF(Employee_Sample_Data_1[[#This Row],[Hire Date]], IF(Employee_Sample_Data_1[[#This Row],[Exit Date]] = "", TODAY(), Employee_Sample_Data_1[[#This Row],[Exit Date]]), "Y")</f>
        <v>15</v>
      </c>
    </row>
    <row r="267" spans="1:20" x14ac:dyDescent="0.25">
      <c r="A267" t="s">
        <v>609</v>
      </c>
      <c r="B267" t="s">
        <v>610</v>
      </c>
      <c r="C267" t="s">
        <v>80</v>
      </c>
      <c r="D267" t="s">
        <v>52</v>
      </c>
      <c r="E267" t="s">
        <v>33</v>
      </c>
      <c r="F267" t="s">
        <v>19</v>
      </c>
      <c r="G267" t="s">
        <v>81</v>
      </c>
      <c r="H267">
        <v>28</v>
      </c>
      <c r="I267" s="1">
        <v>44914</v>
      </c>
      <c r="J267" s="1" t="str">
        <f>TEXT(Employee_Sample_Data_1[[#This Row],[Hire Date]], "dddd")</f>
        <v>Monday</v>
      </c>
      <c r="K267" s="1" t="str">
        <f>TEXT(Employee_Sample_Data_1[[#This Row],[Hire Date]], "mmmm")</f>
        <v>December</v>
      </c>
      <c r="L267" s="1" t="str">
        <f>TEXT(Employee_Sample_Data_1[[#This Row],[Hire Date]], "yyyy")</f>
        <v>2022</v>
      </c>
      <c r="M267" s="2">
        <v>142797</v>
      </c>
      <c r="N267" s="3">
        <v>0.1</v>
      </c>
      <c r="O267" s="9">
        <f>PRODUCT(Employee_Sample_Data_1[[#This Row],[Annual Salary]],Employee_Sample_Data_1[[#This Row],[Bonus %]])</f>
        <v>14279.7</v>
      </c>
      <c r="P267" s="2">
        <f>ROUND(Employee_Sample_Data_1[[#This Row],[Annual Salary]]*(1+Employee_Sample_Data_1[[#This Row],[Bonus %]]), 0)</f>
        <v>157077</v>
      </c>
      <c r="Q267" t="s">
        <v>21</v>
      </c>
      <c r="R267" t="s">
        <v>41</v>
      </c>
      <c r="T267">
        <f ca="1">DATEDIF(Employee_Sample_Data_1[[#This Row],[Hire Date]], IF(Employee_Sample_Data_1[[#This Row],[Exit Date]] = "", TODAY(), Employee_Sample_Data_1[[#This Row],[Exit Date]]), "Y")</f>
        <v>3</v>
      </c>
    </row>
    <row r="268" spans="1:20" x14ac:dyDescent="0.25">
      <c r="A268" t="s">
        <v>611</v>
      </c>
      <c r="B268" t="s">
        <v>612</v>
      </c>
      <c r="C268" t="s">
        <v>86</v>
      </c>
      <c r="D268" t="s">
        <v>58</v>
      </c>
      <c r="E268" t="s">
        <v>33</v>
      </c>
      <c r="F268" t="s">
        <v>39</v>
      </c>
      <c r="G268" t="s">
        <v>40</v>
      </c>
      <c r="H268">
        <v>39</v>
      </c>
      <c r="I268" s="1">
        <v>41106</v>
      </c>
      <c r="J268" s="1" t="str">
        <f>TEXT(Employee_Sample_Data_1[[#This Row],[Hire Date]], "dddd")</f>
        <v>Monday</v>
      </c>
      <c r="K268" s="1" t="str">
        <f>TEXT(Employee_Sample_Data_1[[#This Row],[Hire Date]], "mmmm")</f>
        <v>July</v>
      </c>
      <c r="L268" s="1" t="str">
        <f>TEXT(Employee_Sample_Data_1[[#This Row],[Hire Date]], "yyyy")</f>
        <v>2012</v>
      </c>
      <c r="M268" s="2">
        <v>187516</v>
      </c>
      <c r="N268" s="3">
        <v>0.35</v>
      </c>
      <c r="O268" s="9">
        <f>PRODUCT(Employee_Sample_Data_1[[#This Row],[Annual Salary]],Employee_Sample_Data_1[[#This Row],[Bonus %]])</f>
        <v>65630.599999999991</v>
      </c>
      <c r="P268" s="2">
        <f>ROUND(Employee_Sample_Data_1[[#This Row],[Annual Salary]]*(1+Employee_Sample_Data_1[[#This Row],[Bonus %]]), 0)</f>
        <v>253147</v>
      </c>
      <c r="Q268" t="s">
        <v>134</v>
      </c>
      <c r="R268" t="s">
        <v>180</v>
      </c>
      <c r="T268">
        <f ca="1">DATEDIF(Employee_Sample_Data_1[[#This Row],[Hire Date]], IF(Employee_Sample_Data_1[[#This Row],[Exit Date]] = "", TODAY(), Employee_Sample_Data_1[[#This Row],[Exit Date]]), "Y")</f>
        <v>13</v>
      </c>
    </row>
    <row r="269" spans="1:20" x14ac:dyDescent="0.25">
      <c r="A269" t="s">
        <v>613</v>
      </c>
      <c r="B269" t="s">
        <v>614</v>
      </c>
      <c r="C269" t="s">
        <v>44</v>
      </c>
      <c r="D269" t="s">
        <v>58</v>
      </c>
      <c r="E269" t="s">
        <v>53</v>
      </c>
      <c r="F269" t="s">
        <v>39</v>
      </c>
      <c r="G269" t="s">
        <v>40</v>
      </c>
      <c r="H269">
        <v>36</v>
      </c>
      <c r="I269" s="1">
        <v>41538</v>
      </c>
      <c r="J269" s="1" t="str">
        <f>TEXT(Employee_Sample_Data_1[[#This Row],[Hire Date]], "dddd")</f>
        <v>Saturday</v>
      </c>
      <c r="K269" s="1" t="str">
        <f>TEXT(Employee_Sample_Data_1[[#This Row],[Hire Date]], "mmmm")</f>
        <v>September</v>
      </c>
      <c r="L269" s="1" t="str">
        <f>TEXT(Employee_Sample_Data_1[[#This Row],[Hire Date]], "yyyy")</f>
        <v>2013</v>
      </c>
      <c r="M269" s="2">
        <v>156029</v>
      </c>
      <c r="N269" s="3">
        <v>0.15</v>
      </c>
      <c r="O269" s="9">
        <f>PRODUCT(Employee_Sample_Data_1[[#This Row],[Annual Salary]],Employee_Sample_Data_1[[#This Row],[Bonus %]])</f>
        <v>23404.35</v>
      </c>
      <c r="P269" s="2">
        <f>ROUND(Employee_Sample_Data_1[[#This Row],[Annual Salary]]*(1+Employee_Sample_Data_1[[#This Row],[Bonus %]]), 0)</f>
        <v>179433</v>
      </c>
      <c r="Q269" t="s">
        <v>21</v>
      </c>
      <c r="R269" t="s">
        <v>22</v>
      </c>
      <c r="T269">
        <f ca="1">DATEDIF(Employee_Sample_Data_1[[#This Row],[Hire Date]], IF(Employee_Sample_Data_1[[#This Row],[Exit Date]] = "", TODAY(), Employee_Sample_Data_1[[#This Row],[Exit Date]]), "Y")</f>
        <v>12</v>
      </c>
    </row>
    <row r="270" spans="1:20" x14ac:dyDescent="0.25">
      <c r="A270" t="s">
        <v>615</v>
      </c>
      <c r="B270" t="s">
        <v>616</v>
      </c>
      <c r="C270" t="s">
        <v>80</v>
      </c>
      <c r="D270" t="s">
        <v>52</v>
      </c>
      <c r="E270" t="s">
        <v>53</v>
      </c>
      <c r="F270" t="s">
        <v>39</v>
      </c>
      <c r="G270" t="s">
        <v>40</v>
      </c>
      <c r="H270">
        <v>63</v>
      </c>
      <c r="I270" s="1">
        <v>36161</v>
      </c>
      <c r="J270" s="1" t="str">
        <f>TEXT(Employee_Sample_Data_1[[#This Row],[Hire Date]], "dddd")</f>
        <v>Friday</v>
      </c>
      <c r="K270" s="1" t="str">
        <f>TEXT(Employee_Sample_Data_1[[#This Row],[Hire Date]], "mmmm")</f>
        <v>January</v>
      </c>
      <c r="L270" s="1" t="str">
        <f>TEXT(Employee_Sample_Data_1[[#This Row],[Hire Date]], "yyyy")</f>
        <v>1999</v>
      </c>
      <c r="M270" s="2">
        <v>149582</v>
      </c>
      <c r="N270" s="3">
        <v>0.14000000000000001</v>
      </c>
      <c r="O270" s="9">
        <f>PRODUCT(Employee_Sample_Data_1[[#This Row],[Annual Salary]],Employee_Sample_Data_1[[#This Row],[Bonus %]])</f>
        <v>20941.480000000003</v>
      </c>
      <c r="P270" s="2">
        <f>ROUND(Employee_Sample_Data_1[[#This Row],[Annual Salary]]*(1+Employee_Sample_Data_1[[#This Row],[Bonus %]]), 0)</f>
        <v>170523</v>
      </c>
      <c r="Q270" t="s">
        <v>21</v>
      </c>
      <c r="R270" t="s">
        <v>41</v>
      </c>
      <c r="S270" s="1">
        <v>44258</v>
      </c>
      <c r="T270">
        <f ca="1">DATEDIF(Employee_Sample_Data_1[[#This Row],[Hire Date]], IF(Employee_Sample_Data_1[[#This Row],[Exit Date]] = "", TODAY(), Employee_Sample_Data_1[[#This Row],[Exit Date]]), "Y")</f>
        <v>22</v>
      </c>
    </row>
    <row r="271" spans="1:20" x14ac:dyDescent="0.25">
      <c r="A271" t="s">
        <v>617</v>
      </c>
      <c r="B271" t="s">
        <v>618</v>
      </c>
      <c r="C271" t="s">
        <v>44</v>
      </c>
      <c r="D271" t="s">
        <v>77</v>
      </c>
      <c r="E271" t="s">
        <v>27</v>
      </c>
      <c r="F271" t="s">
        <v>39</v>
      </c>
      <c r="G271" t="s">
        <v>20</v>
      </c>
      <c r="H271">
        <v>47</v>
      </c>
      <c r="I271" s="1">
        <v>41936</v>
      </c>
      <c r="J271" s="1" t="str">
        <f>TEXT(Employee_Sample_Data_1[[#This Row],[Hire Date]], "dddd")</f>
        <v>Friday</v>
      </c>
      <c r="K271" s="1" t="str">
        <f>TEXT(Employee_Sample_Data_1[[#This Row],[Hire Date]], "mmmm")</f>
        <v>October</v>
      </c>
      <c r="L271" s="1" t="str">
        <f>TEXT(Employee_Sample_Data_1[[#This Row],[Hire Date]], "yyyy")</f>
        <v>2014</v>
      </c>
      <c r="M271" s="2">
        <v>163922</v>
      </c>
      <c r="N271" s="3">
        <v>0.21</v>
      </c>
      <c r="O271" s="9">
        <f>PRODUCT(Employee_Sample_Data_1[[#This Row],[Annual Salary]],Employee_Sample_Data_1[[#This Row],[Bonus %]])</f>
        <v>34423.619999999995</v>
      </c>
      <c r="P271" s="2">
        <f>ROUND(Employee_Sample_Data_1[[#This Row],[Annual Salary]]*(1+Employee_Sample_Data_1[[#This Row],[Bonus %]]), 0)</f>
        <v>198346</v>
      </c>
      <c r="Q271" t="s">
        <v>21</v>
      </c>
      <c r="R271" t="s">
        <v>48</v>
      </c>
      <c r="T271">
        <f ca="1">DATEDIF(Employee_Sample_Data_1[[#This Row],[Hire Date]], IF(Employee_Sample_Data_1[[#This Row],[Exit Date]] = "", TODAY(), Employee_Sample_Data_1[[#This Row],[Exit Date]]), "Y")</f>
        <v>11</v>
      </c>
    </row>
    <row r="272" spans="1:20" x14ac:dyDescent="0.25">
      <c r="A272" t="s">
        <v>619</v>
      </c>
      <c r="B272" t="s">
        <v>620</v>
      </c>
      <c r="C272" t="s">
        <v>86</v>
      </c>
      <c r="D272" t="s">
        <v>52</v>
      </c>
      <c r="E272" t="s">
        <v>33</v>
      </c>
      <c r="F272" t="s">
        <v>39</v>
      </c>
      <c r="G272" t="s">
        <v>20</v>
      </c>
      <c r="H272">
        <v>43</v>
      </c>
      <c r="I272" s="1">
        <v>38305</v>
      </c>
      <c r="J272" s="1" t="str">
        <f>TEXT(Employee_Sample_Data_1[[#This Row],[Hire Date]], "dddd")</f>
        <v>Sunday</v>
      </c>
      <c r="K272" s="1" t="str">
        <f>TEXT(Employee_Sample_Data_1[[#This Row],[Hire Date]], "mmmm")</f>
        <v>November</v>
      </c>
      <c r="L272" s="1" t="str">
        <f>TEXT(Employee_Sample_Data_1[[#This Row],[Hire Date]], "yyyy")</f>
        <v>2004</v>
      </c>
      <c r="M272" s="2">
        <v>240860</v>
      </c>
      <c r="N272" s="3">
        <v>0.37</v>
      </c>
      <c r="O272" s="9">
        <f>PRODUCT(Employee_Sample_Data_1[[#This Row],[Annual Salary]],Employee_Sample_Data_1[[#This Row],[Bonus %]])</f>
        <v>89118.2</v>
      </c>
      <c r="P272" s="2">
        <f>ROUND(Employee_Sample_Data_1[[#This Row],[Annual Salary]]*(1+Employee_Sample_Data_1[[#This Row],[Bonus %]]), 0)</f>
        <v>329978</v>
      </c>
      <c r="Q272" t="s">
        <v>21</v>
      </c>
      <c r="R272" t="s">
        <v>28</v>
      </c>
      <c r="T272">
        <f ca="1">DATEDIF(Employee_Sample_Data_1[[#This Row],[Hire Date]], IF(Employee_Sample_Data_1[[#This Row],[Exit Date]] = "", TODAY(), Employee_Sample_Data_1[[#This Row],[Exit Date]]), "Y")</f>
        <v>21</v>
      </c>
    </row>
    <row r="273" spans="1:20" x14ac:dyDescent="0.25">
      <c r="A273" t="s">
        <v>621</v>
      </c>
      <c r="B273" t="s">
        <v>622</v>
      </c>
      <c r="C273" t="s">
        <v>66</v>
      </c>
      <c r="D273" t="s">
        <v>123</v>
      </c>
      <c r="E273" t="s">
        <v>53</v>
      </c>
      <c r="F273" t="s">
        <v>39</v>
      </c>
      <c r="G273" t="s">
        <v>20</v>
      </c>
      <c r="H273">
        <v>39</v>
      </c>
      <c r="I273" s="1">
        <v>43370</v>
      </c>
      <c r="J273" s="1" t="str">
        <f>TEXT(Employee_Sample_Data_1[[#This Row],[Hire Date]], "dddd")</f>
        <v>Thursday</v>
      </c>
      <c r="K273" s="1" t="str">
        <f>TEXT(Employee_Sample_Data_1[[#This Row],[Hire Date]], "mmmm")</f>
        <v>September</v>
      </c>
      <c r="L273" s="1" t="str">
        <f>TEXT(Employee_Sample_Data_1[[#This Row],[Hire Date]], "yyyy")</f>
        <v>2018</v>
      </c>
      <c r="M273" s="2">
        <v>128497</v>
      </c>
      <c r="N273" s="3">
        <v>7.0000000000000007E-2</v>
      </c>
      <c r="O273" s="9">
        <f>PRODUCT(Employee_Sample_Data_1[[#This Row],[Annual Salary]],Employee_Sample_Data_1[[#This Row],[Bonus %]])</f>
        <v>8994.7900000000009</v>
      </c>
      <c r="P273" s="2">
        <f>ROUND(Employee_Sample_Data_1[[#This Row],[Annual Salary]]*(1+Employee_Sample_Data_1[[#This Row],[Bonus %]]), 0)</f>
        <v>137492</v>
      </c>
      <c r="Q273" t="s">
        <v>34</v>
      </c>
      <c r="R273" t="s">
        <v>59</v>
      </c>
      <c r="T273">
        <f ca="1">DATEDIF(Employee_Sample_Data_1[[#This Row],[Hire Date]], IF(Employee_Sample_Data_1[[#This Row],[Exit Date]] = "", TODAY(), Employee_Sample_Data_1[[#This Row],[Exit Date]]), "Y")</f>
        <v>7</v>
      </c>
    </row>
    <row r="274" spans="1:20" x14ac:dyDescent="0.25">
      <c r="A274" t="s">
        <v>623</v>
      </c>
      <c r="B274" t="s">
        <v>624</v>
      </c>
      <c r="C274" t="s">
        <v>195</v>
      </c>
      <c r="D274" t="s">
        <v>17</v>
      </c>
      <c r="E274" t="s">
        <v>27</v>
      </c>
      <c r="F274" t="s">
        <v>19</v>
      </c>
      <c r="G274" t="s">
        <v>20</v>
      </c>
      <c r="H274">
        <v>55</v>
      </c>
      <c r="I274" s="1">
        <v>42134</v>
      </c>
      <c r="J274" s="1" t="str">
        <f>TEXT(Employee_Sample_Data_1[[#This Row],[Hire Date]], "dddd")</f>
        <v>Sunday</v>
      </c>
      <c r="K274" s="1" t="str">
        <f>TEXT(Employee_Sample_Data_1[[#This Row],[Hire Date]], "mmmm")</f>
        <v>May</v>
      </c>
      <c r="L274" s="1" t="str">
        <f>TEXT(Employee_Sample_Data_1[[#This Row],[Hire Date]], "yyyy")</f>
        <v>2015</v>
      </c>
      <c r="M274" s="2">
        <v>121976</v>
      </c>
      <c r="N274" s="3">
        <v>0</v>
      </c>
      <c r="O274" s="9">
        <f>PRODUCT(Employee_Sample_Data_1[[#This Row],[Annual Salary]],Employee_Sample_Data_1[[#This Row],[Bonus %]])</f>
        <v>0</v>
      </c>
      <c r="P274" s="2">
        <f>ROUND(Employee_Sample_Data_1[[#This Row],[Annual Salary]]*(1+Employee_Sample_Data_1[[#This Row],[Bonus %]]), 0)</f>
        <v>121976</v>
      </c>
      <c r="Q274" t="s">
        <v>34</v>
      </c>
      <c r="R274" t="s">
        <v>54</v>
      </c>
      <c r="T274">
        <f ca="1">DATEDIF(Employee_Sample_Data_1[[#This Row],[Hire Date]], IF(Employee_Sample_Data_1[[#This Row],[Exit Date]] = "", TODAY(), Employee_Sample_Data_1[[#This Row],[Exit Date]]), "Y")</f>
        <v>11</v>
      </c>
    </row>
    <row r="275" spans="1:20" x14ac:dyDescent="0.25">
      <c r="A275" t="s">
        <v>625</v>
      </c>
      <c r="B275" t="s">
        <v>626</v>
      </c>
      <c r="C275" t="s">
        <v>80</v>
      </c>
      <c r="D275" t="s">
        <v>26</v>
      </c>
      <c r="E275" t="s">
        <v>27</v>
      </c>
      <c r="F275" t="s">
        <v>39</v>
      </c>
      <c r="G275" t="s">
        <v>20</v>
      </c>
      <c r="H275">
        <v>32</v>
      </c>
      <c r="I275" s="1">
        <v>44754</v>
      </c>
      <c r="J275" s="1" t="str">
        <f>TEXT(Employee_Sample_Data_1[[#This Row],[Hire Date]], "dddd")</f>
        <v>Tuesday</v>
      </c>
      <c r="K275" s="1" t="str">
        <f>TEXT(Employee_Sample_Data_1[[#This Row],[Hire Date]], "mmmm")</f>
        <v>July</v>
      </c>
      <c r="L275" s="1" t="str">
        <f>TEXT(Employee_Sample_Data_1[[#This Row],[Hire Date]], "yyyy")</f>
        <v>2022</v>
      </c>
      <c r="M275" s="2">
        <v>126464</v>
      </c>
      <c r="N275" s="3">
        <v>0.15</v>
      </c>
      <c r="O275" s="9">
        <f>PRODUCT(Employee_Sample_Data_1[[#This Row],[Annual Salary]],Employee_Sample_Data_1[[#This Row],[Bonus %]])</f>
        <v>18969.599999999999</v>
      </c>
      <c r="P275" s="2">
        <f>ROUND(Employee_Sample_Data_1[[#This Row],[Annual Salary]]*(1+Employee_Sample_Data_1[[#This Row],[Bonus %]]), 0)</f>
        <v>145434</v>
      </c>
      <c r="Q275" t="s">
        <v>21</v>
      </c>
      <c r="R275" t="s">
        <v>67</v>
      </c>
      <c r="T275">
        <f ca="1">DATEDIF(Employee_Sample_Data_1[[#This Row],[Hire Date]], IF(Employee_Sample_Data_1[[#This Row],[Exit Date]] = "", TODAY(), Employee_Sample_Data_1[[#This Row],[Exit Date]]), "Y")</f>
        <v>3</v>
      </c>
    </row>
    <row r="276" spans="1:20" x14ac:dyDescent="0.25">
      <c r="A276" t="s">
        <v>627</v>
      </c>
      <c r="B276" t="s">
        <v>628</v>
      </c>
      <c r="C276" t="s">
        <v>86</v>
      </c>
      <c r="D276" t="s">
        <v>52</v>
      </c>
      <c r="E276" t="s">
        <v>18</v>
      </c>
      <c r="F276" t="s">
        <v>39</v>
      </c>
      <c r="G276" t="s">
        <v>20</v>
      </c>
      <c r="H276">
        <v>53</v>
      </c>
      <c r="I276" s="1">
        <v>38600</v>
      </c>
      <c r="J276" s="1" t="str">
        <f>TEXT(Employee_Sample_Data_1[[#This Row],[Hire Date]], "dddd")</f>
        <v>Monday</v>
      </c>
      <c r="K276" s="1" t="str">
        <f>TEXT(Employee_Sample_Data_1[[#This Row],[Hire Date]], "mmmm")</f>
        <v>September</v>
      </c>
      <c r="L276" s="1" t="str">
        <f>TEXT(Employee_Sample_Data_1[[#This Row],[Hire Date]], "yyyy")</f>
        <v>2005</v>
      </c>
      <c r="M276" s="2">
        <v>234064</v>
      </c>
      <c r="N276" s="3">
        <v>0.33</v>
      </c>
      <c r="O276" s="9">
        <f>PRODUCT(Employee_Sample_Data_1[[#This Row],[Annual Salary]],Employee_Sample_Data_1[[#This Row],[Bonus %]])</f>
        <v>77241.12000000001</v>
      </c>
      <c r="P276" s="2">
        <f>ROUND(Employee_Sample_Data_1[[#This Row],[Annual Salary]]*(1+Employee_Sample_Data_1[[#This Row],[Bonus %]]), 0)</f>
        <v>311305</v>
      </c>
      <c r="Q276" t="s">
        <v>34</v>
      </c>
      <c r="R276" t="s">
        <v>59</v>
      </c>
      <c r="T276">
        <f ca="1">DATEDIF(Employee_Sample_Data_1[[#This Row],[Hire Date]], IF(Employee_Sample_Data_1[[#This Row],[Exit Date]] = "", TODAY(), Employee_Sample_Data_1[[#This Row],[Exit Date]]), "Y")</f>
        <v>20</v>
      </c>
    </row>
    <row r="277" spans="1:20" x14ac:dyDescent="0.25">
      <c r="A277" t="s">
        <v>629</v>
      </c>
      <c r="B277" t="s">
        <v>630</v>
      </c>
      <c r="C277" t="s">
        <v>51</v>
      </c>
      <c r="D277" t="s">
        <v>58</v>
      </c>
      <c r="E277" t="s">
        <v>18</v>
      </c>
      <c r="F277" t="s">
        <v>19</v>
      </c>
      <c r="G277" t="s">
        <v>20</v>
      </c>
      <c r="H277">
        <v>59</v>
      </c>
      <c r="I277" s="1">
        <v>39463</v>
      </c>
      <c r="J277" s="1" t="str">
        <f>TEXT(Employee_Sample_Data_1[[#This Row],[Hire Date]], "dddd")</f>
        <v>Wednesday</v>
      </c>
      <c r="K277" s="1" t="str">
        <f>TEXT(Employee_Sample_Data_1[[#This Row],[Hire Date]], "mmmm")</f>
        <v>January</v>
      </c>
      <c r="L277" s="1" t="str">
        <f>TEXT(Employee_Sample_Data_1[[#This Row],[Hire Date]], "yyyy")</f>
        <v>2008</v>
      </c>
      <c r="M277" s="2">
        <v>81829</v>
      </c>
      <c r="N277" s="3">
        <v>0</v>
      </c>
      <c r="O277" s="9">
        <f>PRODUCT(Employee_Sample_Data_1[[#This Row],[Annual Salary]],Employee_Sample_Data_1[[#This Row],[Bonus %]])</f>
        <v>0</v>
      </c>
      <c r="P277" s="2">
        <f>ROUND(Employee_Sample_Data_1[[#This Row],[Annual Salary]]*(1+Employee_Sample_Data_1[[#This Row],[Bonus %]]), 0)</f>
        <v>81829</v>
      </c>
      <c r="Q277" t="s">
        <v>34</v>
      </c>
      <c r="R277" t="s">
        <v>54</v>
      </c>
      <c r="T277">
        <f ca="1">DATEDIF(Employee_Sample_Data_1[[#This Row],[Hire Date]], IF(Employee_Sample_Data_1[[#This Row],[Exit Date]] = "", TODAY(), Employee_Sample_Data_1[[#This Row],[Exit Date]]), "Y")</f>
        <v>18</v>
      </c>
    </row>
    <row r="278" spans="1:20" x14ac:dyDescent="0.25">
      <c r="A278" t="s">
        <v>631</v>
      </c>
      <c r="B278" t="s">
        <v>632</v>
      </c>
      <c r="C278" t="s">
        <v>44</v>
      </c>
      <c r="D278" t="s">
        <v>123</v>
      </c>
      <c r="E278" t="s">
        <v>27</v>
      </c>
      <c r="F278" t="s">
        <v>39</v>
      </c>
      <c r="G278" t="s">
        <v>20</v>
      </c>
      <c r="H278">
        <v>26</v>
      </c>
      <c r="I278" s="1">
        <v>44672</v>
      </c>
      <c r="J278" s="1" t="str">
        <f>TEXT(Employee_Sample_Data_1[[#This Row],[Hire Date]], "dddd")</f>
        <v>Thursday</v>
      </c>
      <c r="K278" s="1" t="str">
        <f>TEXT(Employee_Sample_Data_1[[#This Row],[Hire Date]], "mmmm")</f>
        <v>April</v>
      </c>
      <c r="L278" s="1" t="str">
        <f>TEXT(Employee_Sample_Data_1[[#This Row],[Hire Date]], "yyyy")</f>
        <v>2022</v>
      </c>
      <c r="M278" s="2">
        <v>193971</v>
      </c>
      <c r="N278" s="3">
        <v>0.22</v>
      </c>
      <c r="O278" s="9">
        <f>PRODUCT(Employee_Sample_Data_1[[#This Row],[Annual Salary]],Employee_Sample_Data_1[[#This Row],[Bonus %]])</f>
        <v>42673.62</v>
      </c>
      <c r="P278" s="2">
        <f>ROUND(Employee_Sample_Data_1[[#This Row],[Annual Salary]]*(1+Employee_Sample_Data_1[[#This Row],[Bonus %]]), 0)</f>
        <v>236645</v>
      </c>
      <c r="Q278" t="s">
        <v>21</v>
      </c>
      <c r="R278" t="s">
        <v>28</v>
      </c>
      <c r="T278">
        <f ca="1">DATEDIF(Employee_Sample_Data_1[[#This Row],[Hire Date]], IF(Employee_Sample_Data_1[[#This Row],[Exit Date]] = "", TODAY(), Employee_Sample_Data_1[[#This Row],[Exit Date]]), "Y")</f>
        <v>4</v>
      </c>
    </row>
    <row r="279" spans="1:20" x14ac:dyDescent="0.25">
      <c r="A279" t="s">
        <v>633</v>
      </c>
      <c r="B279" t="s">
        <v>634</v>
      </c>
      <c r="C279" t="s">
        <v>128</v>
      </c>
      <c r="D279" t="s">
        <v>123</v>
      </c>
      <c r="E279" t="s">
        <v>27</v>
      </c>
      <c r="F279" t="s">
        <v>19</v>
      </c>
      <c r="G279" t="s">
        <v>20</v>
      </c>
      <c r="H279">
        <v>55</v>
      </c>
      <c r="I279" s="1">
        <v>37120</v>
      </c>
      <c r="J279" s="1" t="str">
        <f>TEXT(Employee_Sample_Data_1[[#This Row],[Hire Date]], "dddd")</f>
        <v>Friday</v>
      </c>
      <c r="K279" s="1" t="str">
        <f>TEXT(Employee_Sample_Data_1[[#This Row],[Hire Date]], "mmmm")</f>
        <v>August</v>
      </c>
      <c r="L279" s="1" t="str">
        <f>TEXT(Employee_Sample_Data_1[[#This Row],[Hire Date]], "yyyy")</f>
        <v>2001</v>
      </c>
      <c r="M279" s="2">
        <v>47696</v>
      </c>
      <c r="N279" s="3">
        <v>0</v>
      </c>
      <c r="O279" s="9">
        <f>PRODUCT(Employee_Sample_Data_1[[#This Row],[Annual Salary]],Employee_Sample_Data_1[[#This Row],[Bonus %]])</f>
        <v>0</v>
      </c>
      <c r="P279" s="2">
        <f>ROUND(Employee_Sample_Data_1[[#This Row],[Annual Salary]]*(1+Employee_Sample_Data_1[[#This Row],[Bonus %]]), 0)</f>
        <v>47696</v>
      </c>
      <c r="Q279" t="s">
        <v>21</v>
      </c>
      <c r="R279" t="s">
        <v>41</v>
      </c>
      <c r="T279">
        <f ca="1">DATEDIF(Employee_Sample_Data_1[[#This Row],[Hire Date]], IF(Employee_Sample_Data_1[[#This Row],[Exit Date]] = "", TODAY(), Employee_Sample_Data_1[[#This Row],[Exit Date]]), "Y")</f>
        <v>24</v>
      </c>
    </row>
    <row r="280" spans="1:20" x14ac:dyDescent="0.25">
      <c r="A280" t="s">
        <v>635</v>
      </c>
      <c r="B280" t="s">
        <v>636</v>
      </c>
      <c r="C280" t="s">
        <v>66</v>
      </c>
      <c r="D280" t="s">
        <v>52</v>
      </c>
      <c r="E280" t="s">
        <v>53</v>
      </c>
      <c r="F280" t="s">
        <v>19</v>
      </c>
      <c r="G280" t="s">
        <v>20</v>
      </c>
      <c r="H280">
        <v>34</v>
      </c>
      <c r="I280" s="1">
        <v>41472</v>
      </c>
      <c r="J280" s="1" t="str">
        <f>TEXT(Employee_Sample_Data_1[[#This Row],[Hire Date]], "dddd")</f>
        <v>Wednesday</v>
      </c>
      <c r="K280" s="1" t="str">
        <f>TEXT(Employee_Sample_Data_1[[#This Row],[Hire Date]], "mmmm")</f>
        <v>July</v>
      </c>
      <c r="L280" s="1" t="str">
        <f>TEXT(Employee_Sample_Data_1[[#This Row],[Hire Date]], "yyyy")</f>
        <v>2013</v>
      </c>
      <c r="M280" s="2">
        <v>116676</v>
      </c>
      <c r="N280" s="3">
        <v>0.1</v>
      </c>
      <c r="O280" s="9">
        <f>PRODUCT(Employee_Sample_Data_1[[#This Row],[Annual Salary]],Employee_Sample_Data_1[[#This Row],[Bonus %]])</f>
        <v>11667.6</v>
      </c>
      <c r="P280" s="2">
        <f>ROUND(Employee_Sample_Data_1[[#This Row],[Annual Salary]]*(1+Employee_Sample_Data_1[[#This Row],[Bonus %]]), 0)</f>
        <v>128344</v>
      </c>
      <c r="Q280" t="s">
        <v>34</v>
      </c>
      <c r="R280" t="s">
        <v>59</v>
      </c>
      <c r="T280">
        <f ca="1">DATEDIF(Employee_Sample_Data_1[[#This Row],[Hire Date]], IF(Employee_Sample_Data_1[[#This Row],[Exit Date]] = "", TODAY(), Employee_Sample_Data_1[[#This Row],[Exit Date]]), "Y")</f>
        <v>12</v>
      </c>
    </row>
    <row r="281" spans="1:20" x14ac:dyDescent="0.25">
      <c r="A281" t="s">
        <v>637</v>
      </c>
      <c r="B281" t="s">
        <v>638</v>
      </c>
      <c r="C281" t="s">
        <v>66</v>
      </c>
      <c r="D281" t="s">
        <v>77</v>
      </c>
      <c r="E281" t="s">
        <v>27</v>
      </c>
      <c r="F281" t="s">
        <v>19</v>
      </c>
      <c r="G281" t="s">
        <v>63</v>
      </c>
      <c r="H281">
        <v>45</v>
      </c>
      <c r="I281" s="1">
        <v>41004</v>
      </c>
      <c r="J281" s="1" t="str">
        <f>TEXT(Employee_Sample_Data_1[[#This Row],[Hire Date]], "dddd")</f>
        <v>Thursday</v>
      </c>
      <c r="K281" s="1" t="str">
        <f>TEXT(Employee_Sample_Data_1[[#This Row],[Hire Date]], "mmmm")</f>
        <v>April</v>
      </c>
      <c r="L281" s="1" t="str">
        <f>TEXT(Employee_Sample_Data_1[[#This Row],[Hire Date]], "yyyy")</f>
        <v>2012</v>
      </c>
      <c r="M281" s="2">
        <v>104162</v>
      </c>
      <c r="N281" s="3">
        <v>0.09</v>
      </c>
      <c r="O281" s="9">
        <f>PRODUCT(Employee_Sample_Data_1[[#This Row],[Annual Salary]],Employee_Sample_Data_1[[#This Row],[Bonus %]])</f>
        <v>9374.58</v>
      </c>
      <c r="P281" s="2">
        <f>ROUND(Employee_Sample_Data_1[[#This Row],[Annual Salary]]*(1+Employee_Sample_Data_1[[#This Row],[Bonus %]]), 0)</f>
        <v>113537</v>
      </c>
      <c r="Q281" t="s">
        <v>21</v>
      </c>
      <c r="R281" t="s">
        <v>45</v>
      </c>
      <c r="T281">
        <f ca="1">DATEDIF(Employee_Sample_Data_1[[#This Row],[Hire Date]], IF(Employee_Sample_Data_1[[#This Row],[Exit Date]] = "", TODAY(), Employee_Sample_Data_1[[#This Row],[Exit Date]]), "Y")</f>
        <v>14</v>
      </c>
    </row>
    <row r="282" spans="1:20" x14ac:dyDescent="0.25">
      <c r="A282" t="s">
        <v>639</v>
      </c>
      <c r="B282" t="s">
        <v>640</v>
      </c>
      <c r="C282" t="s">
        <v>229</v>
      </c>
      <c r="D282" t="s">
        <v>123</v>
      </c>
      <c r="E282" t="s">
        <v>53</v>
      </c>
      <c r="F282" t="s">
        <v>19</v>
      </c>
      <c r="G282" t="s">
        <v>20</v>
      </c>
      <c r="H282">
        <v>29</v>
      </c>
      <c r="I282" s="1">
        <v>44665</v>
      </c>
      <c r="J282" s="1" t="str">
        <f>TEXT(Employee_Sample_Data_1[[#This Row],[Hire Date]], "dddd")</f>
        <v>Thursday</v>
      </c>
      <c r="K282" s="1" t="str">
        <f>TEXT(Employee_Sample_Data_1[[#This Row],[Hire Date]], "mmmm")</f>
        <v>April</v>
      </c>
      <c r="L282" s="1" t="str">
        <f>TEXT(Employee_Sample_Data_1[[#This Row],[Hire Date]], "yyyy")</f>
        <v>2022</v>
      </c>
      <c r="M282" s="2">
        <v>86226</v>
      </c>
      <c r="N282" s="3">
        <v>0</v>
      </c>
      <c r="O282" s="9">
        <f>PRODUCT(Employee_Sample_Data_1[[#This Row],[Annual Salary]],Employee_Sample_Data_1[[#This Row],[Bonus %]])</f>
        <v>0</v>
      </c>
      <c r="P282" s="2">
        <f>ROUND(Employee_Sample_Data_1[[#This Row],[Annual Salary]]*(1+Employee_Sample_Data_1[[#This Row],[Bonus %]]), 0)</f>
        <v>86226</v>
      </c>
      <c r="Q282" t="s">
        <v>21</v>
      </c>
      <c r="R282" t="s">
        <v>41</v>
      </c>
      <c r="T282">
        <f ca="1">DATEDIF(Employee_Sample_Data_1[[#This Row],[Hire Date]], IF(Employee_Sample_Data_1[[#This Row],[Exit Date]] = "", TODAY(), Employee_Sample_Data_1[[#This Row],[Exit Date]]), "Y")</f>
        <v>4</v>
      </c>
    </row>
    <row r="283" spans="1:20" x14ac:dyDescent="0.25">
      <c r="A283" t="s">
        <v>641</v>
      </c>
      <c r="B283" t="s">
        <v>642</v>
      </c>
      <c r="C283" t="s">
        <v>44</v>
      </c>
      <c r="D283" t="s">
        <v>77</v>
      </c>
      <c r="E283" t="s">
        <v>53</v>
      </c>
      <c r="F283" t="s">
        <v>39</v>
      </c>
      <c r="G283" t="s">
        <v>40</v>
      </c>
      <c r="H283">
        <v>45</v>
      </c>
      <c r="I283" s="1">
        <v>40693</v>
      </c>
      <c r="J283" s="1" t="str">
        <f>TEXT(Employee_Sample_Data_1[[#This Row],[Hire Date]], "dddd")</f>
        <v>Monday</v>
      </c>
      <c r="K283" s="1" t="str">
        <f>TEXT(Employee_Sample_Data_1[[#This Row],[Hire Date]], "mmmm")</f>
        <v>May</v>
      </c>
      <c r="L283" s="1" t="str">
        <f>TEXT(Employee_Sample_Data_1[[#This Row],[Hire Date]], "yyyy")</f>
        <v>2011</v>
      </c>
      <c r="M283" s="2">
        <v>172206</v>
      </c>
      <c r="N283" s="3">
        <v>0.28999999999999998</v>
      </c>
      <c r="O283" s="9">
        <f>PRODUCT(Employee_Sample_Data_1[[#This Row],[Annual Salary]],Employee_Sample_Data_1[[#This Row],[Bonus %]])</f>
        <v>49939.74</v>
      </c>
      <c r="P283" s="2">
        <f>ROUND(Employee_Sample_Data_1[[#This Row],[Annual Salary]]*(1+Employee_Sample_Data_1[[#This Row],[Bonus %]]), 0)</f>
        <v>222146</v>
      </c>
      <c r="Q283" t="s">
        <v>134</v>
      </c>
      <c r="R283" t="s">
        <v>180</v>
      </c>
      <c r="T283">
        <f ca="1">DATEDIF(Employee_Sample_Data_1[[#This Row],[Hire Date]], IF(Employee_Sample_Data_1[[#This Row],[Exit Date]] = "", TODAY(), Employee_Sample_Data_1[[#This Row],[Exit Date]]), "Y")</f>
        <v>15</v>
      </c>
    </row>
    <row r="284" spans="1:20" x14ac:dyDescent="0.25">
      <c r="A284" t="s">
        <v>643</v>
      </c>
      <c r="B284" t="s">
        <v>644</v>
      </c>
      <c r="C284" t="s">
        <v>244</v>
      </c>
      <c r="D284" t="s">
        <v>123</v>
      </c>
      <c r="E284" t="s">
        <v>53</v>
      </c>
      <c r="F284" t="s">
        <v>19</v>
      </c>
      <c r="G284" t="s">
        <v>40</v>
      </c>
      <c r="H284">
        <v>34</v>
      </c>
      <c r="I284" s="1">
        <v>41005</v>
      </c>
      <c r="J284" s="1" t="str">
        <f>TEXT(Employee_Sample_Data_1[[#This Row],[Hire Date]], "dddd")</f>
        <v>Friday</v>
      </c>
      <c r="K284" s="1" t="str">
        <f>TEXT(Employee_Sample_Data_1[[#This Row],[Hire Date]], "mmmm")</f>
        <v>April</v>
      </c>
      <c r="L284" s="1" t="str">
        <f>TEXT(Employee_Sample_Data_1[[#This Row],[Hire Date]], "yyyy")</f>
        <v>2012</v>
      </c>
      <c r="M284" s="2">
        <v>55985</v>
      </c>
      <c r="N284" s="3">
        <v>0</v>
      </c>
      <c r="O284" s="9">
        <f>PRODUCT(Employee_Sample_Data_1[[#This Row],[Annual Salary]],Employee_Sample_Data_1[[#This Row],[Bonus %]])</f>
        <v>0</v>
      </c>
      <c r="P284" s="2">
        <f>ROUND(Employee_Sample_Data_1[[#This Row],[Annual Salary]]*(1+Employee_Sample_Data_1[[#This Row],[Bonus %]]), 0)</f>
        <v>55985</v>
      </c>
      <c r="Q284" t="s">
        <v>21</v>
      </c>
      <c r="R284" t="s">
        <v>41</v>
      </c>
      <c r="T284">
        <f ca="1">DATEDIF(Employee_Sample_Data_1[[#This Row],[Hire Date]], IF(Employee_Sample_Data_1[[#This Row],[Exit Date]] = "", TODAY(), Employee_Sample_Data_1[[#This Row],[Exit Date]]), "Y")</f>
        <v>14</v>
      </c>
    </row>
    <row r="285" spans="1:20" x14ac:dyDescent="0.25">
      <c r="A285" t="s">
        <v>645</v>
      </c>
      <c r="B285" t="s">
        <v>646</v>
      </c>
      <c r="C285" t="s">
        <v>98</v>
      </c>
      <c r="D285" t="s">
        <v>32</v>
      </c>
      <c r="E285" t="s">
        <v>27</v>
      </c>
      <c r="F285" t="s">
        <v>19</v>
      </c>
      <c r="G285" t="s">
        <v>40</v>
      </c>
      <c r="H285">
        <v>26</v>
      </c>
      <c r="I285" s="1">
        <v>44353</v>
      </c>
      <c r="J285" s="1" t="str">
        <f>TEXT(Employee_Sample_Data_1[[#This Row],[Hire Date]], "dddd")</f>
        <v>Sunday</v>
      </c>
      <c r="K285" s="1" t="str">
        <f>TEXT(Employee_Sample_Data_1[[#This Row],[Hire Date]], "mmmm")</f>
        <v>June</v>
      </c>
      <c r="L285" s="1" t="str">
        <f>TEXT(Employee_Sample_Data_1[[#This Row],[Hire Date]], "yyyy")</f>
        <v>2021</v>
      </c>
      <c r="M285" s="2">
        <v>61481</v>
      </c>
      <c r="N285" s="3">
        <v>0</v>
      </c>
      <c r="O285" s="9">
        <f>PRODUCT(Employee_Sample_Data_1[[#This Row],[Annual Salary]],Employee_Sample_Data_1[[#This Row],[Bonus %]])</f>
        <v>0</v>
      </c>
      <c r="P285" s="2">
        <f>ROUND(Employee_Sample_Data_1[[#This Row],[Annual Salary]]*(1+Employee_Sample_Data_1[[#This Row],[Bonus %]]), 0)</f>
        <v>61481</v>
      </c>
      <c r="Q285" t="s">
        <v>21</v>
      </c>
      <c r="R285" t="s">
        <v>67</v>
      </c>
      <c r="T285">
        <f ca="1">DATEDIF(Employee_Sample_Data_1[[#This Row],[Hire Date]], IF(Employee_Sample_Data_1[[#This Row],[Exit Date]] = "", TODAY(), Employee_Sample_Data_1[[#This Row],[Exit Date]]), "Y")</f>
        <v>5</v>
      </c>
    </row>
    <row r="286" spans="1:20" x14ac:dyDescent="0.25">
      <c r="A286" t="s">
        <v>647</v>
      </c>
      <c r="B286" t="s">
        <v>648</v>
      </c>
      <c r="C286" t="s">
        <v>66</v>
      </c>
      <c r="D286" t="s">
        <v>26</v>
      </c>
      <c r="E286" t="s">
        <v>33</v>
      </c>
      <c r="F286" t="s">
        <v>39</v>
      </c>
      <c r="G286" t="s">
        <v>40</v>
      </c>
      <c r="H286">
        <v>30</v>
      </c>
      <c r="I286" s="1">
        <v>43065</v>
      </c>
      <c r="J286" s="1" t="str">
        <f>TEXT(Employee_Sample_Data_1[[#This Row],[Hire Date]], "dddd")</f>
        <v>Sunday</v>
      </c>
      <c r="K286" s="1" t="str">
        <f>TEXT(Employee_Sample_Data_1[[#This Row],[Hire Date]], "mmmm")</f>
        <v>November</v>
      </c>
      <c r="L286" s="1" t="str">
        <f>TEXT(Employee_Sample_Data_1[[#This Row],[Hire Date]], "yyyy")</f>
        <v>2017</v>
      </c>
      <c r="M286" s="2">
        <v>124295</v>
      </c>
      <c r="N286" s="3">
        <v>7.0000000000000007E-2</v>
      </c>
      <c r="O286" s="9">
        <f>PRODUCT(Employee_Sample_Data_1[[#This Row],[Annual Salary]],Employee_Sample_Data_1[[#This Row],[Bonus %]])</f>
        <v>8700.6500000000015</v>
      </c>
      <c r="P286" s="2">
        <f>ROUND(Employee_Sample_Data_1[[#This Row],[Annual Salary]]*(1+Employee_Sample_Data_1[[#This Row],[Bonus %]]), 0)</f>
        <v>132996</v>
      </c>
      <c r="Q286" t="s">
        <v>134</v>
      </c>
      <c r="R286" t="s">
        <v>286</v>
      </c>
      <c r="T286">
        <f ca="1">DATEDIF(Employee_Sample_Data_1[[#This Row],[Hire Date]], IF(Employee_Sample_Data_1[[#This Row],[Exit Date]] = "", TODAY(), Employee_Sample_Data_1[[#This Row],[Exit Date]]), "Y")</f>
        <v>8</v>
      </c>
    </row>
    <row r="287" spans="1:20" x14ac:dyDescent="0.25">
      <c r="A287" t="s">
        <v>649</v>
      </c>
      <c r="B287" t="s">
        <v>650</v>
      </c>
      <c r="C287" t="s">
        <v>80</v>
      </c>
      <c r="D287" t="s">
        <v>26</v>
      </c>
      <c r="E287" t="s">
        <v>33</v>
      </c>
      <c r="F287" t="s">
        <v>39</v>
      </c>
      <c r="G287" t="s">
        <v>20</v>
      </c>
      <c r="H287">
        <v>55</v>
      </c>
      <c r="I287" s="1">
        <v>36199</v>
      </c>
      <c r="J287" s="1" t="str">
        <f>TEXT(Employee_Sample_Data_1[[#This Row],[Hire Date]], "dddd")</f>
        <v>Monday</v>
      </c>
      <c r="K287" s="1" t="str">
        <f>TEXT(Employee_Sample_Data_1[[#This Row],[Hire Date]], "mmmm")</f>
        <v>February</v>
      </c>
      <c r="L287" s="1" t="str">
        <f>TEXT(Employee_Sample_Data_1[[#This Row],[Hire Date]], "yyyy")</f>
        <v>1999</v>
      </c>
      <c r="M287" s="2">
        <v>132894</v>
      </c>
      <c r="N287" s="3">
        <v>0.15</v>
      </c>
      <c r="O287" s="9">
        <f>PRODUCT(Employee_Sample_Data_1[[#This Row],[Annual Salary]],Employee_Sample_Data_1[[#This Row],[Bonus %]])</f>
        <v>19934.099999999999</v>
      </c>
      <c r="P287" s="2">
        <f>ROUND(Employee_Sample_Data_1[[#This Row],[Annual Salary]]*(1+Employee_Sample_Data_1[[#This Row],[Bonus %]]), 0)</f>
        <v>152828</v>
      </c>
      <c r="Q287" t="s">
        <v>21</v>
      </c>
      <c r="R287" t="s">
        <v>28</v>
      </c>
      <c r="T287">
        <f ca="1">DATEDIF(Employee_Sample_Data_1[[#This Row],[Hire Date]], IF(Employee_Sample_Data_1[[#This Row],[Exit Date]] = "", TODAY(), Employee_Sample_Data_1[[#This Row],[Exit Date]]), "Y")</f>
        <v>27</v>
      </c>
    </row>
    <row r="288" spans="1:20" x14ac:dyDescent="0.25">
      <c r="A288" t="s">
        <v>651</v>
      </c>
      <c r="B288" t="s">
        <v>652</v>
      </c>
      <c r="C288" t="s">
        <v>177</v>
      </c>
      <c r="D288" t="s">
        <v>32</v>
      </c>
      <c r="E288" t="s">
        <v>27</v>
      </c>
      <c r="F288" t="s">
        <v>19</v>
      </c>
      <c r="G288" t="s">
        <v>20</v>
      </c>
      <c r="H288">
        <v>47</v>
      </c>
      <c r="I288" s="1">
        <v>37331</v>
      </c>
      <c r="J288" s="1" t="str">
        <f>TEXT(Employee_Sample_Data_1[[#This Row],[Hire Date]], "dddd")</f>
        <v>Saturday</v>
      </c>
      <c r="K288" s="1" t="str">
        <f>TEXT(Employee_Sample_Data_1[[#This Row],[Hire Date]], "mmmm")</f>
        <v>March</v>
      </c>
      <c r="L288" s="1" t="str">
        <f>TEXT(Employee_Sample_Data_1[[#This Row],[Hire Date]], "yyyy")</f>
        <v>2002</v>
      </c>
      <c r="M288" s="2">
        <v>88839</v>
      </c>
      <c r="N288" s="3">
        <v>0.05</v>
      </c>
      <c r="O288" s="9">
        <f>PRODUCT(Employee_Sample_Data_1[[#This Row],[Annual Salary]],Employee_Sample_Data_1[[#This Row],[Bonus %]])</f>
        <v>4441.95</v>
      </c>
      <c r="P288" s="2">
        <f>ROUND(Employee_Sample_Data_1[[#This Row],[Annual Salary]]*(1+Employee_Sample_Data_1[[#This Row],[Bonus %]]), 0)</f>
        <v>93281</v>
      </c>
      <c r="Q288" t="s">
        <v>21</v>
      </c>
      <c r="R288" t="s">
        <v>48</v>
      </c>
      <c r="S288" s="1">
        <v>41940</v>
      </c>
      <c r="T288">
        <f ca="1">DATEDIF(Employee_Sample_Data_1[[#This Row],[Hire Date]], IF(Employee_Sample_Data_1[[#This Row],[Exit Date]] = "", TODAY(), Employee_Sample_Data_1[[#This Row],[Exit Date]]), "Y")</f>
        <v>12</v>
      </c>
    </row>
    <row r="289" spans="1:20" x14ac:dyDescent="0.25">
      <c r="A289" t="s">
        <v>653</v>
      </c>
      <c r="B289" t="s">
        <v>654</v>
      </c>
      <c r="C289" t="s">
        <v>195</v>
      </c>
      <c r="D289" t="s">
        <v>17</v>
      </c>
      <c r="E289" t="s">
        <v>18</v>
      </c>
      <c r="F289" t="s">
        <v>19</v>
      </c>
      <c r="G289" t="s">
        <v>40</v>
      </c>
      <c r="H289">
        <v>51</v>
      </c>
      <c r="I289" s="1">
        <v>38519</v>
      </c>
      <c r="J289" s="1" t="str">
        <f>TEXT(Employee_Sample_Data_1[[#This Row],[Hire Date]], "dddd")</f>
        <v>Thursday</v>
      </c>
      <c r="K289" s="1" t="str">
        <f>TEXT(Employee_Sample_Data_1[[#This Row],[Hire Date]], "mmmm")</f>
        <v>June</v>
      </c>
      <c r="L289" s="1" t="str">
        <f>TEXT(Employee_Sample_Data_1[[#This Row],[Hire Date]], "yyyy")</f>
        <v>2005</v>
      </c>
      <c r="M289" s="2">
        <v>78107</v>
      </c>
      <c r="N289" s="3">
        <v>0</v>
      </c>
      <c r="O289" s="9">
        <f>PRODUCT(Employee_Sample_Data_1[[#This Row],[Annual Salary]],Employee_Sample_Data_1[[#This Row],[Bonus %]])</f>
        <v>0</v>
      </c>
      <c r="P289" s="2">
        <f>ROUND(Employee_Sample_Data_1[[#This Row],[Annual Salary]]*(1+Employee_Sample_Data_1[[#This Row],[Bonus %]]), 0)</f>
        <v>78107</v>
      </c>
      <c r="Q289" t="s">
        <v>134</v>
      </c>
      <c r="R289" t="s">
        <v>286</v>
      </c>
      <c r="T289">
        <f ca="1">DATEDIF(Employee_Sample_Data_1[[#This Row],[Hire Date]], IF(Employee_Sample_Data_1[[#This Row],[Exit Date]] = "", TODAY(), Employee_Sample_Data_1[[#This Row],[Exit Date]]), "Y")</f>
        <v>20</v>
      </c>
    </row>
    <row r="290" spans="1:20" x14ac:dyDescent="0.25">
      <c r="A290" t="s">
        <v>655</v>
      </c>
      <c r="B290" t="s">
        <v>656</v>
      </c>
      <c r="C290" t="s">
        <v>80</v>
      </c>
      <c r="D290" t="s">
        <v>32</v>
      </c>
      <c r="E290" t="s">
        <v>27</v>
      </c>
      <c r="F290" t="s">
        <v>39</v>
      </c>
      <c r="G290" t="s">
        <v>20</v>
      </c>
      <c r="H290">
        <v>54</v>
      </c>
      <c r="I290" s="1">
        <v>34160</v>
      </c>
      <c r="J290" s="1" t="str">
        <f>TEXT(Employee_Sample_Data_1[[#This Row],[Hire Date]], "dddd")</f>
        <v>Saturday</v>
      </c>
      <c r="K290" s="1" t="str">
        <f>TEXT(Employee_Sample_Data_1[[#This Row],[Hire Date]], "mmmm")</f>
        <v>July</v>
      </c>
      <c r="L290" s="1" t="str">
        <f>TEXT(Employee_Sample_Data_1[[#This Row],[Hire Date]], "yyyy")</f>
        <v>1993</v>
      </c>
      <c r="M290" s="2">
        <v>135642</v>
      </c>
      <c r="N290" s="3">
        <v>0.1</v>
      </c>
      <c r="O290" s="9">
        <f>PRODUCT(Employee_Sample_Data_1[[#This Row],[Annual Salary]],Employee_Sample_Data_1[[#This Row],[Bonus %]])</f>
        <v>13564.2</v>
      </c>
      <c r="P290" s="2">
        <f>ROUND(Employee_Sample_Data_1[[#This Row],[Annual Salary]]*(1+Employee_Sample_Data_1[[#This Row],[Bonus %]]), 0)</f>
        <v>149206</v>
      </c>
      <c r="Q290" t="s">
        <v>34</v>
      </c>
      <c r="R290" t="s">
        <v>108</v>
      </c>
      <c r="T290">
        <f ca="1">DATEDIF(Employee_Sample_Data_1[[#This Row],[Hire Date]], IF(Employee_Sample_Data_1[[#This Row],[Exit Date]] = "", TODAY(), Employee_Sample_Data_1[[#This Row],[Exit Date]]), "Y")</f>
        <v>32</v>
      </c>
    </row>
    <row r="291" spans="1:20" x14ac:dyDescent="0.25">
      <c r="A291" t="s">
        <v>657</v>
      </c>
      <c r="B291" t="s">
        <v>658</v>
      </c>
      <c r="C291" t="s">
        <v>80</v>
      </c>
      <c r="D291" t="s">
        <v>26</v>
      </c>
      <c r="E291" t="s">
        <v>27</v>
      </c>
      <c r="F291" t="s">
        <v>39</v>
      </c>
      <c r="G291" t="s">
        <v>20</v>
      </c>
      <c r="H291">
        <v>64</v>
      </c>
      <c r="I291" s="1">
        <v>35440</v>
      </c>
      <c r="J291" s="1" t="str">
        <f>TEXT(Employee_Sample_Data_1[[#This Row],[Hire Date]], "dddd")</f>
        <v>Friday</v>
      </c>
      <c r="K291" s="1" t="str">
        <f>TEXT(Employee_Sample_Data_1[[#This Row],[Hire Date]], "mmmm")</f>
        <v>January</v>
      </c>
      <c r="L291" s="1" t="str">
        <f>TEXT(Employee_Sample_Data_1[[#This Row],[Hire Date]], "yyyy")</f>
        <v>1997</v>
      </c>
      <c r="M291" s="2">
        <v>147853</v>
      </c>
      <c r="N291" s="3">
        <v>0.11</v>
      </c>
      <c r="O291" s="9">
        <f>PRODUCT(Employee_Sample_Data_1[[#This Row],[Annual Salary]],Employee_Sample_Data_1[[#This Row],[Bonus %]])</f>
        <v>16263.83</v>
      </c>
      <c r="P291" s="2">
        <f>ROUND(Employee_Sample_Data_1[[#This Row],[Annual Salary]]*(1+Employee_Sample_Data_1[[#This Row],[Bonus %]]), 0)</f>
        <v>164117</v>
      </c>
      <c r="Q291" t="s">
        <v>21</v>
      </c>
      <c r="R291" t="s">
        <v>45</v>
      </c>
      <c r="T291">
        <f ca="1">DATEDIF(Employee_Sample_Data_1[[#This Row],[Hire Date]], IF(Employee_Sample_Data_1[[#This Row],[Exit Date]] = "", TODAY(), Employee_Sample_Data_1[[#This Row],[Exit Date]]), "Y")</f>
        <v>29</v>
      </c>
    </row>
    <row r="292" spans="1:20" x14ac:dyDescent="0.25">
      <c r="A292" t="s">
        <v>659</v>
      </c>
      <c r="B292" t="s">
        <v>660</v>
      </c>
      <c r="C292" t="s">
        <v>66</v>
      </c>
      <c r="D292" t="s">
        <v>32</v>
      </c>
      <c r="E292" t="s">
        <v>18</v>
      </c>
      <c r="F292" t="s">
        <v>39</v>
      </c>
      <c r="G292" t="s">
        <v>40</v>
      </c>
      <c r="H292">
        <v>40</v>
      </c>
      <c r="I292" s="1">
        <v>40071</v>
      </c>
      <c r="J292" s="1" t="str">
        <f>TEXT(Employee_Sample_Data_1[[#This Row],[Hire Date]], "dddd")</f>
        <v>Tuesday</v>
      </c>
      <c r="K292" s="1" t="str">
        <f>TEXT(Employee_Sample_Data_1[[#This Row],[Hire Date]], "mmmm")</f>
        <v>September</v>
      </c>
      <c r="L292" s="1" t="str">
        <f>TEXT(Employee_Sample_Data_1[[#This Row],[Hire Date]], "yyyy")</f>
        <v>2009</v>
      </c>
      <c r="M292" s="2">
        <v>125900</v>
      </c>
      <c r="N292" s="3">
        <v>7.0000000000000007E-2</v>
      </c>
      <c r="O292" s="9">
        <f>PRODUCT(Employee_Sample_Data_1[[#This Row],[Annual Salary]],Employee_Sample_Data_1[[#This Row],[Bonus %]])</f>
        <v>8813</v>
      </c>
      <c r="P292" s="2">
        <f>ROUND(Employee_Sample_Data_1[[#This Row],[Annual Salary]]*(1+Employee_Sample_Data_1[[#This Row],[Bonus %]]), 0)</f>
        <v>134713</v>
      </c>
      <c r="Q292" t="s">
        <v>21</v>
      </c>
      <c r="R292" t="s">
        <v>41</v>
      </c>
      <c r="S292" s="1">
        <v>43206</v>
      </c>
      <c r="T292">
        <f ca="1">DATEDIF(Employee_Sample_Data_1[[#This Row],[Hire Date]], IF(Employee_Sample_Data_1[[#This Row],[Exit Date]] = "", TODAY(), Employee_Sample_Data_1[[#This Row],[Exit Date]]), "Y")</f>
        <v>8</v>
      </c>
    </row>
    <row r="293" spans="1:20" x14ac:dyDescent="0.25">
      <c r="A293" t="s">
        <v>661</v>
      </c>
      <c r="B293" t="s">
        <v>662</v>
      </c>
      <c r="C293" t="s">
        <v>156</v>
      </c>
      <c r="D293" t="s">
        <v>32</v>
      </c>
      <c r="E293" t="s">
        <v>18</v>
      </c>
      <c r="F293" t="s">
        <v>19</v>
      </c>
      <c r="G293" t="s">
        <v>40</v>
      </c>
      <c r="H293">
        <v>27</v>
      </c>
      <c r="I293" s="1">
        <v>43871</v>
      </c>
      <c r="J293" s="1" t="str">
        <f>TEXT(Employee_Sample_Data_1[[#This Row],[Hire Date]], "dddd")</f>
        <v>Monday</v>
      </c>
      <c r="K293" s="1" t="str">
        <f>TEXT(Employee_Sample_Data_1[[#This Row],[Hire Date]], "mmmm")</f>
        <v>February</v>
      </c>
      <c r="L293" s="1" t="str">
        <f>TEXT(Employee_Sample_Data_1[[#This Row],[Hire Date]], "yyyy")</f>
        <v>2020</v>
      </c>
      <c r="M293" s="2">
        <v>42969</v>
      </c>
      <c r="N293" s="3">
        <v>0</v>
      </c>
      <c r="O293" s="9">
        <f>PRODUCT(Employee_Sample_Data_1[[#This Row],[Annual Salary]],Employee_Sample_Data_1[[#This Row],[Bonus %]])</f>
        <v>0</v>
      </c>
      <c r="P293" s="2">
        <f>ROUND(Employee_Sample_Data_1[[#This Row],[Annual Salary]]*(1+Employee_Sample_Data_1[[#This Row],[Bonus %]]), 0)</f>
        <v>42969</v>
      </c>
      <c r="Q293" t="s">
        <v>21</v>
      </c>
      <c r="R293" t="s">
        <v>48</v>
      </c>
      <c r="T293">
        <f ca="1">DATEDIF(Employee_Sample_Data_1[[#This Row],[Hire Date]], IF(Employee_Sample_Data_1[[#This Row],[Exit Date]] = "", TODAY(), Employee_Sample_Data_1[[#This Row],[Exit Date]]), "Y")</f>
        <v>6</v>
      </c>
    </row>
    <row r="294" spans="1:20" x14ac:dyDescent="0.25">
      <c r="A294" t="s">
        <v>663</v>
      </c>
      <c r="B294" t="s">
        <v>664</v>
      </c>
      <c r="C294" t="s">
        <v>86</v>
      </c>
      <c r="D294" t="s">
        <v>77</v>
      </c>
      <c r="E294" t="s">
        <v>18</v>
      </c>
      <c r="F294" t="s">
        <v>19</v>
      </c>
      <c r="G294" t="s">
        <v>63</v>
      </c>
      <c r="H294">
        <v>47</v>
      </c>
      <c r="I294" s="1">
        <v>44605</v>
      </c>
      <c r="J294" s="1" t="str">
        <f>TEXT(Employee_Sample_Data_1[[#This Row],[Hire Date]], "dddd")</f>
        <v>Sunday</v>
      </c>
      <c r="K294" s="1" t="str">
        <f>TEXT(Employee_Sample_Data_1[[#This Row],[Hire Date]], "mmmm")</f>
        <v>February</v>
      </c>
      <c r="L294" s="1" t="str">
        <f>TEXT(Employee_Sample_Data_1[[#This Row],[Hire Date]], "yyyy")</f>
        <v>2022</v>
      </c>
      <c r="M294" s="2">
        <v>214303</v>
      </c>
      <c r="N294" s="3">
        <v>0.4</v>
      </c>
      <c r="O294" s="9">
        <f>PRODUCT(Employee_Sample_Data_1[[#This Row],[Annual Salary]],Employee_Sample_Data_1[[#This Row],[Bonus %]])</f>
        <v>85721.200000000012</v>
      </c>
      <c r="P294" s="2">
        <f>ROUND(Employee_Sample_Data_1[[#This Row],[Annual Salary]]*(1+Employee_Sample_Data_1[[#This Row],[Bonus %]]), 0)</f>
        <v>300024</v>
      </c>
      <c r="Q294" t="s">
        <v>21</v>
      </c>
      <c r="R294" t="s">
        <v>41</v>
      </c>
      <c r="T294">
        <f ca="1">DATEDIF(Employee_Sample_Data_1[[#This Row],[Hire Date]], IF(Employee_Sample_Data_1[[#This Row],[Exit Date]] = "", TODAY(), Employee_Sample_Data_1[[#This Row],[Exit Date]]), "Y")</f>
        <v>4</v>
      </c>
    </row>
    <row r="295" spans="1:20" x14ac:dyDescent="0.25">
      <c r="A295" t="s">
        <v>665</v>
      </c>
      <c r="B295" t="s">
        <v>666</v>
      </c>
      <c r="C295" t="s">
        <v>86</v>
      </c>
      <c r="D295" t="s">
        <v>52</v>
      </c>
      <c r="E295" t="s">
        <v>53</v>
      </c>
      <c r="F295" t="s">
        <v>39</v>
      </c>
      <c r="G295" t="s">
        <v>20</v>
      </c>
      <c r="H295">
        <v>28</v>
      </c>
      <c r="I295" s="1">
        <v>44184</v>
      </c>
      <c r="J295" s="1" t="str">
        <f>TEXT(Employee_Sample_Data_1[[#This Row],[Hire Date]], "dddd")</f>
        <v>Saturday</v>
      </c>
      <c r="K295" s="1" t="str">
        <f>TEXT(Employee_Sample_Data_1[[#This Row],[Hire Date]], "mmmm")</f>
        <v>December</v>
      </c>
      <c r="L295" s="1" t="str">
        <f>TEXT(Employee_Sample_Data_1[[#This Row],[Hire Date]], "yyyy")</f>
        <v>2020</v>
      </c>
      <c r="M295" s="2">
        <v>199406</v>
      </c>
      <c r="N295" s="3">
        <v>0.38</v>
      </c>
      <c r="O295" s="9">
        <f>PRODUCT(Employee_Sample_Data_1[[#This Row],[Annual Salary]],Employee_Sample_Data_1[[#This Row],[Bonus %]])</f>
        <v>75774.28</v>
      </c>
      <c r="P295" s="2">
        <f>ROUND(Employee_Sample_Data_1[[#This Row],[Annual Salary]]*(1+Employee_Sample_Data_1[[#This Row],[Bonus %]]), 0)</f>
        <v>275180</v>
      </c>
      <c r="Q295" t="s">
        <v>34</v>
      </c>
      <c r="R295" t="s">
        <v>59</v>
      </c>
      <c r="T295">
        <f ca="1">DATEDIF(Employee_Sample_Data_1[[#This Row],[Hire Date]], IF(Employee_Sample_Data_1[[#This Row],[Exit Date]] = "", TODAY(), Employee_Sample_Data_1[[#This Row],[Exit Date]]), "Y")</f>
        <v>5</v>
      </c>
    </row>
    <row r="296" spans="1:20" x14ac:dyDescent="0.25">
      <c r="A296" t="s">
        <v>667</v>
      </c>
      <c r="B296" t="s">
        <v>668</v>
      </c>
      <c r="C296" t="s">
        <v>86</v>
      </c>
      <c r="D296" t="s">
        <v>123</v>
      </c>
      <c r="E296" t="s">
        <v>33</v>
      </c>
      <c r="F296" t="s">
        <v>39</v>
      </c>
      <c r="G296" t="s">
        <v>20</v>
      </c>
      <c r="H296">
        <v>35</v>
      </c>
      <c r="I296" s="1">
        <v>42083</v>
      </c>
      <c r="J296" s="1" t="str">
        <f>TEXT(Employee_Sample_Data_1[[#This Row],[Hire Date]], "dddd")</f>
        <v>Friday</v>
      </c>
      <c r="K296" s="1" t="str">
        <f>TEXT(Employee_Sample_Data_1[[#This Row],[Hire Date]], "mmmm")</f>
        <v>March</v>
      </c>
      <c r="L296" s="1" t="str">
        <f>TEXT(Employee_Sample_Data_1[[#This Row],[Hire Date]], "yyyy")</f>
        <v>2015</v>
      </c>
      <c r="M296" s="2">
        <v>182436</v>
      </c>
      <c r="N296" s="3">
        <v>0.37</v>
      </c>
      <c r="O296" s="9">
        <f>PRODUCT(Employee_Sample_Data_1[[#This Row],[Annual Salary]],Employee_Sample_Data_1[[#This Row],[Bonus %]])</f>
        <v>67501.319999999992</v>
      </c>
      <c r="P296" s="2">
        <f>ROUND(Employee_Sample_Data_1[[#This Row],[Annual Salary]]*(1+Employee_Sample_Data_1[[#This Row],[Bonus %]]), 0)</f>
        <v>249937</v>
      </c>
      <c r="Q296" t="s">
        <v>21</v>
      </c>
      <c r="R296" t="s">
        <v>45</v>
      </c>
      <c r="T296">
        <f ca="1">DATEDIF(Employee_Sample_Data_1[[#This Row],[Hire Date]], IF(Employee_Sample_Data_1[[#This Row],[Exit Date]] = "", TODAY(), Employee_Sample_Data_1[[#This Row],[Exit Date]]), "Y")</f>
        <v>11</v>
      </c>
    </row>
    <row r="297" spans="1:20" x14ac:dyDescent="0.25">
      <c r="A297" t="s">
        <v>669</v>
      </c>
      <c r="B297" t="s">
        <v>670</v>
      </c>
      <c r="C297" t="s">
        <v>177</v>
      </c>
      <c r="D297" t="s">
        <v>32</v>
      </c>
      <c r="E297" t="s">
        <v>27</v>
      </c>
      <c r="F297" t="s">
        <v>39</v>
      </c>
      <c r="G297" t="s">
        <v>40</v>
      </c>
      <c r="H297">
        <v>59</v>
      </c>
      <c r="I297" s="1">
        <v>35339</v>
      </c>
      <c r="J297" s="1" t="str">
        <f>TEXT(Employee_Sample_Data_1[[#This Row],[Hire Date]], "dddd")</f>
        <v>Tuesday</v>
      </c>
      <c r="K297" s="1" t="str">
        <f>TEXT(Employee_Sample_Data_1[[#This Row],[Hire Date]], "mmmm")</f>
        <v>October</v>
      </c>
      <c r="L297" s="1" t="str">
        <f>TEXT(Employee_Sample_Data_1[[#This Row],[Hire Date]], "yyyy")</f>
        <v>1996</v>
      </c>
      <c r="M297" s="2">
        <v>96507</v>
      </c>
      <c r="N297" s="3">
        <v>0.09</v>
      </c>
      <c r="O297" s="9">
        <f>PRODUCT(Employee_Sample_Data_1[[#This Row],[Annual Salary]],Employee_Sample_Data_1[[#This Row],[Bonus %]])</f>
        <v>8685.6299999999992</v>
      </c>
      <c r="P297" s="2">
        <f>ROUND(Employee_Sample_Data_1[[#This Row],[Annual Salary]]*(1+Employee_Sample_Data_1[[#This Row],[Bonus %]]), 0)</f>
        <v>105193</v>
      </c>
      <c r="Q297" t="s">
        <v>21</v>
      </c>
      <c r="R297" t="s">
        <v>41</v>
      </c>
      <c r="T297">
        <f ca="1">DATEDIF(Employee_Sample_Data_1[[#This Row],[Hire Date]], IF(Employee_Sample_Data_1[[#This Row],[Exit Date]] = "", TODAY(), Employee_Sample_Data_1[[#This Row],[Exit Date]]), "Y")</f>
        <v>29</v>
      </c>
    </row>
    <row r="298" spans="1:20" x14ac:dyDescent="0.25">
      <c r="A298" t="s">
        <v>671</v>
      </c>
      <c r="B298" t="s">
        <v>672</v>
      </c>
      <c r="C298" t="s">
        <v>289</v>
      </c>
      <c r="D298" t="s">
        <v>17</v>
      </c>
      <c r="E298" t="s">
        <v>18</v>
      </c>
      <c r="F298" t="s">
        <v>19</v>
      </c>
      <c r="G298" t="s">
        <v>20</v>
      </c>
      <c r="H298">
        <v>33</v>
      </c>
      <c r="I298" s="1">
        <v>42327</v>
      </c>
      <c r="J298" s="1" t="str">
        <f>TEXT(Employee_Sample_Data_1[[#This Row],[Hire Date]], "dddd")</f>
        <v>Thursday</v>
      </c>
      <c r="K298" s="1" t="str">
        <f>TEXT(Employee_Sample_Data_1[[#This Row],[Hire Date]], "mmmm")</f>
        <v>November</v>
      </c>
      <c r="L298" s="1" t="str">
        <f>TEXT(Employee_Sample_Data_1[[#This Row],[Hire Date]], "yyyy")</f>
        <v>2015</v>
      </c>
      <c r="M298" s="2">
        <v>82906</v>
      </c>
      <c r="N298" s="3">
        <v>0</v>
      </c>
      <c r="O298" s="9">
        <f>PRODUCT(Employee_Sample_Data_1[[#This Row],[Annual Salary]],Employee_Sample_Data_1[[#This Row],[Bonus %]])</f>
        <v>0</v>
      </c>
      <c r="P298" s="2">
        <f>ROUND(Employee_Sample_Data_1[[#This Row],[Annual Salary]]*(1+Employee_Sample_Data_1[[#This Row],[Bonus %]]), 0)</f>
        <v>82906</v>
      </c>
      <c r="Q298" t="s">
        <v>34</v>
      </c>
      <c r="R298" t="s">
        <v>59</v>
      </c>
      <c r="S298" s="1">
        <v>42654</v>
      </c>
      <c r="T298">
        <f ca="1">DATEDIF(Employee_Sample_Data_1[[#This Row],[Hire Date]], IF(Employee_Sample_Data_1[[#This Row],[Exit Date]] = "", TODAY(), Employee_Sample_Data_1[[#This Row],[Exit Date]]), "Y")</f>
        <v>0</v>
      </c>
    </row>
    <row r="299" spans="1:20" x14ac:dyDescent="0.25">
      <c r="A299" t="s">
        <v>673</v>
      </c>
      <c r="B299" t="s">
        <v>674</v>
      </c>
      <c r="C299" t="s">
        <v>128</v>
      </c>
      <c r="D299" t="s">
        <v>123</v>
      </c>
      <c r="E299" t="s">
        <v>18</v>
      </c>
      <c r="F299" t="s">
        <v>39</v>
      </c>
      <c r="G299" t="s">
        <v>20</v>
      </c>
      <c r="H299">
        <v>62</v>
      </c>
      <c r="I299" s="1">
        <v>38691</v>
      </c>
      <c r="J299" s="1" t="str">
        <f>TEXT(Employee_Sample_Data_1[[#This Row],[Hire Date]], "dddd")</f>
        <v>Monday</v>
      </c>
      <c r="K299" s="1" t="str">
        <f>TEXT(Employee_Sample_Data_1[[#This Row],[Hire Date]], "mmmm")</f>
        <v>December</v>
      </c>
      <c r="L299" s="1" t="str">
        <f>TEXT(Employee_Sample_Data_1[[#This Row],[Hire Date]], "yyyy")</f>
        <v>2005</v>
      </c>
      <c r="M299" s="2">
        <v>41616</v>
      </c>
      <c r="N299" s="3">
        <v>0</v>
      </c>
      <c r="O299" s="9">
        <f>PRODUCT(Employee_Sample_Data_1[[#This Row],[Annual Salary]],Employee_Sample_Data_1[[#This Row],[Bonus %]])</f>
        <v>0</v>
      </c>
      <c r="P299" s="2">
        <f>ROUND(Employee_Sample_Data_1[[#This Row],[Annual Salary]]*(1+Employee_Sample_Data_1[[#This Row],[Bonus %]]), 0)</f>
        <v>41616</v>
      </c>
      <c r="Q299" t="s">
        <v>21</v>
      </c>
      <c r="R299" t="s">
        <v>41</v>
      </c>
      <c r="T299">
        <f ca="1">DATEDIF(Employee_Sample_Data_1[[#This Row],[Hire Date]], IF(Employee_Sample_Data_1[[#This Row],[Exit Date]] = "", TODAY(), Employee_Sample_Data_1[[#This Row],[Exit Date]]), "Y")</f>
        <v>20</v>
      </c>
    </row>
    <row r="300" spans="1:20" x14ac:dyDescent="0.25">
      <c r="A300" t="s">
        <v>675</v>
      </c>
      <c r="B300" t="s">
        <v>676</v>
      </c>
      <c r="C300" t="s">
        <v>352</v>
      </c>
      <c r="D300" t="s">
        <v>32</v>
      </c>
      <c r="E300" t="s">
        <v>27</v>
      </c>
      <c r="F300" t="s">
        <v>39</v>
      </c>
      <c r="G300" t="s">
        <v>63</v>
      </c>
      <c r="H300">
        <v>50</v>
      </c>
      <c r="I300" s="1">
        <v>37802</v>
      </c>
      <c r="J300" s="1" t="str">
        <f>TEXT(Employee_Sample_Data_1[[#This Row],[Hire Date]], "dddd")</f>
        <v>Monday</v>
      </c>
      <c r="K300" s="1" t="str">
        <f>TEXT(Employee_Sample_Data_1[[#This Row],[Hire Date]], "mmmm")</f>
        <v>June</v>
      </c>
      <c r="L300" s="1" t="str">
        <f>TEXT(Employee_Sample_Data_1[[#This Row],[Hire Date]], "yyyy")</f>
        <v>2003</v>
      </c>
      <c r="M300" s="2">
        <v>92344</v>
      </c>
      <c r="N300" s="3">
        <v>0</v>
      </c>
      <c r="O300" s="9">
        <f>PRODUCT(Employee_Sample_Data_1[[#This Row],[Annual Salary]],Employee_Sample_Data_1[[#This Row],[Bonus %]])</f>
        <v>0</v>
      </c>
      <c r="P300" s="2">
        <f>ROUND(Employee_Sample_Data_1[[#This Row],[Annual Salary]]*(1+Employee_Sample_Data_1[[#This Row],[Bonus %]]), 0)</f>
        <v>92344</v>
      </c>
      <c r="Q300" t="s">
        <v>21</v>
      </c>
      <c r="R300" t="s">
        <v>48</v>
      </c>
      <c r="S300" s="1">
        <v>44587</v>
      </c>
      <c r="T300">
        <f ca="1">DATEDIF(Employee_Sample_Data_1[[#This Row],[Hire Date]], IF(Employee_Sample_Data_1[[#This Row],[Exit Date]] = "", TODAY(), Employee_Sample_Data_1[[#This Row],[Exit Date]]), "Y")</f>
        <v>18</v>
      </c>
    </row>
    <row r="301" spans="1:20" x14ac:dyDescent="0.25">
      <c r="A301" t="s">
        <v>677</v>
      </c>
      <c r="B301" t="s">
        <v>678</v>
      </c>
      <c r="C301" t="s">
        <v>86</v>
      </c>
      <c r="D301" t="s">
        <v>52</v>
      </c>
      <c r="E301" t="s">
        <v>18</v>
      </c>
      <c r="F301" t="s">
        <v>39</v>
      </c>
      <c r="G301" t="s">
        <v>20</v>
      </c>
      <c r="H301">
        <v>55</v>
      </c>
      <c r="I301" s="1">
        <v>38895</v>
      </c>
      <c r="J301" s="1" t="str">
        <f>TEXT(Employee_Sample_Data_1[[#This Row],[Hire Date]], "dddd")</f>
        <v>Tuesday</v>
      </c>
      <c r="K301" s="1" t="str">
        <f>TEXT(Employee_Sample_Data_1[[#This Row],[Hire Date]], "mmmm")</f>
        <v>June</v>
      </c>
      <c r="L301" s="1" t="str">
        <f>TEXT(Employee_Sample_Data_1[[#This Row],[Hire Date]], "yyyy")</f>
        <v>2006</v>
      </c>
      <c r="M301" s="2">
        <v>196614</v>
      </c>
      <c r="N301" s="3">
        <v>0.37</v>
      </c>
      <c r="O301" s="9">
        <f>PRODUCT(Employee_Sample_Data_1[[#This Row],[Annual Salary]],Employee_Sample_Data_1[[#This Row],[Bonus %]])</f>
        <v>72747.179999999993</v>
      </c>
      <c r="P301" s="2">
        <f>ROUND(Employee_Sample_Data_1[[#This Row],[Annual Salary]]*(1+Employee_Sample_Data_1[[#This Row],[Bonus %]]), 0)</f>
        <v>269361</v>
      </c>
      <c r="Q301" t="s">
        <v>21</v>
      </c>
      <c r="R301" t="s">
        <v>28</v>
      </c>
      <c r="T301">
        <f ca="1">DATEDIF(Employee_Sample_Data_1[[#This Row],[Hire Date]], IF(Employee_Sample_Data_1[[#This Row],[Exit Date]] = "", TODAY(), Employee_Sample_Data_1[[#This Row],[Exit Date]]), "Y")</f>
        <v>19</v>
      </c>
    </row>
    <row r="302" spans="1:20" x14ac:dyDescent="0.25">
      <c r="A302" t="s">
        <v>679</v>
      </c>
      <c r="B302" t="s">
        <v>680</v>
      </c>
      <c r="C302" t="s">
        <v>66</v>
      </c>
      <c r="D302" t="s">
        <v>32</v>
      </c>
      <c r="E302" t="s">
        <v>33</v>
      </c>
      <c r="F302" t="s">
        <v>39</v>
      </c>
      <c r="G302" t="s">
        <v>40</v>
      </c>
      <c r="H302">
        <v>47</v>
      </c>
      <c r="I302" s="1">
        <v>44598</v>
      </c>
      <c r="J302" s="1" t="str">
        <f>TEXT(Employee_Sample_Data_1[[#This Row],[Hire Date]], "dddd")</f>
        <v>Sunday</v>
      </c>
      <c r="K302" s="1" t="str">
        <f>TEXT(Employee_Sample_Data_1[[#This Row],[Hire Date]], "mmmm")</f>
        <v>February</v>
      </c>
      <c r="L302" s="1" t="str">
        <f>TEXT(Employee_Sample_Data_1[[#This Row],[Hire Date]], "yyyy")</f>
        <v>2022</v>
      </c>
      <c r="M302" s="2">
        <v>104253</v>
      </c>
      <c r="N302" s="3">
        <v>0.09</v>
      </c>
      <c r="O302" s="9">
        <f>PRODUCT(Employee_Sample_Data_1[[#This Row],[Annual Salary]],Employee_Sample_Data_1[[#This Row],[Bonus %]])</f>
        <v>9382.77</v>
      </c>
      <c r="P302" s="2">
        <f>ROUND(Employee_Sample_Data_1[[#This Row],[Annual Salary]]*(1+Employee_Sample_Data_1[[#This Row],[Bonus %]]), 0)</f>
        <v>113636</v>
      </c>
      <c r="Q302" t="s">
        <v>21</v>
      </c>
      <c r="R302" t="s">
        <v>41</v>
      </c>
      <c r="T302">
        <f ca="1">DATEDIF(Employee_Sample_Data_1[[#This Row],[Hire Date]], IF(Employee_Sample_Data_1[[#This Row],[Exit Date]] = "", TODAY(), Employee_Sample_Data_1[[#This Row],[Exit Date]]), "Y")</f>
        <v>4</v>
      </c>
    </row>
    <row r="303" spans="1:20" x14ac:dyDescent="0.25">
      <c r="A303" t="s">
        <v>681</v>
      </c>
      <c r="B303" t="s">
        <v>682</v>
      </c>
      <c r="C303" t="s">
        <v>156</v>
      </c>
      <c r="D303" t="s">
        <v>32</v>
      </c>
      <c r="E303" t="s">
        <v>53</v>
      </c>
      <c r="F303" t="s">
        <v>39</v>
      </c>
      <c r="G303" t="s">
        <v>20</v>
      </c>
      <c r="H303">
        <v>34</v>
      </c>
      <c r="I303" s="1">
        <v>44218</v>
      </c>
      <c r="J303" s="1" t="str">
        <f>TEXT(Employee_Sample_Data_1[[#This Row],[Hire Date]], "dddd")</f>
        <v>Friday</v>
      </c>
      <c r="K303" s="1" t="str">
        <f>TEXT(Employee_Sample_Data_1[[#This Row],[Hire Date]], "mmmm")</f>
        <v>January</v>
      </c>
      <c r="L303" s="1" t="str">
        <f>TEXT(Employee_Sample_Data_1[[#This Row],[Hire Date]], "yyyy")</f>
        <v>2021</v>
      </c>
      <c r="M303" s="2">
        <v>44677</v>
      </c>
      <c r="N303" s="3">
        <v>0</v>
      </c>
      <c r="O303" s="9">
        <f>PRODUCT(Employee_Sample_Data_1[[#This Row],[Annual Salary]],Employee_Sample_Data_1[[#This Row],[Bonus %]])</f>
        <v>0</v>
      </c>
      <c r="P303" s="2">
        <f>ROUND(Employee_Sample_Data_1[[#This Row],[Annual Salary]]*(1+Employee_Sample_Data_1[[#This Row],[Bonus %]]), 0)</f>
        <v>44677</v>
      </c>
      <c r="Q303" t="s">
        <v>34</v>
      </c>
      <c r="R303" t="s">
        <v>54</v>
      </c>
      <c r="T303">
        <f ca="1">DATEDIF(Employee_Sample_Data_1[[#This Row],[Hire Date]], IF(Employee_Sample_Data_1[[#This Row],[Exit Date]] = "", TODAY(), Employee_Sample_Data_1[[#This Row],[Exit Date]]), "Y")</f>
        <v>5</v>
      </c>
    </row>
    <row r="304" spans="1:20" x14ac:dyDescent="0.25">
      <c r="A304" t="s">
        <v>683</v>
      </c>
      <c r="B304" t="s">
        <v>684</v>
      </c>
      <c r="C304" t="s">
        <v>352</v>
      </c>
      <c r="D304" t="s">
        <v>32</v>
      </c>
      <c r="E304" t="s">
        <v>33</v>
      </c>
      <c r="F304" t="s">
        <v>39</v>
      </c>
      <c r="G304" t="s">
        <v>20</v>
      </c>
      <c r="H304">
        <v>39</v>
      </c>
      <c r="I304" s="1">
        <v>43082</v>
      </c>
      <c r="J304" s="1" t="str">
        <f>TEXT(Employee_Sample_Data_1[[#This Row],[Hire Date]], "dddd")</f>
        <v>Wednesday</v>
      </c>
      <c r="K304" s="1" t="str">
        <f>TEXT(Employee_Sample_Data_1[[#This Row],[Hire Date]], "mmmm")</f>
        <v>December</v>
      </c>
      <c r="L304" s="1" t="str">
        <f>TEXT(Employee_Sample_Data_1[[#This Row],[Hire Date]], "yyyy")</f>
        <v>2017</v>
      </c>
      <c r="M304" s="2">
        <v>66463</v>
      </c>
      <c r="N304" s="3">
        <v>0</v>
      </c>
      <c r="O304" s="9">
        <f>PRODUCT(Employee_Sample_Data_1[[#This Row],[Annual Salary]],Employee_Sample_Data_1[[#This Row],[Bonus %]])</f>
        <v>0</v>
      </c>
      <c r="P304" s="2">
        <f>ROUND(Employee_Sample_Data_1[[#This Row],[Annual Salary]]*(1+Employee_Sample_Data_1[[#This Row],[Bonus %]]), 0)</f>
        <v>66463</v>
      </c>
      <c r="Q304" t="s">
        <v>34</v>
      </c>
      <c r="R304" t="s">
        <v>54</v>
      </c>
      <c r="T304">
        <f ca="1">DATEDIF(Employee_Sample_Data_1[[#This Row],[Hire Date]], IF(Employee_Sample_Data_1[[#This Row],[Exit Date]] = "", TODAY(), Employee_Sample_Data_1[[#This Row],[Exit Date]]), "Y")</f>
        <v>8</v>
      </c>
    </row>
    <row r="305" spans="1:20" x14ac:dyDescent="0.25">
      <c r="A305" t="s">
        <v>685</v>
      </c>
      <c r="B305" t="s">
        <v>686</v>
      </c>
      <c r="C305" t="s">
        <v>128</v>
      </c>
      <c r="D305" t="s">
        <v>123</v>
      </c>
      <c r="E305" t="s">
        <v>27</v>
      </c>
      <c r="F305" t="s">
        <v>39</v>
      </c>
      <c r="G305" t="s">
        <v>40</v>
      </c>
      <c r="H305">
        <v>35</v>
      </c>
      <c r="I305" s="1">
        <v>42355</v>
      </c>
      <c r="J305" s="1" t="str">
        <f>TEXT(Employee_Sample_Data_1[[#This Row],[Hire Date]], "dddd")</f>
        <v>Thursday</v>
      </c>
      <c r="K305" s="1" t="str">
        <f>TEXT(Employee_Sample_Data_1[[#This Row],[Hire Date]], "mmmm")</f>
        <v>December</v>
      </c>
      <c r="L305" s="1" t="str">
        <f>TEXT(Employee_Sample_Data_1[[#This Row],[Hire Date]], "yyyy")</f>
        <v>2015</v>
      </c>
      <c r="M305" s="2">
        <v>53285</v>
      </c>
      <c r="N305" s="3">
        <v>0</v>
      </c>
      <c r="O305" s="9">
        <f>PRODUCT(Employee_Sample_Data_1[[#This Row],[Annual Salary]],Employee_Sample_Data_1[[#This Row],[Bonus %]])</f>
        <v>0</v>
      </c>
      <c r="P305" s="2">
        <f>ROUND(Employee_Sample_Data_1[[#This Row],[Annual Salary]]*(1+Employee_Sample_Data_1[[#This Row],[Bonus %]]), 0)</f>
        <v>53285</v>
      </c>
      <c r="Q305" t="s">
        <v>21</v>
      </c>
      <c r="R305" t="s">
        <v>22</v>
      </c>
      <c r="T305">
        <f ca="1">DATEDIF(Employee_Sample_Data_1[[#This Row],[Hire Date]], IF(Employee_Sample_Data_1[[#This Row],[Exit Date]] = "", TODAY(), Employee_Sample_Data_1[[#This Row],[Exit Date]]), "Y")</f>
        <v>10</v>
      </c>
    </row>
    <row r="306" spans="1:20" x14ac:dyDescent="0.25">
      <c r="A306" t="s">
        <v>687</v>
      </c>
      <c r="B306" t="s">
        <v>688</v>
      </c>
      <c r="C306" t="s">
        <v>405</v>
      </c>
      <c r="D306" t="s">
        <v>17</v>
      </c>
      <c r="E306" t="s">
        <v>33</v>
      </c>
      <c r="F306" t="s">
        <v>19</v>
      </c>
      <c r="G306" t="s">
        <v>20</v>
      </c>
      <c r="H306">
        <v>54</v>
      </c>
      <c r="I306" s="1">
        <v>35511</v>
      </c>
      <c r="J306" s="1" t="str">
        <f>TEXT(Employee_Sample_Data_1[[#This Row],[Hire Date]], "dddd")</f>
        <v>Saturday</v>
      </c>
      <c r="K306" s="1" t="str">
        <f>TEXT(Employee_Sample_Data_1[[#This Row],[Hire Date]], "mmmm")</f>
        <v>March</v>
      </c>
      <c r="L306" s="1" t="str">
        <f>TEXT(Employee_Sample_Data_1[[#This Row],[Hire Date]], "yyyy")</f>
        <v>1997</v>
      </c>
      <c r="M306" s="2">
        <v>67683</v>
      </c>
      <c r="N306" s="3">
        <v>0</v>
      </c>
      <c r="O306" s="9">
        <f>PRODUCT(Employee_Sample_Data_1[[#This Row],[Annual Salary]],Employee_Sample_Data_1[[#This Row],[Bonus %]])</f>
        <v>0</v>
      </c>
      <c r="P306" s="2">
        <f>ROUND(Employee_Sample_Data_1[[#This Row],[Annual Salary]]*(1+Employee_Sample_Data_1[[#This Row],[Bonus %]]), 0)</f>
        <v>67683</v>
      </c>
      <c r="Q306" t="s">
        <v>34</v>
      </c>
      <c r="R306" t="s">
        <v>108</v>
      </c>
      <c r="T306">
        <f ca="1">DATEDIF(Employee_Sample_Data_1[[#This Row],[Hire Date]], IF(Employee_Sample_Data_1[[#This Row],[Exit Date]] = "", TODAY(), Employee_Sample_Data_1[[#This Row],[Exit Date]]), "Y")</f>
        <v>29</v>
      </c>
    </row>
    <row r="307" spans="1:20" x14ac:dyDescent="0.25">
      <c r="A307" t="s">
        <v>689</v>
      </c>
      <c r="B307" t="s">
        <v>690</v>
      </c>
      <c r="C307" t="s">
        <v>86</v>
      </c>
      <c r="D307" t="s">
        <v>58</v>
      </c>
      <c r="E307" t="s">
        <v>18</v>
      </c>
      <c r="F307" t="s">
        <v>39</v>
      </c>
      <c r="G307" t="s">
        <v>20</v>
      </c>
      <c r="H307">
        <v>41</v>
      </c>
      <c r="I307" s="1">
        <v>43402</v>
      </c>
      <c r="J307" s="1" t="str">
        <f>TEXT(Employee_Sample_Data_1[[#This Row],[Hire Date]], "dddd")</f>
        <v>Monday</v>
      </c>
      <c r="K307" s="1" t="str">
        <f>TEXT(Employee_Sample_Data_1[[#This Row],[Hire Date]], "mmmm")</f>
        <v>October</v>
      </c>
      <c r="L307" s="1" t="str">
        <f>TEXT(Employee_Sample_Data_1[[#This Row],[Hire Date]], "yyyy")</f>
        <v>2018</v>
      </c>
      <c r="M307" s="2">
        <v>238155</v>
      </c>
      <c r="N307" s="3">
        <v>0.38</v>
      </c>
      <c r="O307" s="9">
        <f>PRODUCT(Employee_Sample_Data_1[[#This Row],[Annual Salary]],Employee_Sample_Data_1[[#This Row],[Bonus %]])</f>
        <v>90498.9</v>
      </c>
      <c r="P307" s="2">
        <f>ROUND(Employee_Sample_Data_1[[#This Row],[Annual Salary]]*(1+Employee_Sample_Data_1[[#This Row],[Bonus %]]), 0)</f>
        <v>328654</v>
      </c>
      <c r="Q307" t="s">
        <v>34</v>
      </c>
      <c r="R307" t="s">
        <v>35</v>
      </c>
      <c r="T307">
        <f ca="1">DATEDIF(Employee_Sample_Data_1[[#This Row],[Hire Date]], IF(Employee_Sample_Data_1[[#This Row],[Exit Date]] = "", TODAY(), Employee_Sample_Data_1[[#This Row],[Exit Date]]), "Y")</f>
        <v>7</v>
      </c>
    </row>
    <row r="308" spans="1:20" x14ac:dyDescent="0.25">
      <c r="A308" t="s">
        <v>691</v>
      </c>
      <c r="B308" t="s">
        <v>692</v>
      </c>
      <c r="C308" t="s">
        <v>44</v>
      </c>
      <c r="D308" t="s">
        <v>26</v>
      </c>
      <c r="E308" t="s">
        <v>27</v>
      </c>
      <c r="F308" t="s">
        <v>19</v>
      </c>
      <c r="G308" t="s">
        <v>20</v>
      </c>
      <c r="H308">
        <v>37</v>
      </c>
      <c r="I308" s="1">
        <v>43637</v>
      </c>
      <c r="J308" s="1" t="str">
        <f>TEXT(Employee_Sample_Data_1[[#This Row],[Hire Date]], "dddd")</f>
        <v>Friday</v>
      </c>
      <c r="K308" s="1" t="str">
        <f>TEXT(Employee_Sample_Data_1[[#This Row],[Hire Date]], "mmmm")</f>
        <v>June</v>
      </c>
      <c r="L308" s="1" t="str">
        <f>TEXT(Employee_Sample_Data_1[[#This Row],[Hire Date]], "yyyy")</f>
        <v>2019</v>
      </c>
      <c r="M308" s="2">
        <v>173630</v>
      </c>
      <c r="N308" s="3">
        <v>0.24</v>
      </c>
      <c r="O308" s="9">
        <f>PRODUCT(Employee_Sample_Data_1[[#This Row],[Annual Salary]],Employee_Sample_Data_1[[#This Row],[Bonus %]])</f>
        <v>41671.199999999997</v>
      </c>
      <c r="P308" s="2">
        <f>ROUND(Employee_Sample_Data_1[[#This Row],[Annual Salary]]*(1+Employee_Sample_Data_1[[#This Row],[Bonus %]]), 0)</f>
        <v>215301</v>
      </c>
      <c r="Q308" t="s">
        <v>34</v>
      </c>
      <c r="R308" t="s">
        <v>54</v>
      </c>
      <c r="T308">
        <f ca="1">DATEDIF(Employee_Sample_Data_1[[#This Row],[Hire Date]], IF(Employee_Sample_Data_1[[#This Row],[Exit Date]] = "", TODAY(), Employee_Sample_Data_1[[#This Row],[Exit Date]]), "Y")</f>
        <v>6</v>
      </c>
    </row>
    <row r="309" spans="1:20" x14ac:dyDescent="0.25">
      <c r="A309" t="s">
        <v>693</v>
      </c>
      <c r="B309" t="s">
        <v>694</v>
      </c>
      <c r="C309" t="s">
        <v>51</v>
      </c>
      <c r="D309" t="s">
        <v>58</v>
      </c>
      <c r="E309" t="s">
        <v>33</v>
      </c>
      <c r="F309" t="s">
        <v>39</v>
      </c>
      <c r="G309" t="s">
        <v>81</v>
      </c>
      <c r="H309">
        <v>29</v>
      </c>
      <c r="I309" s="1">
        <v>43857</v>
      </c>
      <c r="J309" s="1" t="str">
        <f>TEXT(Employee_Sample_Data_1[[#This Row],[Hire Date]], "dddd")</f>
        <v>Monday</v>
      </c>
      <c r="K309" s="1" t="str">
        <f>TEXT(Employee_Sample_Data_1[[#This Row],[Hire Date]], "mmmm")</f>
        <v>January</v>
      </c>
      <c r="L309" s="1" t="str">
        <f>TEXT(Employee_Sample_Data_1[[#This Row],[Hire Date]], "yyyy")</f>
        <v>2020</v>
      </c>
      <c r="M309" s="2">
        <v>98992</v>
      </c>
      <c r="N309" s="3">
        <v>0</v>
      </c>
      <c r="O309" s="9">
        <f>PRODUCT(Employee_Sample_Data_1[[#This Row],[Annual Salary]],Employee_Sample_Data_1[[#This Row],[Bonus %]])</f>
        <v>0</v>
      </c>
      <c r="P309" s="2">
        <f>ROUND(Employee_Sample_Data_1[[#This Row],[Annual Salary]]*(1+Employee_Sample_Data_1[[#This Row],[Bonus %]]), 0)</f>
        <v>98992</v>
      </c>
      <c r="Q309" t="s">
        <v>21</v>
      </c>
      <c r="R309" t="s">
        <v>67</v>
      </c>
      <c r="T309">
        <f ca="1">DATEDIF(Employee_Sample_Data_1[[#This Row],[Hire Date]], IF(Employee_Sample_Data_1[[#This Row],[Exit Date]] = "", TODAY(), Employee_Sample_Data_1[[#This Row],[Exit Date]]), "Y")</f>
        <v>6</v>
      </c>
    </row>
    <row r="310" spans="1:20" x14ac:dyDescent="0.25">
      <c r="A310" t="s">
        <v>695</v>
      </c>
      <c r="B310" t="s">
        <v>696</v>
      </c>
      <c r="C310" t="s">
        <v>86</v>
      </c>
      <c r="D310" t="s">
        <v>32</v>
      </c>
      <c r="E310" t="s">
        <v>27</v>
      </c>
      <c r="F310" t="s">
        <v>39</v>
      </c>
      <c r="G310" t="s">
        <v>20</v>
      </c>
      <c r="H310">
        <v>64</v>
      </c>
      <c r="I310" s="1">
        <v>42836</v>
      </c>
      <c r="J310" s="1" t="str">
        <f>TEXT(Employee_Sample_Data_1[[#This Row],[Hire Date]], "dddd")</f>
        <v>Tuesday</v>
      </c>
      <c r="K310" s="1" t="str">
        <f>TEXT(Employee_Sample_Data_1[[#This Row],[Hire Date]], "mmmm")</f>
        <v>April</v>
      </c>
      <c r="L310" s="1" t="str">
        <f>TEXT(Employee_Sample_Data_1[[#This Row],[Hire Date]], "yyyy")</f>
        <v>2017</v>
      </c>
      <c r="M310" s="2">
        <v>253330</v>
      </c>
      <c r="N310" s="3">
        <v>0.39</v>
      </c>
      <c r="O310" s="9">
        <f>PRODUCT(Employee_Sample_Data_1[[#This Row],[Annual Salary]],Employee_Sample_Data_1[[#This Row],[Bonus %]])</f>
        <v>98798.7</v>
      </c>
      <c r="P310" s="2">
        <f>ROUND(Employee_Sample_Data_1[[#This Row],[Annual Salary]]*(1+Employee_Sample_Data_1[[#This Row],[Bonus %]]), 0)</f>
        <v>352129</v>
      </c>
      <c r="Q310" t="s">
        <v>21</v>
      </c>
      <c r="R310" t="s">
        <v>45</v>
      </c>
      <c r="T310">
        <f ca="1">DATEDIF(Employee_Sample_Data_1[[#This Row],[Hire Date]], IF(Employee_Sample_Data_1[[#This Row],[Exit Date]] = "", TODAY(), Employee_Sample_Data_1[[#This Row],[Exit Date]]), "Y")</f>
        <v>9</v>
      </c>
    </row>
    <row r="311" spans="1:20" x14ac:dyDescent="0.25">
      <c r="A311" t="s">
        <v>697</v>
      </c>
      <c r="B311" t="s">
        <v>698</v>
      </c>
      <c r="C311" t="s">
        <v>80</v>
      </c>
      <c r="D311" t="s">
        <v>26</v>
      </c>
      <c r="E311" t="s">
        <v>27</v>
      </c>
      <c r="F311" t="s">
        <v>39</v>
      </c>
      <c r="G311" t="s">
        <v>63</v>
      </c>
      <c r="H311">
        <v>54</v>
      </c>
      <c r="I311" s="1">
        <v>40769</v>
      </c>
      <c r="J311" s="1" t="str">
        <f>TEXT(Employee_Sample_Data_1[[#This Row],[Hire Date]], "dddd")</f>
        <v>Sunday</v>
      </c>
      <c r="K311" s="1" t="str">
        <f>TEXT(Employee_Sample_Data_1[[#This Row],[Hire Date]], "mmmm")</f>
        <v>August</v>
      </c>
      <c r="L311" s="1" t="str">
        <f>TEXT(Employee_Sample_Data_1[[#This Row],[Hire Date]], "yyyy")</f>
        <v>2011</v>
      </c>
      <c r="M311" s="2">
        <v>158403</v>
      </c>
      <c r="N311" s="3">
        <v>0.14000000000000001</v>
      </c>
      <c r="O311" s="9">
        <f>PRODUCT(Employee_Sample_Data_1[[#This Row],[Annual Salary]],Employee_Sample_Data_1[[#This Row],[Bonus %]])</f>
        <v>22176.420000000002</v>
      </c>
      <c r="P311" s="2">
        <f>ROUND(Employee_Sample_Data_1[[#This Row],[Annual Salary]]*(1+Employee_Sample_Data_1[[#This Row],[Bonus %]]), 0)</f>
        <v>180579</v>
      </c>
      <c r="Q311" t="s">
        <v>21</v>
      </c>
      <c r="R311" t="s">
        <v>41</v>
      </c>
      <c r="S311" s="1">
        <v>43679</v>
      </c>
      <c r="T311">
        <f ca="1">DATEDIF(Employee_Sample_Data_1[[#This Row],[Hire Date]], IF(Employee_Sample_Data_1[[#This Row],[Exit Date]] = "", TODAY(), Employee_Sample_Data_1[[#This Row],[Exit Date]]), "Y")</f>
        <v>7</v>
      </c>
    </row>
    <row r="312" spans="1:20" x14ac:dyDescent="0.25">
      <c r="A312" t="s">
        <v>699</v>
      </c>
      <c r="B312" t="s">
        <v>700</v>
      </c>
      <c r="C312" t="s">
        <v>80</v>
      </c>
      <c r="D312" t="s">
        <v>52</v>
      </c>
      <c r="E312" t="s">
        <v>27</v>
      </c>
      <c r="F312" t="s">
        <v>19</v>
      </c>
      <c r="G312" t="s">
        <v>63</v>
      </c>
      <c r="H312">
        <v>36</v>
      </c>
      <c r="I312" s="1">
        <v>44282</v>
      </c>
      <c r="J312" s="1" t="str">
        <f>TEXT(Employee_Sample_Data_1[[#This Row],[Hire Date]], "dddd")</f>
        <v>Saturday</v>
      </c>
      <c r="K312" s="1" t="str">
        <f>TEXT(Employee_Sample_Data_1[[#This Row],[Hire Date]], "mmmm")</f>
        <v>March</v>
      </c>
      <c r="L312" s="1" t="str">
        <f>TEXT(Employee_Sample_Data_1[[#This Row],[Hire Date]], "yyyy")</f>
        <v>2021</v>
      </c>
      <c r="M312" s="2">
        <v>156085</v>
      </c>
      <c r="N312" s="3">
        <v>0.12</v>
      </c>
      <c r="O312" s="9">
        <f>PRODUCT(Employee_Sample_Data_1[[#This Row],[Annual Salary]],Employee_Sample_Data_1[[#This Row],[Bonus %]])</f>
        <v>18730.2</v>
      </c>
      <c r="P312" s="2">
        <f>ROUND(Employee_Sample_Data_1[[#This Row],[Annual Salary]]*(1+Employee_Sample_Data_1[[#This Row],[Bonus %]]), 0)</f>
        <v>174815</v>
      </c>
      <c r="Q312" t="s">
        <v>21</v>
      </c>
      <c r="R312" t="s">
        <v>67</v>
      </c>
      <c r="T312">
        <f ca="1">DATEDIF(Employee_Sample_Data_1[[#This Row],[Hire Date]], IF(Employee_Sample_Data_1[[#This Row],[Exit Date]] = "", TODAY(), Employee_Sample_Data_1[[#This Row],[Exit Date]]), "Y")</f>
        <v>5</v>
      </c>
    </row>
    <row r="313" spans="1:20" x14ac:dyDescent="0.25">
      <c r="A313" t="s">
        <v>701</v>
      </c>
      <c r="B313" t="s">
        <v>702</v>
      </c>
      <c r="C313" t="s">
        <v>170</v>
      </c>
      <c r="D313" t="s">
        <v>32</v>
      </c>
      <c r="E313" t="s">
        <v>53</v>
      </c>
      <c r="F313" t="s">
        <v>39</v>
      </c>
      <c r="G313" t="s">
        <v>81</v>
      </c>
      <c r="H313">
        <v>54</v>
      </c>
      <c r="I313" s="1">
        <v>41382</v>
      </c>
      <c r="J313" s="1" t="str">
        <f>TEXT(Employee_Sample_Data_1[[#This Row],[Hire Date]], "dddd")</f>
        <v>Thursday</v>
      </c>
      <c r="K313" s="1" t="str">
        <f>TEXT(Employee_Sample_Data_1[[#This Row],[Hire Date]], "mmmm")</f>
        <v>April</v>
      </c>
      <c r="L313" s="1" t="str">
        <f>TEXT(Employee_Sample_Data_1[[#This Row],[Hire Date]], "yyyy")</f>
        <v>2013</v>
      </c>
      <c r="M313" s="2">
        <v>80129</v>
      </c>
      <c r="N313" s="3">
        <v>0</v>
      </c>
      <c r="O313" s="9">
        <f>PRODUCT(Employee_Sample_Data_1[[#This Row],[Annual Salary]],Employee_Sample_Data_1[[#This Row],[Bonus %]])</f>
        <v>0</v>
      </c>
      <c r="P313" s="2">
        <f>ROUND(Employee_Sample_Data_1[[#This Row],[Annual Salary]]*(1+Employee_Sample_Data_1[[#This Row],[Bonus %]]), 0)</f>
        <v>80129</v>
      </c>
      <c r="Q313" t="s">
        <v>21</v>
      </c>
      <c r="R313" t="s">
        <v>67</v>
      </c>
      <c r="T313">
        <f ca="1">DATEDIF(Employee_Sample_Data_1[[#This Row],[Hire Date]], IF(Employee_Sample_Data_1[[#This Row],[Exit Date]] = "", TODAY(), Employee_Sample_Data_1[[#This Row],[Exit Date]]), "Y")</f>
        <v>13</v>
      </c>
    </row>
    <row r="314" spans="1:20" x14ac:dyDescent="0.25">
      <c r="A314" t="s">
        <v>703</v>
      </c>
      <c r="B314" t="s">
        <v>704</v>
      </c>
      <c r="C314" t="s">
        <v>101</v>
      </c>
      <c r="D314" t="s">
        <v>26</v>
      </c>
      <c r="E314" t="s">
        <v>33</v>
      </c>
      <c r="F314" t="s">
        <v>39</v>
      </c>
      <c r="G314" t="s">
        <v>63</v>
      </c>
      <c r="H314">
        <v>56</v>
      </c>
      <c r="I314" s="1">
        <v>42744</v>
      </c>
      <c r="J314" s="1" t="str">
        <f>TEXT(Employee_Sample_Data_1[[#This Row],[Hire Date]], "dddd")</f>
        <v>Monday</v>
      </c>
      <c r="K314" s="1" t="str">
        <f>TEXT(Employee_Sample_Data_1[[#This Row],[Hire Date]], "mmmm")</f>
        <v>January</v>
      </c>
      <c r="L314" s="1" t="str">
        <f>TEXT(Employee_Sample_Data_1[[#This Row],[Hire Date]], "yyyy")</f>
        <v>2017</v>
      </c>
      <c r="M314" s="2">
        <v>60517</v>
      </c>
      <c r="N314" s="3">
        <v>0</v>
      </c>
      <c r="O314" s="9">
        <f>PRODUCT(Employee_Sample_Data_1[[#This Row],[Annual Salary]],Employee_Sample_Data_1[[#This Row],[Bonus %]])</f>
        <v>0</v>
      </c>
      <c r="P314" s="2">
        <f>ROUND(Employee_Sample_Data_1[[#This Row],[Annual Salary]]*(1+Employee_Sample_Data_1[[#This Row],[Bonus %]]), 0)</f>
        <v>60517</v>
      </c>
      <c r="Q314" t="s">
        <v>21</v>
      </c>
      <c r="R314" t="s">
        <v>22</v>
      </c>
      <c r="T314">
        <f ca="1">DATEDIF(Employee_Sample_Data_1[[#This Row],[Hire Date]], IF(Employee_Sample_Data_1[[#This Row],[Exit Date]] = "", TODAY(), Employee_Sample_Data_1[[#This Row],[Exit Date]]), "Y")</f>
        <v>9</v>
      </c>
    </row>
    <row r="315" spans="1:20" x14ac:dyDescent="0.25">
      <c r="A315" t="s">
        <v>705</v>
      </c>
      <c r="B315" t="s">
        <v>706</v>
      </c>
      <c r="C315" t="s">
        <v>131</v>
      </c>
      <c r="D315" t="s">
        <v>17</v>
      </c>
      <c r="E315" t="s">
        <v>33</v>
      </c>
      <c r="F315" t="s">
        <v>19</v>
      </c>
      <c r="G315" t="s">
        <v>63</v>
      </c>
      <c r="H315">
        <v>48</v>
      </c>
      <c r="I315" s="1">
        <v>42717</v>
      </c>
      <c r="J315" s="1" t="str">
        <f>TEXT(Employee_Sample_Data_1[[#This Row],[Hire Date]], "dddd")</f>
        <v>Tuesday</v>
      </c>
      <c r="K315" s="1" t="str">
        <f>TEXT(Employee_Sample_Data_1[[#This Row],[Hire Date]], "mmmm")</f>
        <v>December</v>
      </c>
      <c r="L315" s="1" t="str">
        <f>TEXT(Employee_Sample_Data_1[[#This Row],[Hire Date]], "yyyy")</f>
        <v>2016</v>
      </c>
      <c r="M315" s="2">
        <v>72315</v>
      </c>
      <c r="N315" s="3">
        <v>0</v>
      </c>
      <c r="O315" s="9">
        <f>PRODUCT(Employee_Sample_Data_1[[#This Row],[Annual Salary]],Employee_Sample_Data_1[[#This Row],[Bonus %]])</f>
        <v>0</v>
      </c>
      <c r="P315" s="2">
        <f>ROUND(Employee_Sample_Data_1[[#This Row],[Annual Salary]]*(1+Employee_Sample_Data_1[[#This Row],[Bonus %]]), 0)</f>
        <v>72315</v>
      </c>
      <c r="Q315" t="s">
        <v>21</v>
      </c>
      <c r="R315" t="s">
        <v>45</v>
      </c>
      <c r="S315" s="1">
        <v>42875</v>
      </c>
      <c r="T315">
        <f ca="1">DATEDIF(Employee_Sample_Data_1[[#This Row],[Hire Date]], IF(Employee_Sample_Data_1[[#This Row],[Exit Date]] = "", TODAY(), Employee_Sample_Data_1[[#This Row],[Exit Date]]), "Y")</f>
        <v>0</v>
      </c>
    </row>
    <row r="316" spans="1:20" x14ac:dyDescent="0.25">
      <c r="A316" t="s">
        <v>707</v>
      </c>
      <c r="B316" t="s">
        <v>708</v>
      </c>
      <c r="C316" t="s">
        <v>44</v>
      </c>
      <c r="D316" t="s">
        <v>123</v>
      </c>
      <c r="E316" t="s">
        <v>18</v>
      </c>
      <c r="F316" t="s">
        <v>19</v>
      </c>
      <c r="G316" t="s">
        <v>20</v>
      </c>
      <c r="H316">
        <v>35</v>
      </c>
      <c r="I316" s="1">
        <v>42196</v>
      </c>
      <c r="J316" s="1" t="str">
        <f>TEXT(Employee_Sample_Data_1[[#This Row],[Hire Date]], "dddd")</f>
        <v>Saturday</v>
      </c>
      <c r="K316" s="1" t="str">
        <f>TEXT(Employee_Sample_Data_1[[#This Row],[Hire Date]], "mmmm")</f>
        <v>July</v>
      </c>
      <c r="L316" s="1" t="str">
        <f>TEXT(Employee_Sample_Data_1[[#This Row],[Hire Date]], "yyyy")</f>
        <v>2015</v>
      </c>
      <c r="M316" s="2">
        <v>153815</v>
      </c>
      <c r="N316" s="3">
        <v>0.19</v>
      </c>
      <c r="O316" s="9">
        <f>PRODUCT(Employee_Sample_Data_1[[#This Row],[Annual Salary]],Employee_Sample_Data_1[[#This Row],[Bonus %]])</f>
        <v>29224.85</v>
      </c>
      <c r="P316" s="2">
        <f>ROUND(Employee_Sample_Data_1[[#This Row],[Annual Salary]]*(1+Employee_Sample_Data_1[[#This Row],[Bonus %]]), 0)</f>
        <v>183040</v>
      </c>
      <c r="Q316" t="s">
        <v>21</v>
      </c>
      <c r="R316" t="s">
        <v>67</v>
      </c>
      <c r="S316" s="1">
        <v>42521</v>
      </c>
      <c r="T316">
        <f ca="1">DATEDIF(Employee_Sample_Data_1[[#This Row],[Hire Date]], IF(Employee_Sample_Data_1[[#This Row],[Exit Date]] = "", TODAY(), Employee_Sample_Data_1[[#This Row],[Exit Date]]), "Y")</f>
        <v>0</v>
      </c>
    </row>
    <row r="317" spans="1:20" x14ac:dyDescent="0.25">
      <c r="A317" t="s">
        <v>709</v>
      </c>
      <c r="B317" t="s">
        <v>710</v>
      </c>
      <c r="C317" t="s">
        <v>80</v>
      </c>
      <c r="D317" t="s">
        <v>77</v>
      </c>
      <c r="E317" t="s">
        <v>53</v>
      </c>
      <c r="F317" t="s">
        <v>39</v>
      </c>
      <c r="G317" t="s">
        <v>81</v>
      </c>
      <c r="H317">
        <v>32</v>
      </c>
      <c r="I317" s="1">
        <v>43328</v>
      </c>
      <c r="J317" s="1" t="str">
        <f>TEXT(Employee_Sample_Data_1[[#This Row],[Hire Date]], "dddd")</f>
        <v>Thursday</v>
      </c>
      <c r="K317" s="1" t="str">
        <f>TEXT(Employee_Sample_Data_1[[#This Row],[Hire Date]], "mmmm")</f>
        <v>August</v>
      </c>
      <c r="L317" s="1" t="str">
        <f>TEXT(Employee_Sample_Data_1[[#This Row],[Hire Date]], "yyyy")</f>
        <v>2018</v>
      </c>
      <c r="M317" s="2">
        <v>139552</v>
      </c>
      <c r="N317" s="3">
        <v>0.15</v>
      </c>
      <c r="O317" s="9">
        <f>PRODUCT(Employee_Sample_Data_1[[#This Row],[Annual Salary]],Employee_Sample_Data_1[[#This Row],[Bonus %]])</f>
        <v>20932.8</v>
      </c>
      <c r="P317" s="2">
        <f>ROUND(Employee_Sample_Data_1[[#This Row],[Annual Salary]]*(1+Employee_Sample_Data_1[[#This Row],[Bonus %]]), 0)</f>
        <v>160485</v>
      </c>
      <c r="Q317" t="s">
        <v>21</v>
      </c>
      <c r="R317" t="s">
        <v>67</v>
      </c>
      <c r="T317">
        <f ca="1">DATEDIF(Employee_Sample_Data_1[[#This Row],[Hire Date]], IF(Employee_Sample_Data_1[[#This Row],[Exit Date]] = "", TODAY(), Employee_Sample_Data_1[[#This Row],[Exit Date]]), "Y")</f>
        <v>7</v>
      </c>
    </row>
    <row r="318" spans="1:20" x14ac:dyDescent="0.25">
      <c r="A318" t="s">
        <v>711</v>
      </c>
      <c r="B318" t="s">
        <v>712</v>
      </c>
      <c r="C318" t="s">
        <v>86</v>
      </c>
      <c r="D318" t="s">
        <v>77</v>
      </c>
      <c r="E318" t="s">
        <v>27</v>
      </c>
      <c r="F318" t="s">
        <v>19</v>
      </c>
      <c r="G318" t="s">
        <v>20</v>
      </c>
      <c r="H318">
        <v>25</v>
      </c>
      <c r="I318" s="1">
        <v>44854</v>
      </c>
      <c r="J318" s="1" t="str">
        <f>TEXT(Employee_Sample_Data_1[[#This Row],[Hire Date]], "dddd")</f>
        <v>Thursday</v>
      </c>
      <c r="K318" s="1" t="str">
        <f>TEXT(Employee_Sample_Data_1[[#This Row],[Hire Date]], "mmmm")</f>
        <v>October</v>
      </c>
      <c r="L318" s="1" t="str">
        <f>TEXT(Employee_Sample_Data_1[[#This Row],[Hire Date]], "yyyy")</f>
        <v>2022</v>
      </c>
      <c r="M318" s="2">
        <v>257296</v>
      </c>
      <c r="N318" s="3">
        <v>0.35</v>
      </c>
      <c r="O318" s="9">
        <f>PRODUCT(Employee_Sample_Data_1[[#This Row],[Annual Salary]],Employee_Sample_Data_1[[#This Row],[Bonus %]])</f>
        <v>90053.599999999991</v>
      </c>
      <c r="P318" s="2">
        <f>ROUND(Employee_Sample_Data_1[[#This Row],[Annual Salary]]*(1+Employee_Sample_Data_1[[#This Row],[Bonus %]]), 0)</f>
        <v>347350</v>
      </c>
      <c r="Q318" t="s">
        <v>21</v>
      </c>
      <c r="R318" t="s">
        <v>45</v>
      </c>
      <c r="T318">
        <f ca="1">DATEDIF(Employee_Sample_Data_1[[#This Row],[Hire Date]], IF(Employee_Sample_Data_1[[#This Row],[Exit Date]] = "", TODAY(), Employee_Sample_Data_1[[#This Row],[Exit Date]]), "Y")</f>
        <v>3</v>
      </c>
    </row>
    <row r="319" spans="1:20" x14ac:dyDescent="0.25">
      <c r="A319" t="s">
        <v>713</v>
      </c>
      <c r="B319" t="s">
        <v>714</v>
      </c>
      <c r="C319" t="s">
        <v>51</v>
      </c>
      <c r="D319" t="s">
        <v>58</v>
      </c>
      <c r="E319" t="s">
        <v>18</v>
      </c>
      <c r="F319" t="s">
        <v>19</v>
      </c>
      <c r="G319" t="s">
        <v>20</v>
      </c>
      <c r="H319">
        <v>26</v>
      </c>
      <c r="I319" s="1">
        <v>43955</v>
      </c>
      <c r="J319" s="1" t="str">
        <f>TEXT(Employee_Sample_Data_1[[#This Row],[Hire Date]], "dddd")</f>
        <v>Monday</v>
      </c>
      <c r="K319" s="1" t="str">
        <f>TEXT(Employee_Sample_Data_1[[#This Row],[Hire Date]], "mmmm")</f>
        <v>May</v>
      </c>
      <c r="L319" s="1" t="str">
        <f>TEXT(Employee_Sample_Data_1[[#This Row],[Hire Date]], "yyyy")</f>
        <v>2020</v>
      </c>
      <c r="M319" s="2">
        <v>91372</v>
      </c>
      <c r="N319" s="3">
        <v>0</v>
      </c>
      <c r="O319" s="9">
        <f>PRODUCT(Employee_Sample_Data_1[[#This Row],[Annual Salary]],Employee_Sample_Data_1[[#This Row],[Bonus %]])</f>
        <v>0</v>
      </c>
      <c r="P319" s="2">
        <f>ROUND(Employee_Sample_Data_1[[#This Row],[Annual Salary]]*(1+Employee_Sample_Data_1[[#This Row],[Bonus %]]), 0)</f>
        <v>91372</v>
      </c>
      <c r="Q319" t="s">
        <v>21</v>
      </c>
      <c r="R319" t="s">
        <v>67</v>
      </c>
      <c r="T319">
        <f ca="1">DATEDIF(Employee_Sample_Data_1[[#This Row],[Hire Date]], IF(Employee_Sample_Data_1[[#This Row],[Exit Date]] = "", TODAY(), Employee_Sample_Data_1[[#This Row],[Exit Date]]), "Y")</f>
        <v>6</v>
      </c>
    </row>
    <row r="320" spans="1:20" x14ac:dyDescent="0.25">
      <c r="A320" t="s">
        <v>715</v>
      </c>
      <c r="B320" t="s">
        <v>716</v>
      </c>
      <c r="C320" t="s">
        <v>229</v>
      </c>
      <c r="D320" t="s">
        <v>123</v>
      </c>
      <c r="E320" t="s">
        <v>27</v>
      </c>
      <c r="F320" t="s">
        <v>19</v>
      </c>
      <c r="G320" t="s">
        <v>20</v>
      </c>
      <c r="H320">
        <v>53</v>
      </c>
      <c r="I320" s="1">
        <v>42891</v>
      </c>
      <c r="J320" s="1" t="str">
        <f>TEXT(Employee_Sample_Data_1[[#This Row],[Hire Date]], "dddd")</f>
        <v>Monday</v>
      </c>
      <c r="K320" s="1" t="str">
        <f>TEXT(Employee_Sample_Data_1[[#This Row],[Hire Date]], "mmmm")</f>
        <v>June</v>
      </c>
      <c r="L320" s="1" t="str">
        <f>TEXT(Employee_Sample_Data_1[[#This Row],[Hire Date]], "yyyy")</f>
        <v>2017</v>
      </c>
      <c r="M320" s="2">
        <v>73601</v>
      </c>
      <c r="N320" s="3">
        <v>0</v>
      </c>
      <c r="O320" s="9">
        <f>PRODUCT(Employee_Sample_Data_1[[#This Row],[Annual Salary]],Employee_Sample_Data_1[[#This Row],[Bonus %]])</f>
        <v>0</v>
      </c>
      <c r="P320" s="2">
        <f>ROUND(Employee_Sample_Data_1[[#This Row],[Annual Salary]]*(1+Employee_Sample_Data_1[[#This Row],[Bonus %]]), 0)</f>
        <v>73601</v>
      </c>
      <c r="Q320" t="s">
        <v>34</v>
      </c>
      <c r="R320" t="s">
        <v>59</v>
      </c>
      <c r="T320">
        <f ca="1">DATEDIF(Employee_Sample_Data_1[[#This Row],[Hire Date]], IF(Employee_Sample_Data_1[[#This Row],[Exit Date]] = "", TODAY(), Employee_Sample_Data_1[[#This Row],[Exit Date]]), "Y")</f>
        <v>9</v>
      </c>
    </row>
    <row r="321" spans="1:20" x14ac:dyDescent="0.25">
      <c r="A321" t="s">
        <v>717</v>
      </c>
      <c r="B321" t="s">
        <v>718</v>
      </c>
      <c r="C321" t="s">
        <v>38</v>
      </c>
      <c r="D321" t="s">
        <v>32</v>
      </c>
      <c r="E321" t="s">
        <v>27</v>
      </c>
      <c r="F321" t="s">
        <v>39</v>
      </c>
      <c r="G321" t="s">
        <v>20</v>
      </c>
      <c r="H321">
        <v>37</v>
      </c>
      <c r="I321" s="1">
        <v>41393</v>
      </c>
      <c r="J321" s="1" t="str">
        <f>TEXT(Employee_Sample_Data_1[[#This Row],[Hire Date]], "dddd")</f>
        <v>Monday</v>
      </c>
      <c r="K321" s="1" t="str">
        <f>TEXT(Employee_Sample_Data_1[[#This Row],[Hire Date]], "mmmm")</f>
        <v>April</v>
      </c>
      <c r="L321" s="1" t="str">
        <f>TEXT(Employee_Sample_Data_1[[#This Row],[Hire Date]], "yyyy")</f>
        <v>2013</v>
      </c>
      <c r="M321" s="2">
        <v>71871</v>
      </c>
      <c r="N321" s="3">
        <v>0</v>
      </c>
      <c r="O321" s="9">
        <f>PRODUCT(Employee_Sample_Data_1[[#This Row],[Annual Salary]],Employee_Sample_Data_1[[#This Row],[Bonus %]])</f>
        <v>0</v>
      </c>
      <c r="P321" s="2">
        <f>ROUND(Employee_Sample_Data_1[[#This Row],[Annual Salary]]*(1+Employee_Sample_Data_1[[#This Row],[Bonus %]]), 0)</f>
        <v>71871</v>
      </c>
      <c r="Q321" t="s">
        <v>34</v>
      </c>
      <c r="R321" t="s">
        <v>59</v>
      </c>
      <c r="T321">
        <f ca="1">DATEDIF(Employee_Sample_Data_1[[#This Row],[Hire Date]], IF(Employee_Sample_Data_1[[#This Row],[Exit Date]] = "", TODAY(), Employee_Sample_Data_1[[#This Row],[Exit Date]]), "Y")</f>
        <v>13</v>
      </c>
    </row>
    <row r="322" spans="1:20" x14ac:dyDescent="0.25">
      <c r="A322" t="s">
        <v>719</v>
      </c>
      <c r="B322" t="s">
        <v>720</v>
      </c>
      <c r="C322" t="s">
        <v>402</v>
      </c>
      <c r="D322" t="s">
        <v>26</v>
      </c>
      <c r="E322" t="s">
        <v>53</v>
      </c>
      <c r="F322" t="s">
        <v>39</v>
      </c>
      <c r="G322" t="s">
        <v>63</v>
      </c>
      <c r="H322">
        <v>31</v>
      </c>
      <c r="I322" s="1">
        <v>42407</v>
      </c>
      <c r="J322" s="1" t="str">
        <f>TEXT(Employee_Sample_Data_1[[#This Row],[Hire Date]], "dddd")</f>
        <v>Sunday</v>
      </c>
      <c r="K322" s="1" t="str">
        <f>TEXT(Employee_Sample_Data_1[[#This Row],[Hire Date]], "mmmm")</f>
        <v>February</v>
      </c>
      <c r="L322" s="1" t="str">
        <f>TEXT(Employee_Sample_Data_1[[#This Row],[Hire Date]], "yyyy")</f>
        <v>2016</v>
      </c>
      <c r="M322" s="2">
        <v>84925</v>
      </c>
      <c r="N322" s="3">
        <v>0</v>
      </c>
      <c r="O322" s="9">
        <f>PRODUCT(Employee_Sample_Data_1[[#This Row],[Annual Salary]],Employee_Sample_Data_1[[#This Row],[Bonus %]])</f>
        <v>0</v>
      </c>
      <c r="P322" s="2">
        <f>ROUND(Employee_Sample_Data_1[[#This Row],[Annual Salary]]*(1+Employee_Sample_Data_1[[#This Row],[Bonus %]]), 0)</f>
        <v>84925</v>
      </c>
      <c r="Q322" t="s">
        <v>21</v>
      </c>
      <c r="R322" t="s">
        <v>45</v>
      </c>
      <c r="T322">
        <f ca="1">DATEDIF(Employee_Sample_Data_1[[#This Row],[Hire Date]], IF(Employee_Sample_Data_1[[#This Row],[Exit Date]] = "", TODAY(), Employee_Sample_Data_1[[#This Row],[Exit Date]]), "Y")</f>
        <v>10</v>
      </c>
    </row>
    <row r="323" spans="1:20" x14ac:dyDescent="0.25">
      <c r="A323" t="s">
        <v>721</v>
      </c>
      <c r="B323" t="s">
        <v>722</v>
      </c>
      <c r="C323" t="s">
        <v>80</v>
      </c>
      <c r="D323" t="s">
        <v>32</v>
      </c>
      <c r="E323" t="s">
        <v>18</v>
      </c>
      <c r="F323" t="s">
        <v>39</v>
      </c>
      <c r="G323" t="s">
        <v>20</v>
      </c>
      <c r="H323">
        <v>47</v>
      </c>
      <c r="I323" s="1">
        <v>40185</v>
      </c>
      <c r="J323" s="1" t="str">
        <f>TEXT(Employee_Sample_Data_1[[#This Row],[Hire Date]], "dddd")</f>
        <v>Thursday</v>
      </c>
      <c r="K323" s="1" t="str">
        <f>TEXT(Employee_Sample_Data_1[[#This Row],[Hire Date]], "mmmm")</f>
        <v>January</v>
      </c>
      <c r="L323" s="1" t="str">
        <f>TEXT(Employee_Sample_Data_1[[#This Row],[Hire Date]], "yyyy")</f>
        <v>2010</v>
      </c>
      <c r="M323" s="2">
        <v>155600</v>
      </c>
      <c r="N323" s="3">
        <v>0.14000000000000001</v>
      </c>
      <c r="O323" s="9">
        <f>PRODUCT(Employee_Sample_Data_1[[#This Row],[Annual Salary]],Employee_Sample_Data_1[[#This Row],[Bonus %]])</f>
        <v>21784.000000000004</v>
      </c>
      <c r="P323" s="2">
        <f>ROUND(Employee_Sample_Data_1[[#This Row],[Annual Salary]]*(1+Employee_Sample_Data_1[[#This Row],[Bonus %]]), 0)</f>
        <v>177384</v>
      </c>
      <c r="Q323" t="s">
        <v>34</v>
      </c>
      <c r="R323" t="s">
        <v>54</v>
      </c>
      <c r="T323">
        <f ca="1">DATEDIF(Employee_Sample_Data_1[[#This Row],[Hire Date]], IF(Employee_Sample_Data_1[[#This Row],[Exit Date]] = "", TODAY(), Employee_Sample_Data_1[[#This Row],[Exit Date]]), "Y")</f>
        <v>16</v>
      </c>
    </row>
    <row r="324" spans="1:20" x14ac:dyDescent="0.25">
      <c r="A324" t="s">
        <v>723</v>
      </c>
      <c r="B324" t="s">
        <v>724</v>
      </c>
      <c r="C324" t="s">
        <v>66</v>
      </c>
      <c r="D324" t="s">
        <v>26</v>
      </c>
      <c r="E324" t="s">
        <v>33</v>
      </c>
      <c r="F324" t="s">
        <v>19</v>
      </c>
      <c r="G324" t="s">
        <v>81</v>
      </c>
      <c r="H324">
        <v>32</v>
      </c>
      <c r="I324" s="1">
        <v>43449</v>
      </c>
      <c r="J324" s="1" t="str">
        <f>TEXT(Employee_Sample_Data_1[[#This Row],[Hire Date]], "dddd")</f>
        <v>Saturday</v>
      </c>
      <c r="K324" s="1" t="str">
        <f>TEXT(Employee_Sample_Data_1[[#This Row],[Hire Date]], "mmmm")</f>
        <v>December</v>
      </c>
      <c r="L324" s="1" t="str">
        <f>TEXT(Employee_Sample_Data_1[[#This Row],[Hire Date]], "yyyy")</f>
        <v>2018</v>
      </c>
      <c r="M324" s="2">
        <v>101564</v>
      </c>
      <c r="N324" s="3">
        <v>0.06</v>
      </c>
      <c r="O324" s="9">
        <f>PRODUCT(Employee_Sample_Data_1[[#This Row],[Annual Salary]],Employee_Sample_Data_1[[#This Row],[Bonus %]])</f>
        <v>6093.84</v>
      </c>
      <c r="P324" s="2">
        <f>ROUND(Employee_Sample_Data_1[[#This Row],[Annual Salary]]*(1+Employee_Sample_Data_1[[#This Row],[Bonus %]]), 0)</f>
        <v>107658</v>
      </c>
      <c r="Q324" t="s">
        <v>21</v>
      </c>
      <c r="R324" t="s">
        <v>45</v>
      </c>
      <c r="T324">
        <f ca="1">DATEDIF(Employee_Sample_Data_1[[#This Row],[Hire Date]], IF(Employee_Sample_Data_1[[#This Row],[Exit Date]] = "", TODAY(), Employee_Sample_Data_1[[#This Row],[Exit Date]]), "Y")</f>
        <v>7</v>
      </c>
    </row>
    <row r="325" spans="1:20" x14ac:dyDescent="0.25">
      <c r="A325" t="s">
        <v>725</v>
      </c>
      <c r="B325" t="s">
        <v>726</v>
      </c>
      <c r="C325" t="s">
        <v>16</v>
      </c>
      <c r="D325" t="s">
        <v>17</v>
      </c>
      <c r="E325" t="s">
        <v>33</v>
      </c>
      <c r="F325" t="s">
        <v>19</v>
      </c>
      <c r="G325" t="s">
        <v>20</v>
      </c>
      <c r="H325">
        <v>40</v>
      </c>
      <c r="I325" s="1">
        <v>40098</v>
      </c>
      <c r="J325" s="1" t="str">
        <f>TEXT(Employee_Sample_Data_1[[#This Row],[Hire Date]], "dddd")</f>
        <v>Monday</v>
      </c>
      <c r="K325" s="1" t="str">
        <f>TEXT(Employee_Sample_Data_1[[#This Row],[Hire Date]], "mmmm")</f>
        <v>October</v>
      </c>
      <c r="L325" s="1" t="str">
        <f>TEXT(Employee_Sample_Data_1[[#This Row],[Hire Date]], "yyyy")</f>
        <v>2009</v>
      </c>
      <c r="M325" s="2">
        <v>80150</v>
      </c>
      <c r="N325" s="3">
        <v>0</v>
      </c>
      <c r="O325" s="9">
        <f>PRODUCT(Employee_Sample_Data_1[[#This Row],[Annual Salary]],Employee_Sample_Data_1[[#This Row],[Bonus %]])</f>
        <v>0</v>
      </c>
      <c r="P325" s="2">
        <f>ROUND(Employee_Sample_Data_1[[#This Row],[Annual Salary]]*(1+Employee_Sample_Data_1[[#This Row],[Bonus %]]), 0)</f>
        <v>80150</v>
      </c>
      <c r="Q325" t="s">
        <v>21</v>
      </c>
      <c r="R325" t="s">
        <v>48</v>
      </c>
      <c r="T325">
        <f ca="1">DATEDIF(Employee_Sample_Data_1[[#This Row],[Hire Date]], IF(Employee_Sample_Data_1[[#This Row],[Exit Date]] = "", TODAY(), Employee_Sample_Data_1[[#This Row],[Exit Date]]), "Y")</f>
        <v>16</v>
      </c>
    </row>
    <row r="326" spans="1:20" x14ac:dyDescent="0.25">
      <c r="A326" t="s">
        <v>727</v>
      </c>
      <c r="B326" t="s">
        <v>728</v>
      </c>
      <c r="C326" t="s">
        <v>244</v>
      </c>
      <c r="D326" t="s">
        <v>123</v>
      </c>
      <c r="E326" t="s">
        <v>27</v>
      </c>
      <c r="F326" t="s">
        <v>19</v>
      </c>
      <c r="G326" t="s">
        <v>20</v>
      </c>
      <c r="H326">
        <v>65</v>
      </c>
      <c r="I326" s="1">
        <v>44478</v>
      </c>
      <c r="J326" s="1" t="str">
        <f>TEXT(Employee_Sample_Data_1[[#This Row],[Hire Date]], "dddd")</f>
        <v>Saturday</v>
      </c>
      <c r="K326" s="1" t="str">
        <f>TEXT(Employee_Sample_Data_1[[#This Row],[Hire Date]], "mmmm")</f>
        <v>October</v>
      </c>
      <c r="L326" s="1" t="str">
        <f>TEXT(Employee_Sample_Data_1[[#This Row],[Hire Date]], "yyyy")</f>
        <v>2021</v>
      </c>
      <c r="M326" s="2">
        <v>73996</v>
      </c>
      <c r="N326" s="3">
        <v>0</v>
      </c>
      <c r="O326" s="9">
        <f>PRODUCT(Employee_Sample_Data_1[[#This Row],[Annual Salary]],Employee_Sample_Data_1[[#This Row],[Bonus %]])</f>
        <v>0</v>
      </c>
      <c r="P326" s="2">
        <f>ROUND(Employee_Sample_Data_1[[#This Row],[Annual Salary]]*(1+Employee_Sample_Data_1[[#This Row],[Bonus %]]), 0)</f>
        <v>73996</v>
      </c>
      <c r="Q326" t="s">
        <v>34</v>
      </c>
      <c r="R326" t="s">
        <v>59</v>
      </c>
      <c r="S326" s="1">
        <v>44808</v>
      </c>
      <c r="T326">
        <f ca="1">DATEDIF(Employee_Sample_Data_1[[#This Row],[Hire Date]], IF(Employee_Sample_Data_1[[#This Row],[Exit Date]] = "", TODAY(), Employee_Sample_Data_1[[#This Row],[Exit Date]]), "Y")</f>
        <v>0</v>
      </c>
    </row>
    <row r="327" spans="1:20" x14ac:dyDescent="0.25">
      <c r="A327" t="s">
        <v>729</v>
      </c>
      <c r="B327" t="s">
        <v>730</v>
      </c>
      <c r="C327" t="s">
        <v>377</v>
      </c>
      <c r="D327" t="s">
        <v>32</v>
      </c>
      <c r="E327" t="s">
        <v>18</v>
      </c>
      <c r="F327" t="s">
        <v>39</v>
      </c>
      <c r="G327" t="s">
        <v>40</v>
      </c>
      <c r="H327">
        <v>25</v>
      </c>
      <c r="I327" s="1">
        <v>44579</v>
      </c>
      <c r="J327" s="1" t="str">
        <f>TEXT(Employee_Sample_Data_1[[#This Row],[Hire Date]], "dddd")</f>
        <v>Tuesday</v>
      </c>
      <c r="K327" s="1" t="str">
        <f>TEXT(Employee_Sample_Data_1[[#This Row],[Hire Date]], "mmmm")</f>
        <v>January</v>
      </c>
      <c r="L327" s="1" t="str">
        <f>TEXT(Employee_Sample_Data_1[[#This Row],[Hire Date]], "yyyy")</f>
        <v>2022</v>
      </c>
      <c r="M327" s="2">
        <v>90109</v>
      </c>
      <c r="N327" s="3">
        <v>0</v>
      </c>
      <c r="O327" s="9">
        <f>PRODUCT(Employee_Sample_Data_1[[#This Row],[Annual Salary]],Employee_Sample_Data_1[[#This Row],[Bonus %]])</f>
        <v>0</v>
      </c>
      <c r="P327" s="2">
        <f>ROUND(Employee_Sample_Data_1[[#This Row],[Annual Salary]]*(1+Employee_Sample_Data_1[[#This Row],[Bonus %]]), 0)</f>
        <v>90109</v>
      </c>
      <c r="Q327" t="s">
        <v>21</v>
      </c>
      <c r="R327" t="s">
        <v>41</v>
      </c>
      <c r="T327">
        <f ca="1">DATEDIF(Employee_Sample_Data_1[[#This Row],[Hire Date]], IF(Employee_Sample_Data_1[[#This Row],[Exit Date]] = "", TODAY(), Employee_Sample_Data_1[[#This Row],[Exit Date]]), "Y")</f>
        <v>4</v>
      </c>
    </row>
    <row r="328" spans="1:20" x14ac:dyDescent="0.25">
      <c r="A328" t="s">
        <v>731</v>
      </c>
      <c r="B328" t="s">
        <v>732</v>
      </c>
      <c r="C328" t="s">
        <v>289</v>
      </c>
      <c r="D328" t="s">
        <v>17</v>
      </c>
      <c r="E328" t="s">
        <v>27</v>
      </c>
      <c r="F328" t="s">
        <v>19</v>
      </c>
      <c r="G328" t="s">
        <v>63</v>
      </c>
      <c r="H328">
        <v>39</v>
      </c>
      <c r="I328" s="1">
        <v>44739</v>
      </c>
      <c r="J328" s="1" t="str">
        <f>TEXT(Employee_Sample_Data_1[[#This Row],[Hire Date]], "dddd")</f>
        <v>Monday</v>
      </c>
      <c r="K328" s="1" t="str">
        <f>TEXT(Employee_Sample_Data_1[[#This Row],[Hire Date]], "mmmm")</f>
        <v>June</v>
      </c>
      <c r="L328" s="1" t="str">
        <f>TEXT(Employee_Sample_Data_1[[#This Row],[Hire Date]], "yyyy")</f>
        <v>2022</v>
      </c>
      <c r="M328" s="2">
        <v>67216</v>
      </c>
      <c r="N328" s="3">
        <v>0</v>
      </c>
      <c r="O328" s="9">
        <f>PRODUCT(Employee_Sample_Data_1[[#This Row],[Annual Salary]],Employee_Sample_Data_1[[#This Row],[Bonus %]])</f>
        <v>0</v>
      </c>
      <c r="P328" s="2">
        <f>ROUND(Employee_Sample_Data_1[[#This Row],[Annual Salary]]*(1+Employee_Sample_Data_1[[#This Row],[Bonus %]]), 0)</f>
        <v>67216</v>
      </c>
      <c r="Q328" t="s">
        <v>21</v>
      </c>
      <c r="R328" t="s">
        <v>48</v>
      </c>
      <c r="T328">
        <f ca="1">DATEDIF(Employee_Sample_Data_1[[#This Row],[Hire Date]], IF(Employee_Sample_Data_1[[#This Row],[Exit Date]] = "", TODAY(), Employee_Sample_Data_1[[#This Row],[Exit Date]]), "Y")</f>
        <v>3</v>
      </c>
    </row>
    <row r="329" spans="1:20" x14ac:dyDescent="0.25">
      <c r="A329" t="s">
        <v>733</v>
      </c>
      <c r="B329" t="s">
        <v>734</v>
      </c>
      <c r="C329" t="s">
        <v>352</v>
      </c>
      <c r="D329" t="s">
        <v>32</v>
      </c>
      <c r="E329" t="s">
        <v>33</v>
      </c>
      <c r="F329" t="s">
        <v>39</v>
      </c>
      <c r="G329" t="s">
        <v>63</v>
      </c>
      <c r="H329">
        <v>52</v>
      </c>
      <c r="I329" s="1">
        <v>35953</v>
      </c>
      <c r="J329" s="1" t="str">
        <f>TEXT(Employee_Sample_Data_1[[#This Row],[Hire Date]], "dddd")</f>
        <v>Sunday</v>
      </c>
      <c r="K329" s="1" t="str">
        <f>TEXT(Employee_Sample_Data_1[[#This Row],[Hire Date]], "mmmm")</f>
        <v>June</v>
      </c>
      <c r="L329" s="1" t="str">
        <f>TEXT(Employee_Sample_Data_1[[#This Row],[Hire Date]], "yyyy")</f>
        <v>1998</v>
      </c>
      <c r="M329" s="2">
        <v>75402</v>
      </c>
      <c r="N329" s="3">
        <v>0</v>
      </c>
      <c r="O329" s="9">
        <f>PRODUCT(Employee_Sample_Data_1[[#This Row],[Annual Salary]],Employee_Sample_Data_1[[#This Row],[Bonus %]])</f>
        <v>0</v>
      </c>
      <c r="P329" s="2">
        <f>ROUND(Employee_Sample_Data_1[[#This Row],[Annual Salary]]*(1+Employee_Sample_Data_1[[#This Row],[Bonus %]]), 0)</f>
        <v>75402</v>
      </c>
      <c r="Q329" t="s">
        <v>21</v>
      </c>
      <c r="R329" t="s">
        <v>48</v>
      </c>
      <c r="T329">
        <f ca="1">DATEDIF(Employee_Sample_Data_1[[#This Row],[Hire Date]], IF(Employee_Sample_Data_1[[#This Row],[Exit Date]] = "", TODAY(), Employee_Sample_Data_1[[#This Row],[Exit Date]]), "Y")</f>
        <v>27</v>
      </c>
    </row>
    <row r="330" spans="1:20" x14ac:dyDescent="0.25">
      <c r="A330" t="s">
        <v>735</v>
      </c>
      <c r="B330" t="s">
        <v>736</v>
      </c>
      <c r="C330" t="s">
        <v>195</v>
      </c>
      <c r="D330" t="s">
        <v>17</v>
      </c>
      <c r="E330" t="s">
        <v>18</v>
      </c>
      <c r="F330" t="s">
        <v>39</v>
      </c>
      <c r="G330" t="s">
        <v>40</v>
      </c>
      <c r="H330">
        <v>38</v>
      </c>
      <c r="I330" s="1">
        <v>44725</v>
      </c>
      <c r="J330" s="1" t="str">
        <f>TEXT(Employee_Sample_Data_1[[#This Row],[Hire Date]], "dddd")</f>
        <v>Monday</v>
      </c>
      <c r="K330" s="1" t="str">
        <f>TEXT(Employee_Sample_Data_1[[#This Row],[Hire Date]], "mmmm")</f>
        <v>June</v>
      </c>
      <c r="L330" s="1" t="str">
        <f>TEXT(Employee_Sample_Data_1[[#This Row],[Hire Date]], "yyyy")</f>
        <v>2022</v>
      </c>
      <c r="M330" s="2">
        <v>120795</v>
      </c>
      <c r="N330" s="3">
        <v>0</v>
      </c>
      <c r="O330" s="9">
        <f>PRODUCT(Employee_Sample_Data_1[[#This Row],[Annual Salary]],Employee_Sample_Data_1[[#This Row],[Bonus %]])</f>
        <v>0</v>
      </c>
      <c r="P330" s="2">
        <f>ROUND(Employee_Sample_Data_1[[#This Row],[Annual Salary]]*(1+Employee_Sample_Data_1[[#This Row],[Bonus %]]), 0)</f>
        <v>120795</v>
      </c>
      <c r="Q330" t="s">
        <v>134</v>
      </c>
      <c r="R330" t="s">
        <v>180</v>
      </c>
      <c r="T330">
        <f ca="1">DATEDIF(Employee_Sample_Data_1[[#This Row],[Hire Date]], IF(Employee_Sample_Data_1[[#This Row],[Exit Date]] = "", TODAY(), Employee_Sample_Data_1[[#This Row],[Exit Date]]), "Y")</f>
        <v>3</v>
      </c>
    </row>
    <row r="331" spans="1:20" x14ac:dyDescent="0.25">
      <c r="A331" t="s">
        <v>737</v>
      </c>
      <c r="B331" t="s">
        <v>738</v>
      </c>
      <c r="C331" t="s">
        <v>70</v>
      </c>
      <c r="D331" t="s">
        <v>32</v>
      </c>
      <c r="E331" t="s">
        <v>53</v>
      </c>
      <c r="F331" t="s">
        <v>19</v>
      </c>
      <c r="G331" t="s">
        <v>40</v>
      </c>
      <c r="H331">
        <v>33</v>
      </c>
      <c r="I331" s="1">
        <v>42212</v>
      </c>
      <c r="J331" s="1" t="str">
        <f>TEXT(Employee_Sample_Data_1[[#This Row],[Hire Date]], "dddd")</f>
        <v>Monday</v>
      </c>
      <c r="K331" s="1" t="str">
        <f>TEXT(Employee_Sample_Data_1[[#This Row],[Hire Date]], "mmmm")</f>
        <v>July</v>
      </c>
      <c r="L331" s="1" t="str">
        <f>TEXT(Employee_Sample_Data_1[[#This Row],[Hire Date]], "yyyy")</f>
        <v>2015</v>
      </c>
      <c r="M331" s="2">
        <v>44012</v>
      </c>
      <c r="N331" s="3">
        <v>0</v>
      </c>
      <c r="O331" s="9">
        <f>PRODUCT(Employee_Sample_Data_1[[#This Row],[Annual Salary]],Employee_Sample_Data_1[[#This Row],[Bonus %]])</f>
        <v>0</v>
      </c>
      <c r="P331" s="2">
        <f>ROUND(Employee_Sample_Data_1[[#This Row],[Annual Salary]]*(1+Employee_Sample_Data_1[[#This Row],[Bonus %]]), 0)</f>
        <v>44012</v>
      </c>
      <c r="Q331" t="s">
        <v>134</v>
      </c>
      <c r="R331" t="s">
        <v>286</v>
      </c>
      <c r="T331">
        <f ca="1">DATEDIF(Employee_Sample_Data_1[[#This Row],[Hire Date]], IF(Employee_Sample_Data_1[[#This Row],[Exit Date]] = "", TODAY(), Employee_Sample_Data_1[[#This Row],[Exit Date]]), "Y")</f>
        <v>10</v>
      </c>
    </row>
    <row r="332" spans="1:20" x14ac:dyDescent="0.25">
      <c r="A332" t="s">
        <v>739</v>
      </c>
      <c r="B332" t="s">
        <v>740</v>
      </c>
      <c r="C332" t="s">
        <v>86</v>
      </c>
      <c r="D332" t="s">
        <v>58</v>
      </c>
      <c r="E332" t="s">
        <v>33</v>
      </c>
      <c r="F332" t="s">
        <v>39</v>
      </c>
      <c r="G332" t="s">
        <v>20</v>
      </c>
      <c r="H332">
        <v>28</v>
      </c>
      <c r="I332" s="1">
        <v>44289</v>
      </c>
      <c r="J332" s="1" t="str">
        <f>TEXT(Employee_Sample_Data_1[[#This Row],[Hire Date]], "dddd")</f>
        <v>Saturday</v>
      </c>
      <c r="K332" s="1" t="str">
        <f>TEXT(Employee_Sample_Data_1[[#This Row],[Hire Date]], "mmmm")</f>
        <v>April</v>
      </c>
      <c r="L332" s="1" t="str">
        <f>TEXT(Employee_Sample_Data_1[[#This Row],[Hire Date]], "yyyy")</f>
        <v>2021</v>
      </c>
      <c r="M332" s="2">
        <v>219180</v>
      </c>
      <c r="N332" s="3">
        <v>0.33</v>
      </c>
      <c r="O332" s="9">
        <f>PRODUCT(Employee_Sample_Data_1[[#This Row],[Annual Salary]],Employee_Sample_Data_1[[#This Row],[Bonus %]])</f>
        <v>72329.400000000009</v>
      </c>
      <c r="P332" s="2">
        <f>ROUND(Employee_Sample_Data_1[[#This Row],[Annual Salary]]*(1+Employee_Sample_Data_1[[#This Row],[Bonus %]]), 0)</f>
        <v>291509</v>
      </c>
      <c r="Q332" t="s">
        <v>34</v>
      </c>
      <c r="R332" t="s">
        <v>54</v>
      </c>
      <c r="T332">
        <f ca="1">DATEDIF(Employee_Sample_Data_1[[#This Row],[Hire Date]], IF(Employee_Sample_Data_1[[#This Row],[Exit Date]] = "", TODAY(), Employee_Sample_Data_1[[#This Row],[Exit Date]]), "Y")</f>
        <v>5</v>
      </c>
    </row>
    <row r="333" spans="1:20" x14ac:dyDescent="0.25">
      <c r="A333" t="s">
        <v>741</v>
      </c>
      <c r="B333" t="s">
        <v>742</v>
      </c>
      <c r="C333" t="s">
        <v>86</v>
      </c>
      <c r="D333" t="s">
        <v>17</v>
      </c>
      <c r="E333" t="s">
        <v>33</v>
      </c>
      <c r="F333" t="s">
        <v>19</v>
      </c>
      <c r="G333" t="s">
        <v>20</v>
      </c>
      <c r="H333">
        <v>61</v>
      </c>
      <c r="I333" s="1">
        <v>38652</v>
      </c>
      <c r="J333" s="1" t="str">
        <f>TEXT(Employee_Sample_Data_1[[#This Row],[Hire Date]], "dddd")</f>
        <v>Thursday</v>
      </c>
      <c r="K333" s="1" t="str">
        <f>TEXT(Employee_Sample_Data_1[[#This Row],[Hire Date]], "mmmm")</f>
        <v>October</v>
      </c>
      <c r="L333" s="1" t="str">
        <f>TEXT(Employee_Sample_Data_1[[#This Row],[Hire Date]], "yyyy")</f>
        <v>2005</v>
      </c>
      <c r="M333" s="2">
        <v>258700</v>
      </c>
      <c r="N333" s="3">
        <v>0.32</v>
      </c>
      <c r="O333" s="9">
        <f>PRODUCT(Employee_Sample_Data_1[[#This Row],[Annual Salary]],Employee_Sample_Data_1[[#This Row],[Bonus %]])</f>
        <v>82784</v>
      </c>
      <c r="P333" s="2">
        <f>ROUND(Employee_Sample_Data_1[[#This Row],[Annual Salary]]*(1+Employee_Sample_Data_1[[#This Row],[Bonus %]]), 0)</f>
        <v>341484</v>
      </c>
      <c r="Q333" t="s">
        <v>21</v>
      </c>
      <c r="R333" t="s">
        <v>45</v>
      </c>
      <c r="T333">
        <f ca="1">DATEDIF(Employee_Sample_Data_1[[#This Row],[Hire Date]], IF(Employee_Sample_Data_1[[#This Row],[Exit Date]] = "", TODAY(), Employee_Sample_Data_1[[#This Row],[Exit Date]]), "Y")</f>
        <v>20</v>
      </c>
    </row>
    <row r="334" spans="1:20" x14ac:dyDescent="0.25">
      <c r="A334" t="s">
        <v>743</v>
      </c>
      <c r="B334" t="s">
        <v>744</v>
      </c>
      <c r="C334" t="s">
        <v>131</v>
      </c>
      <c r="D334" t="s">
        <v>17</v>
      </c>
      <c r="E334" t="s">
        <v>53</v>
      </c>
      <c r="F334" t="s">
        <v>19</v>
      </c>
      <c r="G334" t="s">
        <v>20</v>
      </c>
      <c r="H334">
        <v>32</v>
      </c>
      <c r="I334" s="1">
        <v>43107</v>
      </c>
      <c r="J334" s="1" t="str">
        <f>TEXT(Employee_Sample_Data_1[[#This Row],[Hire Date]], "dddd")</f>
        <v>Sunday</v>
      </c>
      <c r="K334" s="1" t="str">
        <f>TEXT(Employee_Sample_Data_1[[#This Row],[Hire Date]], "mmmm")</f>
        <v>January</v>
      </c>
      <c r="L334" s="1" t="str">
        <f>TEXT(Employee_Sample_Data_1[[#This Row],[Hire Date]], "yyyy")</f>
        <v>2018</v>
      </c>
      <c r="M334" s="2">
        <v>97496</v>
      </c>
      <c r="N334" s="3">
        <v>0</v>
      </c>
      <c r="O334" s="9">
        <f>PRODUCT(Employee_Sample_Data_1[[#This Row],[Annual Salary]],Employee_Sample_Data_1[[#This Row],[Bonus %]])</f>
        <v>0</v>
      </c>
      <c r="P334" s="2">
        <f>ROUND(Employee_Sample_Data_1[[#This Row],[Annual Salary]]*(1+Employee_Sample_Data_1[[#This Row],[Bonus %]]), 0)</f>
        <v>97496</v>
      </c>
      <c r="Q334" t="s">
        <v>21</v>
      </c>
      <c r="R334" t="s">
        <v>67</v>
      </c>
      <c r="T334">
        <f ca="1">DATEDIF(Employee_Sample_Data_1[[#This Row],[Hire Date]], IF(Employee_Sample_Data_1[[#This Row],[Exit Date]] = "", TODAY(), Employee_Sample_Data_1[[#This Row],[Exit Date]]), "Y")</f>
        <v>8</v>
      </c>
    </row>
    <row r="335" spans="1:20" x14ac:dyDescent="0.25">
      <c r="A335" t="s">
        <v>745</v>
      </c>
      <c r="B335" t="s">
        <v>746</v>
      </c>
      <c r="C335" t="s">
        <v>86</v>
      </c>
      <c r="D335" t="s">
        <v>123</v>
      </c>
      <c r="E335" t="s">
        <v>33</v>
      </c>
      <c r="F335" t="s">
        <v>19</v>
      </c>
      <c r="G335" t="s">
        <v>40</v>
      </c>
      <c r="H335">
        <v>28</v>
      </c>
      <c r="I335" s="1">
        <v>44044</v>
      </c>
      <c r="J335" s="1" t="str">
        <f>TEXT(Employee_Sample_Data_1[[#This Row],[Hire Date]], "dddd")</f>
        <v>Saturday</v>
      </c>
      <c r="K335" s="1" t="str">
        <f>TEXT(Employee_Sample_Data_1[[#This Row],[Hire Date]], "mmmm")</f>
        <v>August</v>
      </c>
      <c r="L335" s="1" t="str">
        <f>TEXT(Employee_Sample_Data_1[[#This Row],[Hire Date]], "yyyy")</f>
        <v>2020</v>
      </c>
      <c r="M335" s="2">
        <v>239270</v>
      </c>
      <c r="N335" s="3">
        <v>0.38</v>
      </c>
      <c r="O335" s="9">
        <f>PRODUCT(Employee_Sample_Data_1[[#This Row],[Annual Salary]],Employee_Sample_Data_1[[#This Row],[Bonus %]])</f>
        <v>90922.6</v>
      </c>
      <c r="P335" s="2">
        <f>ROUND(Employee_Sample_Data_1[[#This Row],[Annual Salary]]*(1+Employee_Sample_Data_1[[#This Row],[Bonus %]]), 0)</f>
        <v>330193</v>
      </c>
      <c r="Q335" t="s">
        <v>134</v>
      </c>
      <c r="R335" t="s">
        <v>286</v>
      </c>
      <c r="T335">
        <f ca="1">DATEDIF(Employee_Sample_Data_1[[#This Row],[Hire Date]], IF(Employee_Sample_Data_1[[#This Row],[Exit Date]] = "", TODAY(), Employee_Sample_Data_1[[#This Row],[Exit Date]]), "Y")</f>
        <v>5</v>
      </c>
    </row>
    <row r="336" spans="1:20" x14ac:dyDescent="0.25">
      <c r="A336" t="s">
        <v>747</v>
      </c>
      <c r="B336" t="s">
        <v>748</v>
      </c>
      <c r="C336" t="s">
        <v>66</v>
      </c>
      <c r="D336" t="s">
        <v>32</v>
      </c>
      <c r="E336" t="s">
        <v>53</v>
      </c>
      <c r="F336" t="s">
        <v>19</v>
      </c>
      <c r="G336" t="s">
        <v>63</v>
      </c>
      <c r="H336">
        <v>39</v>
      </c>
      <c r="I336" s="1">
        <v>40970</v>
      </c>
      <c r="J336" s="1" t="str">
        <f>TEXT(Employee_Sample_Data_1[[#This Row],[Hire Date]], "dddd")</f>
        <v>Friday</v>
      </c>
      <c r="K336" s="1" t="str">
        <f>TEXT(Employee_Sample_Data_1[[#This Row],[Hire Date]], "mmmm")</f>
        <v>March</v>
      </c>
      <c r="L336" s="1" t="str">
        <f>TEXT(Employee_Sample_Data_1[[#This Row],[Hire Date]], "yyyy")</f>
        <v>2012</v>
      </c>
      <c r="M336" s="2">
        <v>103466</v>
      </c>
      <c r="N336" s="3">
        <v>0.05</v>
      </c>
      <c r="O336" s="9">
        <f>PRODUCT(Employee_Sample_Data_1[[#This Row],[Annual Salary]],Employee_Sample_Data_1[[#This Row],[Bonus %]])</f>
        <v>5173.3</v>
      </c>
      <c r="P336" s="2">
        <f>ROUND(Employee_Sample_Data_1[[#This Row],[Annual Salary]]*(1+Employee_Sample_Data_1[[#This Row],[Bonus %]]), 0)</f>
        <v>108639</v>
      </c>
      <c r="Q336" t="s">
        <v>21</v>
      </c>
      <c r="R336" t="s">
        <v>28</v>
      </c>
      <c r="T336">
        <f ca="1">DATEDIF(Employee_Sample_Data_1[[#This Row],[Hire Date]], IF(Employee_Sample_Data_1[[#This Row],[Exit Date]] = "", TODAY(), Employee_Sample_Data_1[[#This Row],[Exit Date]]), "Y")</f>
        <v>14</v>
      </c>
    </row>
    <row r="337" spans="1:20" x14ac:dyDescent="0.25">
      <c r="A337" t="s">
        <v>749</v>
      </c>
      <c r="B337" t="s">
        <v>750</v>
      </c>
      <c r="C337" t="s">
        <v>51</v>
      </c>
      <c r="D337" t="s">
        <v>52</v>
      </c>
      <c r="E337" t="s">
        <v>27</v>
      </c>
      <c r="F337" t="s">
        <v>19</v>
      </c>
      <c r="G337" t="s">
        <v>40</v>
      </c>
      <c r="H337">
        <v>57</v>
      </c>
      <c r="I337" s="1">
        <v>37069</v>
      </c>
      <c r="J337" s="1" t="str">
        <f>TEXT(Employee_Sample_Data_1[[#This Row],[Hire Date]], "dddd")</f>
        <v>Wednesday</v>
      </c>
      <c r="K337" s="1" t="str">
        <f>TEXT(Employee_Sample_Data_1[[#This Row],[Hire Date]], "mmmm")</f>
        <v>June</v>
      </c>
      <c r="L337" s="1" t="str">
        <f>TEXT(Employee_Sample_Data_1[[#This Row],[Hire Date]], "yyyy")</f>
        <v>2001</v>
      </c>
      <c r="M337" s="2">
        <v>74662</v>
      </c>
      <c r="N337" s="3">
        <v>0</v>
      </c>
      <c r="O337" s="9">
        <f>PRODUCT(Employee_Sample_Data_1[[#This Row],[Annual Salary]],Employee_Sample_Data_1[[#This Row],[Bonus %]])</f>
        <v>0</v>
      </c>
      <c r="P337" s="2">
        <f>ROUND(Employee_Sample_Data_1[[#This Row],[Annual Salary]]*(1+Employee_Sample_Data_1[[#This Row],[Bonus %]]), 0)</f>
        <v>74662</v>
      </c>
      <c r="Q337" t="s">
        <v>134</v>
      </c>
      <c r="R337" t="s">
        <v>180</v>
      </c>
      <c r="T337">
        <f ca="1">DATEDIF(Employee_Sample_Data_1[[#This Row],[Hire Date]], IF(Employee_Sample_Data_1[[#This Row],[Exit Date]] = "", TODAY(), Employee_Sample_Data_1[[#This Row],[Exit Date]]), "Y")</f>
        <v>24</v>
      </c>
    </row>
    <row r="338" spans="1:20" x14ac:dyDescent="0.25">
      <c r="A338" t="s">
        <v>751</v>
      </c>
      <c r="B338" t="s">
        <v>752</v>
      </c>
      <c r="C338" t="s">
        <v>86</v>
      </c>
      <c r="D338" t="s">
        <v>123</v>
      </c>
      <c r="E338" t="s">
        <v>33</v>
      </c>
      <c r="F338" t="s">
        <v>19</v>
      </c>
      <c r="G338" t="s">
        <v>20</v>
      </c>
      <c r="H338">
        <v>40</v>
      </c>
      <c r="I338" s="1">
        <v>42114</v>
      </c>
      <c r="J338" s="1" t="str">
        <f>TEXT(Employee_Sample_Data_1[[#This Row],[Hire Date]], "dddd")</f>
        <v>Monday</v>
      </c>
      <c r="K338" s="1" t="str">
        <f>TEXT(Employee_Sample_Data_1[[#This Row],[Hire Date]], "mmmm")</f>
        <v>April</v>
      </c>
      <c r="L338" s="1" t="str">
        <f>TEXT(Employee_Sample_Data_1[[#This Row],[Hire Date]], "yyyy")</f>
        <v>2015</v>
      </c>
      <c r="M338" s="2">
        <v>227816</v>
      </c>
      <c r="N338" s="3">
        <v>0.33</v>
      </c>
      <c r="O338" s="9">
        <f>PRODUCT(Employee_Sample_Data_1[[#This Row],[Annual Salary]],Employee_Sample_Data_1[[#This Row],[Bonus %]])</f>
        <v>75179.28</v>
      </c>
      <c r="P338" s="2">
        <f>ROUND(Employee_Sample_Data_1[[#This Row],[Annual Salary]]*(1+Employee_Sample_Data_1[[#This Row],[Bonus %]]), 0)</f>
        <v>302995</v>
      </c>
      <c r="Q338" t="s">
        <v>21</v>
      </c>
      <c r="R338" t="s">
        <v>28</v>
      </c>
      <c r="T338">
        <f ca="1">DATEDIF(Employee_Sample_Data_1[[#This Row],[Hire Date]], IF(Employee_Sample_Data_1[[#This Row],[Exit Date]] = "", TODAY(), Employee_Sample_Data_1[[#This Row],[Exit Date]]), "Y")</f>
        <v>11</v>
      </c>
    </row>
    <row r="339" spans="1:20" x14ac:dyDescent="0.25">
      <c r="A339" t="s">
        <v>753</v>
      </c>
      <c r="B339" t="s">
        <v>754</v>
      </c>
      <c r="C339" t="s">
        <v>86</v>
      </c>
      <c r="D339" t="s">
        <v>26</v>
      </c>
      <c r="E339" t="s">
        <v>18</v>
      </c>
      <c r="F339" t="s">
        <v>19</v>
      </c>
      <c r="G339" t="s">
        <v>20</v>
      </c>
      <c r="H339">
        <v>47</v>
      </c>
      <c r="I339" s="1">
        <v>41616</v>
      </c>
      <c r="J339" s="1" t="str">
        <f>TEXT(Employee_Sample_Data_1[[#This Row],[Hire Date]], "dddd")</f>
        <v>Sunday</v>
      </c>
      <c r="K339" s="1" t="str">
        <f>TEXT(Employee_Sample_Data_1[[#This Row],[Hire Date]], "mmmm")</f>
        <v>December</v>
      </c>
      <c r="L339" s="1" t="str">
        <f>TEXT(Employee_Sample_Data_1[[#This Row],[Hire Date]], "yyyy")</f>
        <v>2013</v>
      </c>
      <c r="M339" s="2">
        <v>246680</v>
      </c>
      <c r="N339" s="3">
        <v>0.39</v>
      </c>
      <c r="O339" s="9">
        <f>PRODUCT(Employee_Sample_Data_1[[#This Row],[Annual Salary]],Employee_Sample_Data_1[[#This Row],[Bonus %]])</f>
        <v>96205.2</v>
      </c>
      <c r="P339" s="2">
        <f>ROUND(Employee_Sample_Data_1[[#This Row],[Annual Salary]]*(1+Employee_Sample_Data_1[[#This Row],[Bonus %]]), 0)</f>
        <v>342885</v>
      </c>
      <c r="Q339" t="s">
        <v>34</v>
      </c>
      <c r="R339" t="s">
        <v>108</v>
      </c>
      <c r="T339">
        <f ca="1">DATEDIF(Employee_Sample_Data_1[[#This Row],[Hire Date]], IF(Employee_Sample_Data_1[[#This Row],[Exit Date]] = "", TODAY(), Employee_Sample_Data_1[[#This Row],[Exit Date]]), "Y")</f>
        <v>12</v>
      </c>
    </row>
    <row r="340" spans="1:20" x14ac:dyDescent="0.25">
      <c r="A340" t="s">
        <v>755</v>
      </c>
      <c r="B340" t="s">
        <v>756</v>
      </c>
      <c r="C340" t="s">
        <v>170</v>
      </c>
      <c r="D340" t="s">
        <v>32</v>
      </c>
      <c r="E340" t="s">
        <v>18</v>
      </c>
      <c r="F340" t="s">
        <v>39</v>
      </c>
      <c r="G340" t="s">
        <v>40</v>
      </c>
      <c r="H340">
        <v>43</v>
      </c>
      <c r="I340" s="1">
        <v>40355</v>
      </c>
      <c r="J340" s="1" t="str">
        <f>TEXT(Employee_Sample_Data_1[[#This Row],[Hire Date]], "dddd")</f>
        <v>Saturday</v>
      </c>
      <c r="K340" s="1" t="str">
        <f>TEXT(Employee_Sample_Data_1[[#This Row],[Hire Date]], "mmmm")</f>
        <v>June</v>
      </c>
      <c r="L340" s="1" t="str">
        <f>TEXT(Employee_Sample_Data_1[[#This Row],[Hire Date]], "yyyy")</f>
        <v>2010</v>
      </c>
      <c r="M340" s="2">
        <v>85164</v>
      </c>
      <c r="N340" s="3">
        <v>0</v>
      </c>
      <c r="O340" s="9">
        <f>PRODUCT(Employee_Sample_Data_1[[#This Row],[Annual Salary]],Employee_Sample_Data_1[[#This Row],[Bonus %]])</f>
        <v>0</v>
      </c>
      <c r="P340" s="2">
        <f>ROUND(Employee_Sample_Data_1[[#This Row],[Annual Salary]]*(1+Employee_Sample_Data_1[[#This Row],[Bonus %]]), 0)</f>
        <v>85164</v>
      </c>
      <c r="Q340" t="s">
        <v>134</v>
      </c>
      <c r="R340" t="s">
        <v>180</v>
      </c>
      <c r="T340">
        <f ca="1">DATEDIF(Employee_Sample_Data_1[[#This Row],[Hire Date]], IF(Employee_Sample_Data_1[[#This Row],[Exit Date]] = "", TODAY(), Employee_Sample_Data_1[[#This Row],[Exit Date]]), "Y")</f>
        <v>15</v>
      </c>
    </row>
    <row r="341" spans="1:20" x14ac:dyDescent="0.25">
      <c r="A341" t="s">
        <v>757</v>
      </c>
      <c r="B341" t="s">
        <v>758</v>
      </c>
      <c r="C341" t="s">
        <v>80</v>
      </c>
      <c r="D341" t="s">
        <v>58</v>
      </c>
      <c r="E341" t="s">
        <v>18</v>
      </c>
      <c r="F341" t="s">
        <v>39</v>
      </c>
      <c r="G341" t="s">
        <v>81</v>
      </c>
      <c r="H341">
        <v>33</v>
      </c>
      <c r="I341" s="1">
        <v>41869</v>
      </c>
      <c r="J341" s="1" t="str">
        <f>TEXT(Employee_Sample_Data_1[[#This Row],[Hire Date]], "dddd")</f>
        <v>Monday</v>
      </c>
      <c r="K341" s="1" t="str">
        <f>TEXT(Employee_Sample_Data_1[[#This Row],[Hire Date]], "mmmm")</f>
        <v>August</v>
      </c>
      <c r="L341" s="1" t="str">
        <f>TEXT(Employee_Sample_Data_1[[#This Row],[Hire Date]], "yyyy")</f>
        <v>2014</v>
      </c>
      <c r="M341" s="2">
        <v>135215</v>
      </c>
      <c r="N341" s="3">
        <v>0.12</v>
      </c>
      <c r="O341" s="9">
        <f>PRODUCT(Employee_Sample_Data_1[[#This Row],[Annual Salary]],Employee_Sample_Data_1[[#This Row],[Bonus %]])</f>
        <v>16225.8</v>
      </c>
      <c r="P341" s="2">
        <f>ROUND(Employee_Sample_Data_1[[#This Row],[Annual Salary]]*(1+Employee_Sample_Data_1[[#This Row],[Bonus %]]), 0)</f>
        <v>151441</v>
      </c>
      <c r="Q341" t="s">
        <v>21</v>
      </c>
      <c r="R341" t="s">
        <v>67</v>
      </c>
      <c r="T341">
        <f ca="1">DATEDIF(Employee_Sample_Data_1[[#This Row],[Hire Date]], IF(Employee_Sample_Data_1[[#This Row],[Exit Date]] = "", TODAY(), Employee_Sample_Data_1[[#This Row],[Exit Date]]), "Y")</f>
        <v>11</v>
      </c>
    </row>
    <row r="342" spans="1:20" x14ac:dyDescent="0.25">
      <c r="A342" t="s">
        <v>759</v>
      </c>
      <c r="B342" t="s">
        <v>760</v>
      </c>
      <c r="C342" t="s">
        <v>244</v>
      </c>
      <c r="D342" t="s">
        <v>123</v>
      </c>
      <c r="E342" t="s">
        <v>27</v>
      </c>
      <c r="F342" t="s">
        <v>19</v>
      </c>
      <c r="G342" t="s">
        <v>40</v>
      </c>
      <c r="H342">
        <v>31</v>
      </c>
      <c r="I342" s="1">
        <v>43479</v>
      </c>
      <c r="J342" s="1" t="str">
        <f>TEXT(Employee_Sample_Data_1[[#This Row],[Hire Date]], "dddd")</f>
        <v>Monday</v>
      </c>
      <c r="K342" s="1" t="str">
        <f>TEXT(Employee_Sample_Data_1[[#This Row],[Hire Date]], "mmmm")</f>
        <v>January</v>
      </c>
      <c r="L342" s="1" t="str">
        <f>TEXT(Employee_Sample_Data_1[[#This Row],[Hire Date]], "yyyy")</f>
        <v>2019</v>
      </c>
      <c r="M342" s="2">
        <v>72542</v>
      </c>
      <c r="N342" s="3">
        <v>0</v>
      </c>
      <c r="O342" s="9">
        <f>PRODUCT(Employee_Sample_Data_1[[#This Row],[Annual Salary]],Employee_Sample_Data_1[[#This Row],[Bonus %]])</f>
        <v>0</v>
      </c>
      <c r="P342" s="2">
        <f>ROUND(Employee_Sample_Data_1[[#This Row],[Annual Salary]]*(1+Employee_Sample_Data_1[[#This Row],[Bonus %]]), 0)</f>
        <v>72542</v>
      </c>
      <c r="Q342" t="s">
        <v>21</v>
      </c>
      <c r="R342" t="s">
        <v>28</v>
      </c>
      <c r="T342">
        <f ca="1">DATEDIF(Employee_Sample_Data_1[[#This Row],[Hire Date]], IF(Employee_Sample_Data_1[[#This Row],[Exit Date]] = "", TODAY(), Employee_Sample_Data_1[[#This Row],[Exit Date]]), "Y")</f>
        <v>7</v>
      </c>
    </row>
    <row r="343" spans="1:20" x14ac:dyDescent="0.25">
      <c r="A343" t="s">
        <v>761</v>
      </c>
      <c r="B343" t="s">
        <v>762</v>
      </c>
      <c r="C343" t="s">
        <v>86</v>
      </c>
      <c r="D343" t="s">
        <v>32</v>
      </c>
      <c r="E343" t="s">
        <v>33</v>
      </c>
      <c r="F343" t="s">
        <v>39</v>
      </c>
      <c r="G343" t="s">
        <v>63</v>
      </c>
      <c r="H343">
        <v>47</v>
      </c>
      <c r="I343" s="1">
        <v>43138</v>
      </c>
      <c r="J343" s="1" t="str">
        <f>TEXT(Employee_Sample_Data_1[[#This Row],[Hire Date]], "dddd")</f>
        <v>Wednesday</v>
      </c>
      <c r="K343" s="1" t="str">
        <f>TEXT(Employee_Sample_Data_1[[#This Row],[Hire Date]], "mmmm")</f>
        <v>February</v>
      </c>
      <c r="L343" s="1" t="str">
        <f>TEXT(Employee_Sample_Data_1[[#This Row],[Hire Date]], "yyyy")</f>
        <v>2018</v>
      </c>
      <c r="M343" s="2">
        <v>246303</v>
      </c>
      <c r="N343" s="3">
        <v>0.34</v>
      </c>
      <c r="O343" s="9">
        <f>PRODUCT(Employee_Sample_Data_1[[#This Row],[Annual Salary]],Employee_Sample_Data_1[[#This Row],[Bonus %]])</f>
        <v>83743.02</v>
      </c>
      <c r="P343" s="2">
        <f>ROUND(Employee_Sample_Data_1[[#This Row],[Annual Salary]]*(1+Employee_Sample_Data_1[[#This Row],[Bonus %]]), 0)</f>
        <v>330046</v>
      </c>
      <c r="Q343" t="s">
        <v>21</v>
      </c>
      <c r="R343" t="s">
        <v>22</v>
      </c>
      <c r="T343">
        <f ca="1">DATEDIF(Employee_Sample_Data_1[[#This Row],[Hire Date]], IF(Employee_Sample_Data_1[[#This Row],[Exit Date]] = "", TODAY(), Employee_Sample_Data_1[[#This Row],[Exit Date]]), "Y")</f>
        <v>8</v>
      </c>
    </row>
    <row r="344" spans="1:20" x14ac:dyDescent="0.25">
      <c r="A344" t="s">
        <v>763</v>
      </c>
      <c r="B344" t="s">
        <v>764</v>
      </c>
      <c r="C344" t="s">
        <v>86</v>
      </c>
      <c r="D344" t="s">
        <v>17</v>
      </c>
      <c r="E344" t="s">
        <v>27</v>
      </c>
      <c r="F344" t="s">
        <v>39</v>
      </c>
      <c r="G344" t="s">
        <v>63</v>
      </c>
      <c r="H344">
        <v>60</v>
      </c>
      <c r="I344" s="1">
        <v>44327</v>
      </c>
      <c r="J344" s="1" t="str">
        <f>TEXT(Employee_Sample_Data_1[[#This Row],[Hire Date]], "dddd")</f>
        <v>Tuesday</v>
      </c>
      <c r="K344" s="1" t="str">
        <f>TEXT(Employee_Sample_Data_1[[#This Row],[Hire Date]], "mmmm")</f>
        <v>May</v>
      </c>
      <c r="L344" s="1" t="str">
        <f>TEXT(Employee_Sample_Data_1[[#This Row],[Hire Date]], "yyyy")</f>
        <v>2021</v>
      </c>
      <c r="M344" s="2">
        <v>186400</v>
      </c>
      <c r="N344" s="3">
        <v>0.4</v>
      </c>
      <c r="O344" s="9">
        <f>PRODUCT(Employee_Sample_Data_1[[#This Row],[Annual Salary]],Employee_Sample_Data_1[[#This Row],[Bonus %]])</f>
        <v>74560</v>
      </c>
      <c r="P344" s="2">
        <f>ROUND(Employee_Sample_Data_1[[#This Row],[Annual Salary]]*(1+Employee_Sample_Data_1[[#This Row],[Bonus %]]), 0)</f>
        <v>260960</v>
      </c>
      <c r="Q344" t="s">
        <v>21</v>
      </c>
      <c r="R344" t="s">
        <v>28</v>
      </c>
      <c r="T344">
        <f ca="1">DATEDIF(Employee_Sample_Data_1[[#This Row],[Hire Date]], IF(Employee_Sample_Data_1[[#This Row],[Exit Date]] = "", TODAY(), Employee_Sample_Data_1[[#This Row],[Exit Date]]), "Y")</f>
        <v>5</v>
      </c>
    </row>
    <row r="345" spans="1:20" x14ac:dyDescent="0.25">
      <c r="A345" t="s">
        <v>765</v>
      </c>
      <c r="B345" t="s">
        <v>766</v>
      </c>
      <c r="C345" t="s">
        <v>224</v>
      </c>
      <c r="D345" t="s">
        <v>32</v>
      </c>
      <c r="E345" t="s">
        <v>27</v>
      </c>
      <c r="F345" t="s">
        <v>39</v>
      </c>
      <c r="G345" t="s">
        <v>20</v>
      </c>
      <c r="H345">
        <v>50</v>
      </c>
      <c r="I345" s="1">
        <v>44901</v>
      </c>
      <c r="J345" s="1" t="str">
        <f>TEXT(Employee_Sample_Data_1[[#This Row],[Hire Date]], "dddd")</f>
        <v>Tuesday</v>
      </c>
      <c r="K345" s="1" t="str">
        <f>TEXT(Employee_Sample_Data_1[[#This Row],[Hire Date]], "mmmm")</f>
        <v>December</v>
      </c>
      <c r="L345" s="1" t="str">
        <f>TEXT(Employee_Sample_Data_1[[#This Row],[Hire Date]], "yyyy")</f>
        <v>2022</v>
      </c>
      <c r="M345" s="2">
        <v>91004</v>
      </c>
      <c r="N345" s="3">
        <v>0</v>
      </c>
      <c r="O345" s="9">
        <f>PRODUCT(Employee_Sample_Data_1[[#This Row],[Annual Salary]],Employee_Sample_Data_1[[#This Row],[Bonus %]])</f>
        <v>0</v>
      </c>
      <c r="P345" s="2">
        <f>ROUND(Employee_Sample_Data_1[[#This Row],[Annual Salary]]*(1+Employee_Sample_Data_1[[#This Row],[Bonus %]]), 0)</f>
        <v>91004</v>
      </c>
      <c r="Q345" t="s">
        <v>34</v>
      </c>
      <c r="R345" t="s">
        <v>35</v>
      </c>
      <c r="T345">
        <f ca="1">DATEDIF(Employee_Sample_Data_1[[#This Row],[Hire Date]], IF(Employee_Sample_Data_1[[#This Row],[Exit Date]] = "", TODAY(), Employee_Sample_Data_1[[#This Row],[Exit Date]]), "Y")</f>
        <v>3</v>
      </c>
    </row>
    <row r="346" spans="1:20" x14ac:dyDescent="0.25">
      <c r="A346" t="s">
        <v>767</v>
      </c>
      <c r="B346" t="s">
        <v>768</v>
      </c>
      <c r="C346" t="s">
        <v>66</v>
      </c>
      <c r="D346" t="s">
        <v>26</v>
      </c>
      <c r="E346" t="s">
        <v>33</v>
      </c>
      <c r="F346" t="s">
        <v>19</v>
      </c>
      <c r="G346" t="s">
        <v>63</v>
      </c>
      <c r="H346">
        <v>41</v>
      </c>
      <c r="I346" s="1">
        <v>42718</v>
      </c>
      <c r="J346" s="1" t="str">
        <f>TEXT(Employee_Sample_Data_1[[#This Row],[Hire Date]], "dddd")</f>
        <v>Wednesday</v>
      </c>
      <c r="K346" s="1" t="str">
        <f>TEXT(Employee_Sample_Data_1[[#This Row],[Hire Date]], "mmmm")</f>
        <v>December</v>
      </c>
      <c r="L346" s="1" t="str">
        <f>TEXT(Employee_Sample_Data_1[[#This Row],[Hire Date]], "yyyy")</f>
        <v>2016</v>
      </c>
      <c r="M346" s="2">
        <v>101411</v>
      </c>
      <c r="N346" s="3">
        <v>0.08</v>
      </c>
      <c r="O346" s="9">
        <f>PRODUCT(Employee_Sample_Data_1[[#This Row],[Annual Salary]],Employee_Sample_Data_1[[#This Row],[Bonus %]])</f>
        <v>8112.88</v>
      </c>
      <c r="P346" s="2">
        <f>ROUND(Employee_Sample_Data_1[[#This Row],[Annual Salary]]*(1+Employee_Sample_Data_1[[#This Row],[Bonus %]]), 0)</f>
        <v>109524</v>
      </c>
      <c r="Q346" t="s">
        <v>21</v>
      </c>
      <c r="R346" t="s">
        <v>41</v>
      </c>
      <c r="T346">
        <f ca="1">DATEDIF(Employee_Sample_Data_1[[#This Row],[Hire Date]], IF(Employee_Sample_Data_1[[#This Row],[Exit Date]] = "", TODAY(), Employee_Sample_Data_1[[#This Row],[Exit Date]]), "Y")</f>
        <v>9</v>
      </c>
    </row>
    <row r="347" spans="1:20" x14ac:dyDescent="0.25">
      <c r="A347" t="s">
        <v>769</v>
      </c>
      <c r="B347" t="s">
        <v>770</v>
      </c>
      <c r="C347" t="s">
        <v>16</v>
      </c>
      <c r="D347" t="s">
        <v>17</v>
      </c>
      <c r="E347" t="s">
        <v>53</v>
      </c>
      <c r="F347" t="s">
        <v>39</v>
      </c>
      <c r="G347" t="s">
        <v>40</v>
      </c>
      <c r="H347">
        <v>28</v>
      </c>
      <c r="I347" s="1">
        <v>44052</v>
      </c>
      <c r="J347" s="1" t="str">
        <f>TEXT(Employee_Sample_Data_1[[#This Row],[Hire Date]], "dddd")</f>
        <v>Sunday</v>
      </c>
      <c r="K347" s="1" t="str">
        <f>TEXT(Employee_Sample_Data_1[[#This Row],[Hire Date]], "mmmm")</f>
        <v>August</v>
      </c>
      <c r="L347" s="1" t="str">
        <f>TEXT(Employee_Sample_Data_1[[#This Row],[Hire Date]], "yyyy")</f>
        <v>2020</v>
      </c>
      <c r="M347" s="2">
        <v>111779</v>
      </c>
      <c r="N347" s="3">
        <v>0</v>
      </c>
      <c r="O347" s="9">
        <f>PRODUCT(Employee_Sample_Data_1[[#This Row],[Annual Salary]],Employee_Sample_Data_1[[#This Row],[Bonus %]])</f>
        <v>0</v>
      </c>
      <c r="P347" s="2">
        <f>ROUND(Employee_Sample_Data_1[[#This Row],[Annual Salary]]*(1+Employee_Sample_Data_1[[#This Row],[Bonus %]]), 0)</f>
        <v>111779</v>
      </c>
      <c r="Q347" t="s">
        <v>21</v>
      </c>
      <c r="R347" t="s">
        <v>28</v>
      </c>
      <c r="T347">
        <f ca="1">DATEDIF(Employee_Sample_Data_1[[#This Row],[Hire Date]], IF(Employee_Sample_Data_1[[#This Row],[Exit Date]] = "", TODAY(), Employee_Sample_Data_1[[#This Row],[Exit Date]]), "Y")</f>
        <v>5</v>
      </c>
    </row>
    <row r="348" spans="1:20" x14ac:dyDescent="0.25">
      <c r="A348" t="s">
        <v>771</v>
      </c>
      <c r="B348" t="s">
        <v>772</v>
      </c>
      <c r="C348" t="s">
        <v>98</v>
      </c>
      <c r="D348" t="s">
        <v>32</v>
      </c>
      <c r="E348" t="s">
        <v>18</v>
      </c>
      <c r="F348" t="s">
        <v>39</v>
      </c>
      <c r="G348" t="s">
        <v>63</v>
      </c>
      <c r="H348">
        <v>25</v>
      </c>
      <c r="I348" s="1">
        <v>44580</v>
      </c>
      <c r="J348" s="1" t="str">
        <f>TEXT(Employee_Sample_Data_1[[#This Row],[Hire Date]], "dddd")</f>
        <v>Wednesday</v>
      </c>
      <c r="K348" s="1" t="str">
        <f>TEXT(Employee_Sample_Data_1[[#This Row],[Hire Date]], "mmmm")</f>
        <v>January</v>
      </c>
      <c r="L348" s="1" t="str">
        <f>TEXT(Employee_Sample_Data_1[[#This Row],[Hire Date]], "yyyy")</f>
        <v>2022</v>
      </c>
      <c r="M348" s="2">
        <v>86075</v>
      </c>
      <c r="N348" s="3">
        <v>0</v>
      </c>
      <c r="O348" s="9">
        <f>PRODUCT(Employee_Sample_Data_1[[#This Row],[Annual Salary]],Employee_Sample_Data_1[[#This Row],[Bonus %]])</f>
        <v>0</v>
      </c>
      <c r="P348" s="2">
        <f>ROUND(Employee_Sample_Data_1[[#This Row],[Annual Salary]]*(1+Employee_Sample_Data_1[[#This Row],[Bonus %]]), 0)</f>
        <v>86075</v>
      </c>
      <c r="Q348" t="s">
        <v>21</v>
      </c>
      <c r="R348" t="s">
        <v>67</v>
      </c>
      <c r="T348">
        <f ca="1">DATEDIF(Employee_Sample_Data_1[[#This Row],[Hire Date]], IF(Employee_Sample_Data_1[[#This Row],[Exit Date]] = "", TODAY(), Employee_Sample_Data_1[[#This Row],[Exit Date]]), "Y")</f>
        <v>4</v>
      </c>
    </row>
    <row r="349" spans="1:20" x14ac:dyDescent="0.25">
      <c r="A349" t="s">
        <v>773</v>
      </c>
      <c r="B349" t="s">
        <v>774</v>
      </c>
      <c r="C349" t="s">
        <v>25</v>
      </c>
      <c r="D349" t="s">
        <v>58</v>
      </c>
      <c r="E349" t="s">
        <v>53</v>
      </c>
      <c r="F349" t="s">
        <v>19</v>
      </c>
      <c r="G349" t="s">
        <v>40</v>
      </c>
      <c r="H349">
        <v>45</v>
      </c>
      <c r="I349" s="1">
        <v>42229</v>
      </c>
      <c r="J349" s="1" t="str">
        <f>TEXT(Employee_Sample_Data_1[[#This Row],[Hire Date]], "dddd")</f>
        <v>Thursday</v>
      </c>
      <c r="K349" s="1" t="str">
        <f>TEXT(Employee_Sample_Data_1[[#This Row],[Hire Date]], "mmmm")</f>
        <v>August</v>
      </c>
      <c r="L349" s="1" t="str">
        <f>TEXT(Employee_Sample_Data_1[[#This Row],[Hire Date]], "yyyy")</f>
        <v>2015</v>
      </c>
      <c r="M349" s="2">
        <v>52798</v>
      </c>
      <c r="N349" s="3">
        <v>0</v>
      </c>
      <c r="O349" s="9">
        <f>PRODUCT(Employee_Sample_Data_1[[#This Row],[Annual Salary]],Employee_Sample_Data_1[[#This Row],[Bonus %]])</f>
        <v>0</v>
      </c>
      <c r="P349" s="2">
        <f>ROUND(Employee_Sample_Data_1[[#This Row],[Annual Salary]]*(1+Employee_Sample_Data_1[[#This Row],[Bonus %]]), 0)</f>
        <v>52798</v>
      </c>
      <c r="Q349" t="s">
        <v>21</v>
      </c>
      <c r="R349" t="s">
        <v>67</v>
      </c>
      <c r="S349" s="1">
        <v>43130</v>
      </c>
      <c r="T349">
        <f ca="1">DATEDIF(Employee_Sample_Data_1[[#This Row],[Hire Date]], IF(Employee_Sample_Data_1[[#This Row],[Exit Date]] = "", TODAY(), Employee_Sample_Data_1[[#This Row],[Exit Date]]), "Y")</f>
        <v>2</v>
      </c>
    </row>
    <row r="350" spans="1:20" x14ac:dyDescent="0.25">
      <c r="A350" t="s">
        <v>775</v>
      </c>
      <c r="B350" t="s">
        <v>776</v>
      </c>
      <c r="C350" t="s">
        <v>377</v>
      </c>
      <c r="D350" t="s">
        <v>32</v>
      </c>
      <c r="E350" t="s">
        <v>53</v>
      </c>
      <c r="F350" t="s">
        <v>39</v>
      </c>
      <c r="G350" t="s">
        <v>20</v>
      </c>
      <c r="H350">
        <v>63</v>
      </c>
      <c r="I350" s="1">
        <v>44182</v>
      </c>
      <c r="J350" s="1" t="str">
        <f>TEXT(Employee_Sample_Data_1[[#This Row],[Hire Date]], "dddd")</f>
        <v>Thursday</v>
      </c>
      <c r="K350" s="1" t="str">
        <f>TEXT(Employee_Sample_Data_1[[#This Row],[Hire Date]], "mmmm")</f>
        <v>December</v>
      </c>
      <c r="L350" s="1" t="str">
        <f>TEXT(Employee_Sample_Data_1[[#This Row],[Hire Date]], "yyyy")</f>
        <v>2020</v>
      </c>
      <c r="M350" s="2">
        <v>96136</v>
      </c>
      <c r="N350" s="3">
        <v>0</v>
      </c>
      <c r="O350" s="9">
        <f>PRODUCT(Employee_Sample_Data_1[[#This Row],[Annual Salary]],Employee_Sample_Data_1[[#This Row],[Bonus %]])</f>
        <v>0</v>
      </c>
      <c r="P350" s="2">
        <f>ROUND(Employee_Sample_Data_1[[#This Row],[Annual Salary]]*(1+Employee_Sample_Data_1[[#This Row],[Bonus %]]), 0)</f>
        <v>96136</v>
      </c>
      <c r="Q350" t="s">
        <v>34</v>
      </c>
      <c r="R350" t="s">
        <v>35</v>
      </c>
      <c r="T350">
        <f ca="1">DATEDIF(Employee_Sample_Data_1[[#This Row],[Hire Date]], IF(Employee_Sample_Data_1[[#This Row],[Exit Date]] = "", TODAY(), Employee_Sample_Data_1[[#This Row],[Exit Date]]), "Y")</f>
        <v>5</v>
      </c>
    </row>
    <row r="351" spans="1:20" x14ac:dyDescent="0.25">
      <c r="A351" t="s">
        <v>777</v>
      </c>
      <c r="B351" t="s">
        <v>778</v>
      </c>
      <c r="C351" t="s">
        <v>51</v>
      </c>
      <c r="D351" t="s">
        <v>77</v>
      </c>
      <c r="E351" t="s">
        <v>33</v>
      </c>
      <c r="F351" t="s">
        <v>19</v>
      </c>
      <c r="G351" t="s">
        <v>40</v>
      </c>
      <c r="H351">
        <v>52</v>
      </c>
      <c r="I351" s="1">
        <v>37479</v>
      </c>
      <c r="J351" s="1" t="str">
        <f>TEXT(Employee_Sample_Data_1[[#This Row],[Hire Date]], "dddd")</f>
        <v>Sunday</v>
      </c>
      <c r="K351" s="1" t="str">
        <f>TEXT(Employee_Sample_Data_1[[#This Row],[Hire Date]], "mmmm")</f>
        <v>August</v>
      </c>
      <c r="L351" s="1" t="str">
        <f>TEXT(Employee_Sample_Data_1[[#This Row],[Hire Date]], "yyyy")</f>
        <v>2002</v>
      </c>
      <c r="M351" s="2">
        <v>95682</v>
      </c>
      <c r="N351" s="3">
        <v>0</v>
      </c>
      <c r="O351" s="9">
        <f>PRODUCT(Employee_Sample_Data_1[[#This Row],[Annual Salary]],Employee_Sample_Data_1[[#This Row],[Bonus %]])</f>
        <v>0</v>
      </c>
      <c r="P351" s="2">
        <f>ROUND(Employee_Sample_Data_1[[#This Row],[Annual Salary]]*(1+Employee_Sample_Data_1[[#This Row],[Bonus %]]), 0)</f>
        <v>95682</v>
      </c>
      <c r="Q351" t="s">
        <v>21</v>
      </c>
      <c r="R351" t="s">
        <v>41</v>
      </c>
      <c r="S351" s="1">
        <v>41046</v>
      </c>
      <c r="T351">
        <f ca="1">DATEDIF(Employee_Sample_Data_1[[#This Row],[Hire Date]], IF(Employee_Sample_Data_1[[#This Row],[Exit Date]] = "", TODAY(), Employee_Sample_Data_1[[#This Row],[Exit Date]]), "Y")</f>
        <v>9</v>
      </c>
    </row>
    <row r="352" spans="1:20" x14ac:dyDescent="0.25">
      <c r="A352" t="s">
        <v>779</v>
      </c>
      <c r="B352" t="s">
        <v>780</v>
      </c>
      <c r="C352" t="s">
        <v>57</v>
      </c>
      <c r="D352" t="s">
        <v>77</v>
      </c>
      <c r="E352" t="s">
        <v>18</v>
      </c>
      <c r="F352" t="s">
        <v>39</v>
      </c>
      <c r="G352" t="s">
        <v>20</v>
      </c>
      <c r="H352">
        <v>59</v>
      </c>
      <c r="I352" s="1">
        <v>34118</v>
      </c>
      <c r="J352" s="1" t="str">
        <f>TEXT(Employee_Sample_Data_1[[#This Row],[Hire Date]], "dddd")</f>
        <v>Saturday</v>
      </c>
      <c r="K352" s="1" t="str">
        <f>TEXT(Employee_Sample_Data_1[[#This Row],[Hire Date]], "mmmm")</f>
        <v>May</v>
      </c>
      <c r="L352" s="1" t="str">
        <f>TEXT(Employee_Sample_Data_1[[#This Row],[Hire Date]], "yyyy")</f>
        <v>1993</v>
      </c>
      <c r="M352" s="2">
        <v>55476</v>
      </c>
      <c r="N352" s="3">
        <v>0</v>
      </c>
      <c r="O352" s="9">
        <f>PRODUCT(Employee_Sample_Data_1[[#This Row],[Annual Salary]],Employee_Sample_Data_1[[#This Row],[Bonus %]])</f>
        <v>0</v>
      </c>
      <c r="P352" s="2">
        <f>ROUND(Employee_Sample_Data_1[[#This Row],[Annual Salary]]*(1+Employee_Sample_Data_1[[#This Row],[Bonus %]]), 0)</f>
        <v>55476</v>
      </c>
      <c r="Q352" t="s">
        <v>34</v>
      </c>
      <c r="R352" t="s">
        <v>54</v>
      </c>
      <c r="T352">
        <f ca="1">DATEDIF(Employee_Sample_Data_1[[#This Row],[Hire Date]], IF(Employee_Sample_Data_1[[#This Row],[Exit Date]] = "", TODAY(), Employee_Sample_Data_1[[#This Row],[Exit Date]]), "Y")</f>
        <v>33</v>
      </c>
    </row>
    <row r="353" spans="1:20" x14ac:dyDescent="0.25">
      <c r="A353" t="s">
        <v>781</v>
      </c>
      <c r="B353" t="s">
        <v>782</v>
      </c>
      <c r="C353" t="s">
        <v>86</v>
      </c>
      <c r="D353" t="s">
        <v>58</v>
      </c>
      <c r="E353" t="s">
        <v>18</v>
      </c>
      <c r="F353" t="s">
        <v>19</v>
      </c>
      <c r="G353" t="s">
        <v>63</v>
      </c>
      <c r="H353">
        <v>30</v>
      </c>
      <c r="I353" s="1">
        <v>43114</v>
      </c>
      <c r="J353" s="1" t="str">
        <f>TEXT(Employee_Sample_Data_1[[#This Row],[Hire Date]], "dddd")</f>
        <v>Sunday</v>
      </c>
      <c r="K353" s="1" t="str">
        <f>TEXT(Employee_Sample_Data_1[[#This Row],[Hire Date]], "mmmm")</f>
        <v>January</v>
      </c>
      <c r="L353" s="1" t="str">
        <f>TEXT(Employee_Sample_Data_1[[#This Row],[Hire Date]], "yyyy")</f>
        <v>2018</v>
      </c>
      <c r="M353" s="2">
        <v>197792</v>
      </c>
      <c r="N353" s="3">
        <v>0.34</v>
      </c>
      <c r="O353" s="9">
        <f>PRODUCT(Employee_Sample_Data_1[[#This Row],[Annual Salary]],Employee_Sample_Data_1[[#This Row],[Bonus %]])</f>
        <v>67249.279999999999</v>
      </c>
      <c r="P353" s="2">
        <f>ROUND(Employee_Sample_Data_1[[#This Row],[Annual Salary]]*(1+Employee_Sample_Data_1[[#This Row],[Bonus %]]), 0)</f>
        <v>265041</v>
      </c>
      <c r="Q353" t="s">
        <v>21</v>
      </c>
      <c r="R353" t="s">
        <v>45</v>
      </c>
      <c r="T353">
        <f ca="1">DATEDIF(Employee_Sample_Data_1[[#This Row],[Hire Date]], IF(Employee_Sample_Data_1[[#This Row],[Exit Date]] = "", TODAY(), Employee_Sample_Data_1[[#This Row],[Exit Date]]), "Y")</f>
        <v>8</v>
      </c>
    </row>
    <row r="354" spans="1:20" x14ac:dyDescent="0.25">
      <c r="A354" t="s">
        <v>783</v>
      </c>
      <c r="B354" t="s">
        <v>784</v>
      </c>
      <c r="C354" t="s">
        <v>289</v>
      </c>
      <c r="D354" t="s">
        <v>17</v>
      </c>
      <c r="E354" t="s">
        <v>33</v>
      </c>
      <c r="F354" t="s">
        <v>39</v>
      </c>
      <c r="G354" t="s">
        <v>63</v>
      </c>
      <c r="H354">
        <v>55</v>
      </c>
      <c r="I354" s="1">
        <v>40004</v>
      </c>
      <c r="J354" s="1" t="str">
        <f>TEXT(Employee_Sample_Data_1[[#This Row],[Hire Date]], "dddd")</f>
        <v>Friday</v>
      </c>
      <c r="K354" s="1" t="str">
        <f>TEXT(Employee_Sample_Data_1[[#This Row],[Hire Date]], "mmmm")</f>
        <v>July</v>
      </c>
      <c r="L354" s="1" t="str">
        <f>TEXT(Employee_Sample_Data_1[[#This Row],[Hire Date]], "yyyy")</f>
        <v>2009</v>
      </c>
      <c r="M354" s="2">
        <v>82271</v>
      </c>
      <c r="N354" s="3">
        <v>0</v>
      </c>
      <c r="O354" s="9">
        <f>PRODUCT(Employee_Sample_Data_1[[#This Row],[Annual Salary]],Employee_Sample_Data_1[[#This Row],[Bonus %]])</f>
        <v>0</v>
      </c>
      <c r="P354" s="2">
        <f>ROUND(Employee_Sample_Data_1[[#This Row],[Annual Salary]]*(1+Employee_Sample_Data_1[[#This Row],[Bonus %]]), 0)</f>
        <v>82271</v>
      </c>
      <c r="Q354" t="s">
        <v>21</v>
      </c>
      <c r="R354" t="s">
        <v>28</v>
      </c>
      <c r="T354">
        <f ca="1">DATEDIF(Employee_Sample_Data_1[[#This Row],[Hire Date]], IF(Employee_Sample_Data_1[[#This Row],[Exit Date]] = "", TODAY(), Employee_Sample_Data_1[[#This Row],[Exit Date]]), "Y")</f>
        <v>16</v>
      </c>
    </row>
    <row r="355" spans="1:20" x14ac:dyDescent="0.25">
      <c r="A355" t="s">
        <v>785</v>
      </c>
      <c r="B355" t="s">
        <v>786</v>
      </c>
      <c r="C355" t="s">
        <v>80</v>
      </c>
      <c r="D355" t="s">
        <v>52</v>
      </c>
      <c r="E355" t="s">
        <v>53</v>
      </c>
      <c r="F355" t="s">
        <v>19</v>
      </c>
      <c r="G355" t="s">
        <v>20</v>
      </c>
      <c r="H355">
        <v>65</v>
      </c>
      <c r="I355" s="1">
        <v>39926</v>
      </c>
      <c r="J355" s="1" t="str">
        <f>TEXT(Employee_Sample_Data_1[[#This Row],[Hire Date]], "dddd")</f>
        <v>Thursday</v>
      </c>
      <c r="K355" s="1" t="str">
        <f>TEXT(Employee_Sample_Data_1[[#This Row],[Hire Date]], "mmmm")</f>
        <v>April</v>
      </c>
      <c r="L355" s="1" t="str">
        <f>TEXT(Employee_Sample_Data_1[[#This Row],[Hire Date]], "yyyy")</f>
        <v>2009</v>
      </c>
      <c r="M355" s="2">
        <v>155716</v>
      </c>
      <c r="N355" s="3">
        <v>0.12</v>
      </c>
      <c r="O355" s="9">
        <f>PRODUCT(Employee_Sample_Data_1[[#This Row],[Annual Salary]],Employee_Sample_Data_1[[#This Row],[Bonus %]])</f>
        <v>18685.919999999998</v>
      </c>
      <c r="P355" s="2">
        <f>ROUND(Employee_Sample_Data_1[[#This Row],[Annual Salary]]*(1+Employee_Sample_Data_1[[#This Row],[Bonus %]]), 0)</f>
        <v>174402</v>
      </c>
      <c r="Q355" t="s">
        <v>21</v>
      </c>
      <c r="R355" t="s">
        <v>41</v>
      </c>
      <c r="T355">
        <f ca="1">DATEDIF(Employee_Sample_Data_1[[#This Row],[Hire Date]], IF(Employee_Sample_Data_1[[#This Row],[Exit Date]] = "", TODAY(), Employee_Sample_Data_1[[#This Row],[Exit Date]]), "Y")</f>
        <v>17</v>
      </c>
    </row>
    <row r="356" spans="1:20" x14ac:dyDescent="0.25">
      <c r="A356" t="s">
        <v>787</v>
      </c>
      <c r="B356" t="s">
        <v>788</v>
      </c>
      <c r="C356" t="s">
        <v>244</v>
      </c>
      <c r="D356" t="s">
        <v>123</v>
      </c>
      <c r="E356" t="s">
        <v>27</v>
      </c>
      <c r="F356" t="s">
        <v>39</v>
      </c>
      <c r="G356" t="s">
        <v>63</v>
      </c>
      <c r="H356">
        <v>34</v>
      </c>
      <c r="I356" s="1">
        <v>41809</v>
      </c>
      <c r="J356" s="1" t="str">
        <f>TEXT(Employee_Sample_Data_1[[#This Row],[Hire Date]], "dddd")</f>
        <v>Thursday</v>
      </c>
      <c r="K356" s="1" t="str">
        <f>TEXT(Employee_Sample_Data_1[[#This Row],[Hire Date]], "mmmm")</f>
        <v>June</v>
      </c>
      <c r="L356" s="1" t="str">
        <f>TEXT(Employee_Sample_Data_1[[#This Row],[Hire Date]], "yyyy")</f>
        <v>2014</v>
      </c>
      <c r="M356" s="2">
        <v>71699</v>
      </c>
      <c r="N356" s="3">
        <v>0</v>
      </c>
      <c r="O356" s="9">
        <f>PRODUCT(Employee_Sample_Data_1[[#This Row],[Annual Salary]],Employee_Sample_Data_1[[#This Row],[Bonus %]])</f>
        <v>0</v>
      </c>
      <c r="P356" s="2">
        <f>ROUND(Employee_Sample_Data_1[[#This Row],[Annual Salary]]*(1+Employee_Sample_Data_1[[#This Row],[Bonus %]]), 0)</f>
        <v>71699</v>
      </c>
      <c r="Q356" t="s">
        <v>21</v>
      </c>
      <c r="R356" t="s">
        <v>48</v>
      </c>
      <c r="T356">
        <f ca="1">DATEDIF(Employee_Sample_Data_1[[#This Row],[Hire Date]], IF(Employee_Sample_Data_1[[#This Row],[Exit Date]] = "", TODAY(), Employee_Sample_Data_1[[#This Row],[Exit Date]]), "Y")</f>
        <v>11</v>
      </c>
    </row>
    <row r="357" spans="1:20" x14ac:dyDescent="0.25">
      <c r="A357" t="s">
        <v>789</v>
      </c>
      <c r="B357" t="s">
        <v>790</v>
      </c>
      <c r="C357" t="s">
        <v>80</v>
      </c>
      <c r="D357" t="s">
        <v>123</v>
      </c>
      <c r="E357" t="s">
        <v>18</v>
      </c>
      <c r="F357" t="s">
        <v>39</v>
      </c>
      <c r="G357" t="s">
        <v>20</v>
      </c>
      <c r="H357">
        <v>51</v>
      </c>
      <c r="I357" s="1">
        <v>38824</v>
      </c>
      <c r="J357" s="1" t="str">
        <f>TEXT(Employee_Sample_Data_1[[#This Row],[Hire Date]], "dddd")</f>
        <v>Monday</v>
      </c>
      <c r="K357" s="1" t="str">
        <f>TEXT(Employee_Sample_Data_1[[#This Row],[Hire Date]], "mmmm")</f>
        <v>April</v>
      </c>
      <c r="L357" s="1" t="str">
        <f>TEXT(Employee_Sample_Data_1[[#This Row],[Hire Date]], "yyyy")</f>
        <v>2006</v>
      </c>
      <c r="M357" s="2">
        <v>147436</v>
      </c>
      <c r="N357" s="3">
        <v>0.11</v>
      </c>
      <c r="O357" s="9">
        <f>PRODUCT(Employee_Sample_Data_1[[#This Row],[Annual Salary]],Employee_Sample_Data_1[[#This Row],[Bonus %]])</f>
        <v>16217.960000000001</v>
      </c>
      <c r="P357" s="2">
        <f>ROUND(Employee_Sample_Data_1[[#This Row],[Annual Salary]]*(1+Employee_Sample_Data_1[[#This Row],[Bonus %]]), 0)</f>
        <v>163654</v>
      </c>
      <c r="Q357" t="s">
        <v>21</v>
      </c>
      <c r="R357" t="s">
        <v>45</v>
      </c>
      <c r="T357">
        <f ca="1">DATEDIF(Employee_Sample_Data_1[[#This Row],[Hire Date]], IF(Employee_Sample_Data_1[[#This Row],[Exit Date]] = "", TODAY(), Employee_Sample_Data_1[[#This Row],[Exit Date]]), "Y")</f>
        <v>20</v>
      </c>
    </row>
    <row r="358" spans="1:20" x14ac:dyDescent="0.25">
      <c r="A358" t="s">
        <v>791</v>
      </c>
      <c r="B358" t="s">
        <v>792</v>
      </c>
      <c r="C358" t="s">
        <v>229</v>
      </c>
      <c r="D358" t="s">
        <v>123</v>
      </c>
      <c r="E358" t="s">
        <v>18</v>
      </c>
      <c r="F358" t="s">
        <v>39</v>
      </c>
      <c r="G358" t="s">
        <v>20</v>
      </c>
      <c r="H358">
        <v>52</v>
      </c>
      <c r="I358" s="1">
        <v>43667</v>
      </c>
      <c r="J358" s="1" t="str">
        <f>TEXT(Employee_Sample_Data_1[[#This Row],[Hire Date]], "dddd")</f>
        <v>Sunday</v>
      </c>
      <c r="K358" s="1" t="str">
        <f>TEXT(Employee_Sample_Data_1[[#This Row],[Hire Date]], "mmmm")</f>
        <v>July</v>
      </c>
      <c r="L358" s="1" t="str">
        <f>TEXT(Employee_Sample_Data_1[[#This Row],[Hire Date]], "yyyy")</f>
        <v>2019</v>
      </c>
      <c r="M358" s="2">
        <v>88220</v>
      </c>
      <c r="N358" s="3">
        <v>0</v>
      </c>
      <c r="O358" s="9">
        <f>PRODUCT(Employee_Sample_Data_1[[#This Row],[Annual Salary]],Employee_Sample_Data_1[[#This Row],[Bonus %]])</f>
        <v>0</v>
      </c>
      <c r="P358" s="2">
        <f>ROUND(Employee_Sample_Data_1[[#This Row],[Annual Salary]]*(1+Employee_Sample_Data_1[[#This Row],[Bonus %]]), 0)</f>
        <v>88220</v>
      </c>
      <c r="Q358" t="s">
        <v>34</v>
      </c>
      <c r="R358" t="s">
        <v>35</v>
      </c>
      <c r="T358">
        <f ca="1">DATEDIF(Employee_Sample_Data_1[[#This Row],[Hire Date]], IF(Employee_Sample_Data_1[[#This Row],[Exit Date]] = "", TODAY(), Employee_Sample_Data_1[[#This Row],[Exit Date]]), "Y")</f>
        <v>6</v>
      </c>
    </row>
    <row r="359" spans="1:20" x14ac:dyDescent="0.25">
      <c r="A359" t="s">
        <v>793</v>
      </c>
      <c r="B359" t="s">
        <v>794</v>
      </c>
      <c r="C359" t="s">
        <v>101</v>
      </c>
      <c r="D359" t="s">
        <v>26</v>
      </c>
      <c r="E359" t="s">
        <v>53</v>
      </c>
      <c r="F359" t="s">
        <v>39</v>
      </c>
      <c r="G359" t="s">
        <v>40</v>
      </c>
      <c r="H359">
        <v>44</v>
      </c>
      <c r="I359" s="1">
        <v>43927</v>
      </c>
      <c r="J359" s="1" t="str">
        <f>TEXT(Employee_Sample_Data_1[[#This Row],[Hire Date]], "dddd")</f>
        <v>Monday</v>
      </c>
      <c r="K359" s="1" t="str">
        <f>TEXT(Employee_Sample_Data_1[[#This Row],[Hire Date]], "mmmm")</f>
        <v>April</v>
      </c>
      <c r="L359" s="1" t="str">
        <f>TEXT(Employee_Sample_Data_1[[#This Row],[Hire Date]], "yyyy")</f>
        <v>2020</v>
      </c>
      <c r="M359" s="2">
        <v>54295</v>
      </c>
      <c r="N359" s="3">
        <v>0</v>
      </c>
      <c r="O359" s="9">
        <f>PRODUCT(Employee_Sample_Data_1[[#This Row],[Annual Salary]],Employee_Sample_Data_1[[#This Row],[Bonus %]])</f>
        <v>0</v>
      </c>
      <c r="P359" s="2">
        <f>ROUND(Employee_Sample_Data_1[[#This Row],[Annual Salary]]*(1+Employee_Sample_Data_1[[#This Row],[Bonus %]]), 0)</f>
        <v>54295</v>
      </c>
      <c r="Q359" t="s">
        <v>21</v>
      </c>
      <c r="R359" t="s">
        <v>22</v>
      </c>
      <c r="T359">
        <f ca="1">DATEDIF(Employee_Sample_Data_1[[#This Row],[Hire Date]], IF(Employee_Sample_Data_1[[#This Row],[Exit Date]] = "", TODAY(), Employee_Sample_Data_1[[#This Row],[Exit Date]]), "Y")</f>
        <v>6</v>
      </c>
    </row>
    <row r="360" spans="1:20" x14ac:dyDescent="0.25">
      <c r="A360" t="s">
        <v>795</v>
      </c>
      <c r="B360" t="s">
        <v>796</v>
      </c>
      <c r="C360" t="s">
        <v>86</v>
      </c>
      <c r="D360" t="s">
        <v>123</v>
      </c>
      <c r="E360" t="s">
        <v>27</v>
      </c>
      <c r="F360" t="s">
        <v>39</v>
      </c>
      <c r="G360" t="s">
        <v>40</v>
      </c>
      <c r="H360">
        <v>44</v>
      </c>
      <c r="I360" s="1">
        <v>38150</v>
      </c>
      <c r="J360" s="1" t="str">
        <f>TEXT(Employee_Sample_Data_1[[#This Row],[Hire Date]], "dddd")</f>
        <v>Saturday</v>
      </c>
      <c r="K360" s="1" t="str">
        <f>TEXT(Employee_Sample_Data_1[[#This Row],[Hire Date]], "mmmm")</f>
        <v>June</v>
      </c>
      <c r="L360" s="1" t="str">
        <f>TEXT(Employee_Sample_Data_1[[#This Row],[Hire Date]], "yyyy")</f>
        <v>2004</v>
      </c>
      <c r="M360" s="2">
        <v>246538</v>
      </c>
      <c r="N360" s="3">
        <v>0.35</v>
      </c>
      <c r="O360" s="9">
        <f>PRODUCT(Employee_Sample_Data_1[[#This Row],[Annual Salary]],Employee_Sample_Data_1[[#This Row],[Bonus %]])</f>
        <v>86288.299999999988</v>
      </c>
      <c r="P360" s="2">
        <f>ROUND(Employee_Sample_Data_1[[#This Row],[Annual Salary]]*(1+Employee_Sample_Data_1[[#This Row],[Bonus %]]), 0)</f>
        <v>332826</v>
      </c>
      <c r="Q360" t="s">
        <v>21</v>
      </c>
      <c r="R360" t="s">
        <v>67</v>
      </c>
      <c r="T360">
        <f ca="1">DATEDIF(Employee_Sample_Data_1[[#This Row],[Hire Date]], IF(Employee_Sample_Data_1[[#This Row],[Exit Date]] = "", TODAY(), Employee_Sample_Data_1[[#This Row],[Exit Date]]), "Y")</f>
        <v>21</v>
      </c>
    </row>
    <row r="361" spans="1:20" x14ac:dyDescent="0.25">
      <c r="A361" t="s">
        <v>797</v>
      </c>
      <c r="B361" t="s">
        <v>798</v>
      </c>
      <c r="C361" t="s">
        <v>156</v>
      </c>
      <c r="D361" t="s">
        <v>32</v>
      </c>
      <c r="E361" t="s">
        <v>53</v>
      </c>
      <c r="F361" t="s">
        <v>19</v>
      </c>
      <c r="G361" t="s">
        <v>40</v>
      </c>
      <c r="H361">
        <v>40</v>
      </c>
      <c r="I361" s="1">
        <v>38822</v>
      </c>
      <c r="J361" s="1" t="str">
        <f>TEXT(Employee_Sample_Data_1[[#This Row],[Hire Date]], "dddd")</f>
        <v>Saturday</v>
      </c>
      <c r="K361" s="1" t="str">
        <f>TEXT(Employee_Sample_Data_1[[#This Row],[Hire Date]], "mmmm")</f>
        <v>April</v>
      </c>
      <c r="L361" s="1" t="str">
        <f>TEXT(Employee_Sample_Data_1[[#This Row],[Hire Date]], "yyyy")</f>
        <v>2006</v>
      </c>
      <c r="M361" s="2">
        <v>43645</v>
      </c>
      <c r="N361" s="3">
        <v>0</v>
      </c>
      <c r="O361" s="9">
        <f>PRODUCT(Employee_Sample_Data_1[[#This Row],[Annual Salary]],Employee_Sample_Data_1[[#This Row],[Bonus %]])</f>
        <v>0</v>
      </c>
      <c r="P361" s="2">
        <f>ROUND(Employee_Sample_Data_1[[#This Row],[Annual Salary]]*(1+Employee_Sample_Data_1[[#This Row],[Bonus %]]), 0)</f>
        <v>43645</v>
      </c>
      <c r="Q361" t="s">
        <v>21</v>
      </c>
      <c r="R361" t="s">
        <v>45</v>
      </c>
      <c r="S361" s="1">
        <v>39577</v>
      </c>
      <c r="T361">
        <f ca="1">DATEDIF(Employee_Sample_Data_1[[#This Row],[Hire Date]], IF(Employee_Sample_Data_1[[#This Row],[Exit Date]] = "", TODAY(), Employee_Sample_Data_1[[#This Row],[Exit Date]]), "Y")</f>
        <v>2</v>
      </c>
    </row>
    <row r="362" spans="1:20" x14ac:dyDescent="0.25">
      <c r="A362" t="s">
        <v>799</v>
      </c>
      <c r="B362" t="s">
        <v>800</v>
      </c>
      <c r="C362" t="s">
        <v>66</v>
      </c>
      <c r="D362" t="s">
        <v>123</v>
      </c>
      <c r="E362" t="s">
        <v>18</v>
      </c>
      <c r="F362" t="s">
        <v>19</v>
      </c>
      <c r="G362" t="s">
        <v>20</v>
      </c>
      <c r="H362">
        <v>25</v>
      </c>
      <c r="I362" s="1">
        <v>44662</v>
      </c>
      <c r="J362" s="1" t="str">
        <f>TEXT(Employee_Sample_Data_1[[#This Row],[Hire Date]], "dddd")</f>
        <v>Monday</v>
      </c>
      <c r="K362" s="1" t="str">
        <f>TEXT(Employee_Sample_Data_1[[#This Row],[Hire Date]], "mmmm")</f>
        <v>April</v>
      </c>
      <c r="L362" s="1" t="str">
        <f>TEXT(Employee_Sample_Data_1[[#This Row],[Hire Date]], "yyyy")</f>
        <v>2022</v>
      </c>
      <c r="M362" s="2">
        <v>125644</v>
      </c>
      <c r="N362" s="3">
        <v>7.0000000000000007E-2</v>
      </c>
      <c r="O362" s="9">
        <f>PRODUCT(Employee_Sample_Data_1[[#This Row],[Annual Salary]],Employee_Sample_Data_1[[#This Row],[Bonus %]])</f>
        <v>8795.0800000000017</v>
      </c>
      <c r="P362" s="2">
        <f>ROUND(Employee_Sample_Data_1[[#This Row],[Annual Salary]]*(1+Employee_Sample_Data_1[[#This Row],[Bonus %]]), 0)</f>
        <v>134439</v>
      </c>
      <c r="Q362" t="s">
        <v>21</v>
      </c>
      <c r="R362" t="s">
        <v>41</v>
      </c>
      <c r="T362">
        <f ca="1">DATEDIF(Employee_Sample_Data_1[[#This Row],[Hire Date]], IF(Employee_Sample_Data_1[[#This Row],[Exit Date]] = "", TODAY(), Employee_Sample_Data_1[[#This Row],[Exit Date]]), "Y")</f>
        <v>4</v>
      </c>
    </row>
    <row r="363" spans="1:20" x14ac:dyDescent="0.25">
      <c r="A363" t="s">
        <v>801</v>
      </c>
      <c r="B363" t="s">
        <v>802</v>
      </c>
      <c r="C363" t="s">
        <v>91</v>
      </c>
      <c r="D363" t="s">
        <v>32</v>
      </c>
      <c r="E363" t="s">
        <v>33</v>
      </c>
      <c r="F363" t="s">
        <v>39</v>
      </c>
      <c r="G363" t="s">
        <v>40</v>
      </c>
      <c r="H363">
        <v>32</v>
      </c>
      <c r="I363" s="1">
        <v>43114</v>
      </c>
      <c r="J363" s="1" t="str">
        <f>TEXT(Employee_Sample_Data_1[[#This Row],[Hire Date]], "dddd")</f>
        <v>Sunday</v>
      </c>
      <c r="K363" s="1" t="str">
        <f>TEXT(Employee_Sample_Data_1[[#This Row],[Hire Date]], "mmmm")</f>
        <v>January</v>
      </c>
      <c r="L363" s="1" t="str">
        <f>TEXT(Employee_Sample_Data_1[[#This Row],[Hire Date]], "yyyy")</f>
        <v>2018</v>
      </c>
      <c r="M363" s="2">
        <v>78414</v>
      </c>
      <c r="N363" s="3">
        <v>0</v>
      </c>
      <c r="O363" s="9">
        <f>PRODUCT(Employee_Sample_Data_1[[#This Row],[Annual Salary]],Employee_Sample_Data_1[[#This Row],[Bonus %]])</f>
        <v>0</v>
      </c>
      <c r="P363" s="2">
        <f>ROUND(Employee_Sample_Data_1[[#This Row],[Annual Salary]]*(1+Employee_Sample_Data_1[[#This Row],[Bonus %]]), 0)</f>
        <v>78414</v>
      </c>
      <c r="Q363" t="s">
        <v>21</v>
      </c>
      <c r="R363" t="s">
        <v>41</v>
      </c>
      <c r="T363">
        <f ca="1">DATEDIF(Employee_Sample_Data_1[[#This Row],[Hire Date]], IF(Employee_Sample_Data_1[[#This Row],[Exit Date]] = "", TODAY(), Employee_Sample_Data_1[[#This Row],[Exit Date]]), "Y")</f>
        <v>8</v>
      </c>
    </row>
    <row r="364" spans="1:20" x14ac:dyDescent="0.25">
      <c r="A364" t="s">
        <v>803</v>
      </c>
      <c r="B364" t="s">
        <v>804</v>
      </c>
      <c r="C364" t="s">
        <v>51</v>
      </c>
      <c r="D364" t="s">
        <v>77</v>
      </c>
      <c r="E364" t="s">
        <v>53</v>
      </c>
      <c r="F364" t="s">
        <v>39</v>
      </c>
      <c r="G364" t="s">
        <v>40</v>
      </c>
      <c r="H364">
        <v>45</v>
      </c>
      <c r="I364" s="1">
        <v>41299</v>
      </c>
      <c r="J364" s="1" t="str">
        <f>TEXT(Employee_Sample_Data_1[[#This Row],[Hire Date]], "dddd")</f>
        <v>Friday</v>
      </c>
      <c r="K364" s="1" t="str">
        <f>TEXT(Employee_Sample_Data_1[[#This Row],[Hire Date]], "mmmm")</f>
        <v>January</v>
      </c>
      <c r="L364" s="1" t="str">
        <f>TEXT(Employee_Sample_Data_1[[#This Row],[Hire Date]], "yyyy")</f>
        <v>2013</v>
      </c>
      <c r="M364" s="2">
        <v>88016</v>
      </c>
      <c r="N364" s="3">
        <v>0</v>
      </c>
      <c r="O364" s="9">
        <f>PRODUCT(Employee_Sample_Data_1[[#This Row],[Annual Salary]],Employee_Sample_Data_1[[#This Row],[Bonus %]])</f>
        <v>0</v>
      </c>
      <c r="P364" s="2">
        <f>ROUND(Employee_Sample_Data_1[[#This Row],[Annual Salary]]*(1+Employee_Sample_Data_1[[#This Row],[Bonus %]]), 0)</f>
        <v>88016</v>
      </c>
      <c r="Q364" t="s">
        <v>134</v>
      </c>
      <c r="R364" t="s">
        <v>135</v>
      </c>
      <c r="T364">
        <f ca="1">DATEDIF(Employee_Sample_Data_1[[#This Row],[Hire Date]], IF(Employee_Sample_Data_1[[#This Row],[Exit Date]] = "", TODAY(), Employee_Sample_Data_1[[#This Row],[Exit Date]]), "Y")</f>
        <v>13</v>
      </c>
    </row>
    <row r="365" spans="1:20" x14ac:dyDescent="0.25">
      <c r="A365" t="s">
        <v>805</v>
      </c>
      <c r="B365" t="s">
        <v>806</v>
      </c>
      <c r="C365" t="s">
        <v>177</v>
      </c>
      <c r="D365" t="s">
        <v>32</v>
      </c>
      <c r="E365" t="s">
        <v>27</v>
      </c>
      <c r="F365" t="s">
        <v>39</v>
      </c>
      <c r="G365" t="s">
        <v>63</v>
      </c>
      <c r="H365">
        <v>56</v>
      </c>
      <c r="I365" s="1">
        <v>44446</v>
      </c>
      <c r="J365" s="1" t="str">
        <f>TEXT(Employee_Sample_Data_1[[#This Row],[Hire Date]], "dddd")</f>
        <v>Tuesday</v>
      </c>
      <c r="K365" s="1" t="str">
        <f>TEXT(Employee_Sample_Data_1[[#This Row],[Hire Date]], "mmmm")</f>
        <v>September</v>
      </c>
      <c r="L365" s="1" t="str">
        <f>TEXT(Employee_Sample_Data_1[[#This Row],[Hire Date]], "yyyy")</f>
        <v>2021</v>
      </c>
      <c r="M365" s="2">
        <v>66561</v>
      </c>
      <c r="N365" s="3">
        <v>0.06</v>
      </c>
      <c r="O365" s="9">
        <f>PRODUCT(Employee_Sample_Data_1[[#This Row],[Annual Salary]],Employee_Sample_Data_1[[#This Row],[Bonus %]])</f>
        <v>3993.66</v>
      </c>
      <c r="P365" s="2">
        <f>ROUND(Employee_Sample_Data_1[[#This Row],[Annual Salary]]*(1+Employee_Sample_Data_1[[#This Row],[Bonus %]]), 0)</f>
        <v>70555</v>
      </c>
      <c r="Q365" t="s">
        <v>21</v>
      </c>
      <c r="R365" t="s">
        <v>28</v>
      </c>
      <c r="T365">
        <f ca="1">DATEDIF(Employee_Sample_Data_1[[#This Row],[Hire Date]], IF(Employee_Sample_Data_1[[#This Row],[Exit Date]] = "", TODAY(), Employee_Sample_Data_1[[#This Row],[Exit Date]]), "Y")</f>
        <v>4</v>
      </c>
    </row>
    <row r="366" spans="1:20" x14ac:dyDescent="0.25">
      <c r="A366" t="s">
        <v>807</v>
      </c>
      <c r="B366" t="s">
        <v>808</v>
      </c>
      <c r="C366" t="s">
        <v>405</v>
      </c>
      <c r="D366" t="s">
        <v>17</v>
      </c>
      <c r="E366" t="s">
        <v>33</v>
      </c>
      <c r="F366" t="s">
        <v>39</v>
      </c>
      <c r="G366" t="s">
        <v>40</v>
      </c>
      <c r="H366">
        <v>52</v>
      </c>
      <c r="I366" s="1">
        <v>37188</v>
      </c>
      <c r="J366" s="1" t="str">
        <f>TEXT(Employee_Sample_Data_1[[#This Row],[Hire Date]], "dddd")</f>
        <v>Wednesday</v>
      </c>
      <c r="K366" s="1" t="str">
        <f>TEXT(Employee_Sample_Data_1[[#This Row],[Hire Date]], "mmmm")</f>
        <v>October</v>
      </c>
      <c r="L366" s="1" t="str">
        <f>TEXT(Employee_Sample_Data_1[[#This Row],[Hire Date]], "yyyy")</f>
        <v>2001</v>
      </c>
      <c r="M366" s="2">
        <v>89811</v>
      </c>
      <c r="N366" s="3">
        <v>0</v>
      </c>
      <c r="O366" s="9">
        <f>PRODUCT(Employee_Sample_Data_1[[#This Row],[Annual Salary]],Employee_Sample_Data_1[[#This Row],[Bonus %]])</f>
        <v>0</v>
      </c>
      <c r="P366" s="2">
        <f>ROUND(Employee_Sample_Data_1[[#This Row],[Annual Salary]]*(1+Employee_Sample_Data_1[[#This Row],[Bonus %]]), 0)</f>
        <v>89811</v>
      </c>
      <c r="Q366" t="s">
        <v>134</v>
      </c>
      <c r="R366" t="s">
        <v>135</v>
      </c>
      <c r="S366" s="1">
        <v>44793</v>
      </c>
      <c r="T366">
        <f ca="1">DATEDIF(Employee_Sample_Data_1[[#This Row],[Hire Date]], IF(Employee_Sample_Data_1[[#This Row],[Exit Date]] = "", TODAY(), Employee_Sample_Data_1[[#This Row],[Exit Date]]), "Y")</f>
        <v>20</v>
      </c>
    </row>
    <row r="367" spans="1:20" x14ac:dyDescent="0.25">
      <c r="A367" t="s">
        <v>809</v>
      </c>
      <c r="B367" t="s">
        <v>810</v>
      </c>
      <c r="C367" t="s">
        <v>66</v>
      </c>
      <c r="D367" t="s">
        <v>32</v>
      </c>
      <c r="E367" t="s">
        <v>18</v>
      </c>
      <c r="F367" t="s">
        <v>19</v>
      </c>
      <c r="G367" t="s">
        <v>20</v>
      </c>
      <c r="H367">
        <v>49</v>
      </c>
      <c r="I367" s="1">
        <v>40324</v>
      </c>
      <c r="J367" s="1" t="str">
        <f>TEXT(Employee_Sample_Data_1[[#This Row],[Hire Date]], "dddd")</f>
        <v>Wednesday</v>
      </c>
      <c r="K367" s="1" t="str">
        <f>TEXT(Employee_Sample_Data_1[[#This Row],[Hire Date]], "mmmm")</f>
        <v>May</v>
      </c>
      <c r="L367" s="1" t="str">
        <f>TEXT(Employee_Sample_Data_1[[#This Row],[Hire Date]], "yyyy")</f>
        <v>2010</v>
      </c>
      <c r="M367" s="2">
        <v>125506</v>
      </c>
      <c r="N367" s="3">
        <v>0.09</v>
      </c>
      <c r="O367" s="9">
        <f>PRODUCT(Employee_Sample_Data_1[[#This Row],[Annual Salary]],Employee_Sample_Data_1[[#This Row],[Bonus %]])</f>
        <v>11295.539999999999</v>
      </c>
      <c r="P367" s="2">
        <f>ROUND(Employee_Sample_Data_1[[#This Row],[Annual Salary]]*(1+Employee_Sample_Data_1[[#This Row],[Bonus %]]), 0)</f>
        <v>136802</v>
      </c>
      <c r="Q367" t="s">
        <v>21</v>
      </c>
      <c r="R367" t="s">
        <v>41</v>
      </c>
      <c r="T367">
        <f ca="1">DATEDIF(Employee_Sample_Data_1[[#This Row],[Hire Date]], IF(Employee_Sample_Data_1[[#This Row],[Exit Date]] = "", TODAY(), Employee_Sample_Data_1[[#This Row],[Exit Date]]), "Y")</f>
        <v>16</v>
      </c>
    </row>
    <row r="368" spans="1:20" x14ac:dyDescent="0.25">
      <c r="A368" t="s">
        <v>811</v>
      </c>
      <c r="B368" t="s">
        <v>812</v>
      </c>
      <c r="C368" t="s">
        <v>57</v>
      </c>
      <c r="D368" t="s">
        <v>58</v>
      </c>
      <c r="E368" t="s">
        <v>18</v>
      </c>
      <c r="F368" t="s">
        <v>39</v>
      </c>
      <c r="G368" t="s">
        <v>20</v>
      </c>
      <c r="H368">
        <v>46</v>
      </c>
      <c r="I368" s="1">
        <v>40050</v>
      </c>
      <c r="J368" s="1" t="str">
        <f>TEXT(Employee_Sample_Data_1[[#This Row],[Hire Date]], "dddd")</f>
        <v>Tuesday</v>
      </c>
      <c r="K368" s="1" t="str">
        <f>TEXT(Employee_Sample_Data_1[[#This Row],[Hire Date]], "mmmm")</f>
        <v>August</v>
      </c>
      <c r="L368" s="1" t="str">
        <f>TEXT(Employee_Sample_Data_1[[#This Row],[Hire Date]], "yyyy")</f>
        <v>2009</v>
      </c>
      <c r="M368" s="2">
        <v>56409</v>
      </c>
      <c r="N368" s="3">
        <v>0</v>
      </c>
      <c r="O368" s="9">
        <f>PRODUCT(Employee_Sample_Data_1[[#This Row],[Annual Salary]],Employee_Sample_Data_1[[#This Row],[Bonus %]])</f>
        <v>0</v>
      </c>
      <c r="P368" s="2">
        <f>ROUND(Employee_Sample_Data_1[[#This Row],[Annual Salary]]*(1+Employee_Sample_Data_1[[#This Row],[Bonus %]]), 0)</f>
        <v>56409</v>
      </c>
      <c r="Q368" t="s">
        <v>21</v>
      </c>
      <c r="R368" t="s">
        <v>22</v>
      </c>
      <c r="T368">
        <f ca="1">DATEDIF(Employee_Sample_Data_1[[#This Row],[Hire Date]], IF(Employee_Sample_Data_1[[#This Row],[Exit Date]] = "", TODAY(), Employee_Sample_Data_1[[#This Row],[Exit Date]]), "Y")</f>
        <v>16</v>
      </c>
    </row>
    <row r="369" spans="1:20" x14ac:dyDescent="0.25">
      <c r="A369" t="s">
        <v>813</v>
      </c>
      <c r="B369" t="s">
        <v>814</v>
      </c>
      <c r="C369" t="s">
        <v>80</v>
      </c>
      <c r="D369" t="s">
        <v>26</v>
      </c>
      <c r="E369" t="s">
        <v>33</v>
      </c>
      <c r="F369" t="s">
        <v>39</v>
      </c>
      <c r="G369" t="s">
        <v>20</v>
      </c>
      <c r="H369">
        <v>39</v>
      </c>
      <c r="I369" s="1">
        <v>40961</v>
      </c>
      <c r="J369" s="1" t="str">
        <f>TEXT(Employee_Sample_Data_1[[#This Row],[Hire Date]], "dddd")</f>
        <v>Wednesday</v>
      </c>
      <c r="K369" s="1" t="str">
        <f>TEXT(Employee_Sample_Data_1[[#This Row],[Hire Date]], "mmmm")</f>
        <v>February</v>
      </c>
      <c r="L369" s="1" t="str">
        <f>TEXT(Employee_Sample_Data_1[[#This Row],[Hire Date]], "yyyy")</f>
        <v>2012</v>
      </c>
      <c r="M369" s="2">
        <v>122058</v>
      </c>
      <c r="N369" s="3">
        <v>0.14000000000000001</v>
      </c>
      <c r="O369" s="9">
        <f>PRODUCT(Employee_Sample_Data_1[[#This Row],[Annual Salary]],Employee_Sample_Data_1[[#This Row],[Bonus %]])</f>
        <v>17088.120000000003</v>
      </c>
      <c r="P369" s="2">
        <f>ROUND(Employee_Sample_Data_1[[#This Row],[Annual Salary]]*(1+Employee_Sample_Data_1[[#This Row],[Bonus %]]), 0)</f>
        <v>139146</v>
      </c>
      <c r="Q369" t="s">
        <v>34</v>
      </c>
      <c r="R369" t="s">
        <v>108</v>
      </c>
      <c r="T369">
        <f ca="1">DATEDIF(Employee_Sample_Data_1[[#This Row],[Hire Date]], IF(Employee_Sample_Data_1[[#This Row],[Exit Date]] = "", TODAY(), Employee_Sample_Data_1[[#This Row],[Exit Date]]), "Y")</f>
        <v>14</v>
      </c>
    </row>
    <row r="370" spans="1:20" x14ac:dyDescent="0.25">
      <c r="A370" t="s">
        <v>815</v>
      </c>
      <c r="B370" t="s">
        <v>816</v>
      </c>
      <c r="C370" t="s">
        <v>51</v>
      </c>
      <c r="D370" t="s">
        <v>26</v>
      </c>
      <c r="E370" t="s">
        <v>18</v>
      </c>
      <c r="F370" t="s">
        <v>39</v>
      </c>
      <c r="G370" t="s">
        <v>40</v>
      </c>
      <c r="H370">
        <v>55</v>
      </c>
      <c r="I370" s="1">
        <v>35883</v>
      </c>
      <c r="J370" s="1" t="str">
        <f>TEXT(Employee_Sample_Data_1[[#This Row],[Hire Date]], "dddd")</f>
        <v>Sunday</v>
      </c>
      <c r="K370" s="1" t="str">
        <f>TEXT(Employee_Sample_Data_1[[#This Row],[Hire Date]], "mmmm")</f>
        <v>March</v>
      </c>
      <c r="L370" s="1" t="str">
        <f>TEXT(Employee_Sample_Data_1[[#This Row],[Hire Date]], "yyyy")</f>
        <v>1998</v>
      </c>
      <c r="M370" s="2">
        <v>82550</v>
      </c>
      <c r="N370" s="3">
        <v>0</v>
      </c>
      <c r="O370" s="9">
        <f>PRODUCT(Employee_Sample_Data_1[[#This Row],[Annual Salary]],Employee_Sample_Data_1[[#This Row],[Bonus %]])</f>
        <v>0</v>
      </c>
      <c r="P370" s="2">
        <f>ROUND(Employee_Sample_Data_1[[#This Row],[Annual Salary]]*(1+Employee_Sample_Data_1[[#This Row],[Bonus %]]), 0)</f>
        <v>82550</v>
      </c>
      <c r="Q370" t="s">
        <v>21</v>
      </c>
      <c r="R370" t="s">
        <v>28</v>
      </c>
      <c r="T370">
        <f ca="1">DATEDIF(Employee_Sample_Data_1[[#This Row],[Hire Date]], IF(Employee_Sample_Data_1[[#This Row],[Exit Date]] = "", TODAY(), Employee_Sample_Data_1[[#This Row],[Exit Date]]), "Y")</f>
        <v>28</v>
      </c>
    </row>
    <row r="371" spans="1:20" x14ac:dyDescent="0.25">
      <c r="A371" t="s">
        <v>817</v>
      </c>
      <c r="B371" t="s">
        <v>818</v>
      </c>
      <c r="C371" t="s">
        <v>62</v>
      </c>
      <c r="D371" t="s">
        <v>32</v>
      </c>
      <c r="E371" t="s">
        <v>18</v>
      </c>
      <c r="F371" t="s">
        <v>19</v>
      </c>
      <c r="G371" t="s">
        <v>20</v>
      </c>
      <c r="H371">
        <v>34</v>
      </c>
      <c r="I371" s="1">
        <v>41167</v>
      </c>
      <c r="J371" s="1" t="str">
        <f>TEXT(Employee_Sample_Data_1[[#This Row],[Hire Date]], "dddd")</f>
        <v>Saturday</v>
      </c>
      <c r="K371" s="1" t="str">
        <f>TEXT(Employee_Sample_Data_1[[#This Row],[Hire Date]], "mmmm")</f>
        <v>September</v>
      </c>
      <c r="L371" s="1" t="str">
        <f>TEXT(Employee_Sample_Data_1[[#This Row],[Hire Date]], "yyyy")</f>
        <v>2012</v>
      </c>
      <c r="M371" s="2">
        <v>93760</v>
      </c>
      <c r="N371" s="3">
        <v>0</v>
      </c>
      <c r="O371" s="9">
        <f>PRODUCT(Employee_Sample_Data_1[[#This Row],[Annual Salary]],Employee_Sample_Data_1[[#This Row],[Bonus %]])</f>
        <v>0</v>
      </c>
      <c r="P371" s="2">
        <f>ROUND(Employee_Sample_Data_1[[#This Row],[Annual Salary]]*(1+Employee_Sample_Data_1[[#This Row],[Bonus %]]), 0)</f>
        <v>93760</v>
      </c>
      <c r="Q371" t="s">
        <v>21</v>
      </c>
      <c r="R371" t="s">
        <v>67</v>
      </c>
      <c r="T371">
        <f ca="1">DATEDIF(Employee_Sample_Data_1[[#This Row],[Hire Date]], IF(Employee_Sample_Data_1[[#This Row],[Exit Date]] = "", TODAY(), Employee_Sample_Data_1[[#This Row],[Exit Date]]), "Y")</f>
        <v>13</v>
      </c>
    </row>
    <row r="372" spans="1:20" x14ac:dyDescent="0.25">
      <c r="A372" t="s">
        <v>819</v>
      </c>
      <c r="B372" t="s">
        <v>820</v>
      </c>
      <c r="C372" t="s">
        <v>25</v>
      </c>
      <c r="D372" t="s">
        <v>26</v>
      </c>
      <c r="E372" t="s">
        <v>33</v>
      </c>
      <c r="F372" t="s">
        <v>39</v>
      </c>
      <c r="G372" t="s">
        <v>81</v>
      </c>
      <c r="H372">
        <v>56</v>
      </c>
      <c r="I372" s="1">
        <v>41079</v>
      </c>
      <c r="J372" s="1" t="str">
        <f>TEXT(Employee_Sample_Data_1[[#This Row],[Hire Date]], "dddd")</f>
        <v>Tuesday</v>
      </c>
      <c r="K372" s="1" t="str">
        <f>TEXT(Employee_Sample_Data_1[[#This Row],[Hire Date]], "mmmm")</f>
        <v>June</v>
      </c>
      <c r="L372" s="1" t="str">
        <f>TEXT(Employee_Sample_Data_1[[#This Row],[Hire Date]], "yyyy")</f>
        <v>2012</v>
      </c>
      <c r="M372" s="2">
        <v>55008</v>
      </c>
      <c r="N372" s="3">
        <v>0</v>
      </c>
      <c r="O372" s="9">
        <f>PRODUCT(Employee_Sample_Data_1[[#This Row],[Annual Salary]],Employee_Sample_Data_1[[#This Row],[Bonus %]])</f>
        <v>0</v>
      </c>
      <c r="P372" s="2">
        <f>ROUND(Employee_Sample_Data_1[[#This Row],[Annual Salary]]*(1+Employee_Sample_Data_1[[#This Row],[Bonus %]]), 0)</f>
        <v>55008</v>
      </c>
      <c r="Q372" t="s">
        <v>21</v>
      </c>
      <c r="R372" t="s">
        <v>45</v>
      </c>
      <c r="T372">
        <f ca="1">DATEDIF(Employee_Sample_Data_1[[#This Row],[Hire Date]], IF(Employee_Sample_Data_1[[#This Row],[Exit Date]] = "", TODAY(), Employee_Sample_Data_1[[#This Row],[Exit Date]]), "Y")</f>
        <v>13</v>
      </c>
    </row>
    <row r="373" spans="1:20" x14ac:dyDescent="0.25">
      <c r="A373" t="s">
        <v>821</v>
      </c>
      <c r="B373" t="s">
        <v>822</v>
      </c>
      <c r="C373" t="s">
        <v>57</v>
      </c>
      <c r="D373" t="s">
        <v>77</v>
      </c>
      <c r="E373" t="s">
        <v>33</v>
      </c>
      <c r="F373" t="s">
        <v>19</v>
      </c>
      <c r="G373" t="s">
        <v>40</v>
      </c>
      <c r="H373">
        <v>56</v>
      </c>
      <c r="I373" s="1">
        <v>41180</v>
      </c>
      <c r="J373" s="1" t="str">
        <f>TEXT(Employee_Sample_Data_1[[#This Row],[Hire Date]], "dddd")</f>
        <v>Friday</v>
      </c>
      <c r="K373" s="1" t="str">
        <f>TEXT(Employee_Sample_Data_1[[#This Row],[Hire Date]], "mmmm")</f>
        <v>September</v>
      </c>
      <c r="L373" s="1" t="str">
        <f>TEXT(Employee_Sample_Data_1[[#This Row],[Hire Date]], "yyyy")</f>
        <v>2012</v>
      </c>
      <c r="M373" s="2">
        <v>65368</v>
      </c>
      <c r="N373" s="3">
        <v>0</v>
      </c>
      <c r="O373" s="9">
        <f>PRODUCT(Employee_Sample_Data_1[[#This Row],[Annual Salary]],Employee_Sample_Data_1[[#This Row],[Bonus %]])</f>
        <v>0</v>
      </c>
      <c r="P373" s="2">
        <f>ROUND(Employee_Sample_Data_1[[#This Row],[Annual Salary]]*(1+Employee_Sample_Data_1[[#This Row],[Bonus %]]), 0)</f>
        <v>65368</v>
      </c>
      <c r="Q373" t="s">
        <v>21</v>
      </c>
      <c r="R373" t="s">
        <v>41</v>
      </c>
      <c r="T373">
        <f ca="1">DATEDIF(Employee_Sample_Data_1[[#This Row],[Hire Date]], IF(Employee_Sample_Data_1[[#This Row],[Exit Date]] = "", TODAY(), Employee_Sample_Data_1[[#This Row],[Exit Date]]), "Y")</f>
        <v>13</v>
      </c>
    </row>
    <row r="374" spans="1:20" x14ac:dyDescent="0.25">
      <c r="A374" t="s">
        <v>823</v>
      </c>
      <c r="B374" t="s">
        <v>824</v>
      </c>
      <c r="C374" t="s">
        <v>131</v>
      </c>
      <c r="D374" t="s">
        <v>17</v>
      </c>
      <c r="E374" t="s">
        <v>33</v>
      </c>
      <c r="F374" t="s">
        <v>19</v>
      </c>
      <c r="G374" t="s">
        <v>20</v>
      </c>
      <c r="H374">
        <v>62</v>
      </c>
      <c r="I374" s="1">
        <v>42845</v>
      </c>
      <c r="J374" s="1" t="str">
        <f>TEXT(Employee_Sample_Data_1[[#This Row],[Hire Date]], "dddd")</f>
        <v>Thursday</v>
      </c>
      <c r="K374" s="1" t="str">
        <f>TEXT(Employee_Sample_Data_1[[#This Row],[Hire Date]], "mmmm")</f>
        <v>April</v>
      </c>
      <c r="L374" s="1" t="str">
        <f>TEXT(Employee_Sample_Data_1[[#This Row],[Hire Date]], "yyyy")</f>
        <v>2017</v>
      </c>
      <c r="M374" s="2">
        <v>83955</v>
      </c>
      <c r="N374" s="3">
        <v>0</v>
      </c>
      <c r="O374" s="9">
        <f>PRODUCT(Employee_Sample_Data_1[[#This Row],[Annual Salary]],Employee_Sample_Data_1[[#This Row],[Bonus %]])</f>
        <v>0</v>
      </c>
      <c r="P374" s="2">
        <f>ROUND(Employee_Sample_Data_1[[#This Row],[Annual Salary]]*(1+Employee_Sample_Data_1[[#This Row],[Bonus %]]), 0)</f>
        <v>83955</v>
      </c>
      <c r="Q374" t="s">
        <v>21</v>
      </c>
      <c r="R374" t="s">
        <v>48</v>
      </c>
      <c r="T374">
        <f ca="1">DATEDIF(Employee_Sample_Data_1[[#This Row],[Hire Date]], IF(Employee_Sample_Data_1[[#This Row],[Exit Date]] = "", TODAY(), Employee_Sample_Data_1[[#This Row],[Exit Date]]), "Y")</f>
        <v>9</v>
      </c>
    </row>
    <row r="375" spans="1:20" x14ac:dyDescent="0.25">
      <c r="A375" t="s">
        <v>825</v>
      </c>
      <c r="B375" t="s">
        <v>826</v>
      </c>
      <c r="C375" t="s">
        <v>86</v>
      </c>
      <c r="D375" t="s">
        <v>77</v>
      </c>
      <c r="E375" t="s">
        <v>53</v>
      </c>
      <c r="F375" t="s">
        <v>39</v>
      </c>
      <c r="G375" t="s">
        <v>40</v>
      </c>
      <c r="H375">
        <v>60</v>
      </c>
      <c r="I375" s="1">
        <v>35788</v>
      </c>
      <c r="J375" s="1" t="str">
        <f>TEXT(Employee_Sample_Data_1[[#This Row],[Hire Date]], "dddd")</f>
        <v>Wednesday</v>
      </c>
      <c r="K375" s="1" t="str">
        <f>TEXT(Employee_Sample_Data_1[[#This Row],[Hire Date]], "mmmm")</f>
        <v>December</v>
      </c>
      <c r="L375" s="1" t="str">
        <f>TEXT(Employee_Sample_Data_1[[#This Row],[Hire Date]], "yyyy")</f>
        <v>1997</v>
      </c>
      <c r="M375" s="2">
        <v>231907</v>
      </c>
      <c r="N375" s="3">
        <v>0.38</v>
      </c>
      <c r="O375" s="9">
        <f>PRODUCT(Employee_Sample_Data_1[[#This Row],[Annual Salary]],Employee_Sample_Data_1[[#This Row],[Bonus %]])</f>
        <v>88124.66</v>
      </c>
      <c r="P375" s="2">
        <f>ROUND(Employee_Sample_Data_1[[#This Row],[Annual Salary]]*(1+Employee_Sample_Data_1[[#This Row],[Bonus %]]), 0)</f>
        <v>320032</v>
      </c>
      <c r="Q375" t="s">
        <v>21</v>
      </c>
      <c r="R375" t="s">
        <v>45</v>
      </c>
      <c r="T375">
        <f ca="1">DATEDIF(Employee_Sample_Data_1[[#This Row],[Hire Date]], IF(Employee_Sample_Data_1[[#This Row],[Exit Date]] = "", TODAY(), Employee_Sample_Data_1[[#This Row],[Exit Date]]), "Y")</f>
        <v>28</v>
      </c>
    </row>
    <row r="376" spans="1:20" x14ac:dyDescent="0.25">
      <c r="A376" t="s">
        <v>827</v>
      </c>
      <c r="B376" t="s">
        <v>828</v>
      </c>
      <c r="C376" t="s">
        <v>38</v>
      </c>
      <c r="D376" t="s">
        <v>32</v>
      </c>
      <c r="E376" t="s">
        <v>18</v>
      </c>
      <c r="F376" t="s">
        <v>19</v>
      </c>
      <c r="G376" t="s">
        <v>63</v>
      </c>
      <c r="H376">
        <v>42</v>
      </c>
      <c r="I376" s="1">
        <v>40072</v>
      </c>
      <c r="J376" s="1" t="str">
        <f>TEXT(Employee_Sample_Data_1[[#This Row],[Hire Date]], "dddd")</f>
        <v>Wednesday</v>
      </c>
      <c r="K376" s="1" t="str">
        <f>TEXT(Employee_Sample_Data_1[[#This Row],[Hire Date]], "mmmm")</f>
        <v>September</v>
      </c>
      <c r="L376" s="1" t="str">
        <f>TEXT(Employee_Sample_Data_1[[#This Row],[Hire Date]], "yyyy")</f>
        <v>2009</v>
      </c>
      <c r="M376" s="2">
        <v>97628</v>
      </c>
      <c r="N376" s="3">
        <v>0</v>
      </c>
      <c r="O376" s="9">
        <f>PRODUCT(Employee_Sample_Data_1[[#This Row],[Annual Salary]],Employee_Sample_Data_1[[#This Row],[Bonus %]])</f>
        <v>0</v>
      </c>
      <c r="P376" s="2">
        <f>ROUND(Employee_Sample_Data_1[[#This Row],[Annual Salary]]*(1+Employee_Sample_Data_1[[#This Row],[Bonus %]]), 0)</f>
        <v>97628</v>
      </c>
      <c r="Q376" t="s">
        <v>21</v>
      </c>
      <c r="R376" t="s">
        <v>48</v>
      </c>
      <c r="T376">
        <f ca="1">DATEDIF(Employee_Sample_Data_1[[#This Row],[Hire Date]], IF(Employee_Sample_Data_1[[#This Row],[Exit Date]] = "", TODAY(), Employee_Sample_Data_1[[#This Row],[Exit Date]]), "Y")</f>
        <v>16</v>
      </c>
    </row>
    <row r="377" spans="1:20" x14ac:dyDescent="0.25">
      <c r="A377" t="s">
        <v>829</v>
      </c>
      <c r="B377" t="s">
        <v>830</v>
      </c>
      <c r="C377" t="s">
        <v>38</v>
      </c>
      <c r="D377" t="s">
        <v>32</v>
      </c>
      <c r="E377" t="s">
        <v>18</v>
      </c>
      <c r="F377" t="s">
        <v>19</v>
      </c>
      <c r="G377" t="s">
        <v>40</v>
      </c>
      <c r="H377">
        <v>27</v>
      </c>
      <c r="I377" s="1">
        <v>44096</v>
      </c>
      <c r="J377" s="1" t="str">
        <f>TEXT(Employee_Sample_Data_1[[#This Row],[Hire Date]], "dddd")</f>
        <v>Tuesday</v>
      </c>
      <c r="K377" s="1" t="str">
        <f>TEXT(Employee_Sample_Data_1[[#This Row],[Hire Date]], "mmmm")</f>
        <v>September</v>
      </c>
      <c r="L377" s="1" t="str">
        <f>TEXT(Employee_Sample_Data_1[[#This Row],[Hire Date]], "yyyy")</f>
        <v>2020</v>
      </c>
      <c r="M377" s="2">
        <v>88142</v>
      </c>
      <c r="N377" s="3">
        <v>0</v>
      </c>
      <c r="O377" s="9">
        <f>PRODUCT(Employee_Sample_Data_1[[#This Row],[Annual Salary]],Employee_Sample_Data_1[[#This Row],[Bonus %]])</f>
        <v>0</v>
      </c>
      <c r="P377" s="2">
        <f>ROUND(Employee_Sample_Data_1[[#This Row],[Annual Salary]]*(1+Employee_Sample_Data_1[[#This Row],[Bonus %]]), 0)</f>
        <v>88142</v>
      </c>
      <c r="Q377" t="s">
        <v>21</v>
      </c>
      <c r="R377" t="s">
        <v>22</v>
      </c>
      <c r="T377">
        <f ca="1">DATEDIF(Employee_Sample_Data_1[[#This Row],[Hire Date]], IF(Employee_Sample_Data_1[[#This Row],[Exit Date]] = "", TODAY(), Employee_Sample_Data_1[[#This Row],[Exit Date]]), "Y")</f>
        <v>5</v>
      </c>
    </row>
    <row r="378" spans="1:20" x14ac:dyDescent="0.25">
      <c r="A378" t="s">
        <v>831</v>
      </c>
      <c r="B378" t="s">
        <v>832</v>
      </c>
      <c r="C378" t="s">
        <v>131</v>
      </c>
      <c r="D378" t="s">
        <v>17</v>
      </c>
      <c r="E378" t="s">
        <v>27</v>
      </c>
      <c r="F378" t="s">
        <v>39</v>
      </c>
      <c r="G378" t="s">
        <v>20</v>
      </c>
      <c r="H378">
        <v>37</v>
      </c>
      <c r="I378" s="1">
        <v>43892</v>
      </c>
      <c r="J378" s="1" t="str">
        <f>TEXT(Employee_Sample_Data_1[[#This Row],[Hire Date]], "dddd")</f>
        <v>Monday</v>
      </c>
      <c r="K378" s="1" t="str">
        <f>TEXT(Employee_Sample_Data_1[[#This Row],[Hire Date]], "mmmm")</f>
        <v>March</v>
      </c>
      <c r="L378" s="1" t="str">
        <f>TEXT(Employee_Sample_Data_1[[#This Row],[Hire Date]], "yyyy")</f>
        <v>2020</v>
      </c>
      <c r="M378" s="2">
        <v>83465</v>
      </c>
      <c r="N378" s="3">
        <v>0</v>
      </c>
      <c r="O378" s="9">
        <f>PRODUCT(Employee_Sample_Data_1[[#This Row],[Annual Salary]],Employee_Sample_Data_1[[#This Row],[Bonus %]])</f>
        <v>0</v>
      </c>
      <c r="P378" s="2">
        <f>ROUND(Employee_Sample_Data_1[[#This Row],[Annual Salary]]*(1+Employee_Sample_Data_1[[#This Row],[Bonus %]]), 0)</f>
        <v>83465</v>
      </c>
      <c r="Q378" t="s">
        <v>34</v>
      </c>
      <c r="R378" t="s">
        <v>108</v>
      </c>
      <c r="T378">
        <f ca="1">DATEDIF(Employee_Sample_Data_1[[#This Row],[Hire Date]], IF(Employee_Sample_Data_1[[#This Row],[Exit Date]] = "", TODAY(), Employee_Sample_Data_1[[#This Row],[Exit Date]]), "Y")</f>
        <v>6</v>
      </c>
    </row>
    <row r="379" spans="1:20" x14ac:dyDescent="0.25">
      <c r="A379" t="s">
        <v>833</v>
      </c>
      <c r="B379" t="s">
        <v>834</v>
      </c>
      <c r="C379" t="s">
        <v>44</v>
      </c>
      <c r="D379" t="s">
        <v>32</v>
      </c>
      <c r="E379" t="s">
        <v>18</v>
      </c>
      <c r="F379" t="s">
        <v>19</v>
      </c>
      <c r="G379" t="s">
        <v>40</v>
      </c>
      <c r="H379">
        <v>29</v>
      </c>
      <c r="I379" s="1">
        <v>44570</v>
      </c>
      <c r="J379" s="1" t="str">
        <f>TEXT(Employee_Sample_Data_1[[#This Row],[Hire Date]], "dddd")</f>
        <v>Sunday</v>
      </c>
      <c r="K379" s="1" t="str">
        <f>TEXT(Employee_Sample_Data_1[[#This Row],[Hire Date]], "mmmm")</f>
        <v>January</v>
      </c>
      <c r="L379" s="1" t="str">
        <f>TEXT(Employee_Sample_Data_1[[#This Row],[Hire Date]], "yyyy")</f>
        <v>2022</v>
      </c>
      <c r="M379" s="2">
        <v>197731</v>
      </c>
      <c r="N379" s="3">
        <v>0.15</v>
      </c>
      <c r="O379" s="9">
        <f>PRODUCT(Employee_Sample_Data_1[[#This Row],[Annual Salary]],Employee_Sample_Data_1[[#This Row],[Bonus %]])</f>
        <v>29659.649999999998</v>
      </c>
      <c r="P379" s="2">
        <f>ROUND(Employee_Sample_Data_1[[#This Row],[Annual Salary]]*(1+Employee_Sample_Data_1[[#This Row],[Bonus %]]), 0)</f>
        <v>227391</v>
      </c>
      <c r="Q379" t="s">
        <v>21</v>
      </c>
      <c r="R379" t="s">
        <v>41</v>
      </c>
      <c r="T379">
        <f ca="1">DATEDIF(Employee_Sample_Data_1[[#This Row],[Hire Date]], IF(Employee_Sample_Data_1[[#This Row],[Exit Date]] = "", TODAY(), Employee_Sample_Data_1[[#This Row],[Exit Date]]), "Y")</f>
        <v>4</v>
      </c>
    </row>
    <row r="380" spans="1:20" x14ac:dyDescent="0.25">
      <c r="A380" t="s">
        <v>835</v>
      </c>
      <c r="B380" t="s">
        <v>836</v>
      </c>
      <c r="C380" t="s">
        <v>80</v>
      </c>
      <c r="D380" t="s">
        <v>52</v>
      </c>
      <c r="E380" t="s">
        <v>33</v>
      </c>
      <c r="F380" t="s">
        <v>19</v>
      </c>
      <c r="G380" t="s">
        <v>20</v>
      </c>
      <c r="H380">
        <v>32</v>
      </c>
      <c r="I380" s="1">
        <v>41988</v>
      </c>
      <c r="J380" s="1" t="str">
        <f>TEXT(Employee_Sample_Data_1[[#This Row],[Hire Date]], "dddd")</f>
        <v>Monday</v>
      </c>
      <c r="K380" s="1" t="str">
        <f>TEXT(Employee_Sample_Data_1[[#This Row],[Hire Date]], "mmmm")</f>
        <v>December</v>
      </c>
      <c r="L380" s="1" t="str">
        <f>TEXT(Employee_Sample_Data_1[[#This Row],[Hire Date]], "yyyy")</f>
        <v>2014</v>
      </c>
      <c r="M380" s="2">
        <v>151758</v>
      </c>
      <c r="N380" s="3">
        <v>0.12</v>
      </c>
      <c r="O380" s="9">
        <f>PRODUCT(Employee_Sample_Data_1[[#This Row],[Annual Salary]],Employee_Sample_Data_1[[#This Row],[Bonus %]])</f>
        <v>18210.96</v>
      </c>
      <c r="P380" s="2">
        <f>ROUND(Employee_Sample_Data_1[[#This Row],[Annual Salary]]*(1+Employee_Sample_Data_1[[#This Row],[Bonus %]]), 0)</f>
        <v>169969</v>
      </c>
      <c r="Q380" t="s">
        <v>34</v>
      </c>
      <c r="R380" t="s">
        <v>108</v>
      </c>
      <c r="T380">
        <f ca="1">DATEDIF(Employee_Sample_Data_1[[#This Row],[Hire Date]], IF(Employee_Sample_Data_1[[#This Row],[Exit Date]] = "", TODAY(), Employee_Sample_Data_1[[#This Row],[Exit Date]]), "Y")</f>
        <v>11</v>
      </c>
    </row>
    <row r="381" spans="1:20" x14ac:dyDescent="0.25">
      <c r="A381" t="s">
        <v>837</v>
      </c>
      <c r="B381" t="s">
        <v>838</v>
      </c>
      <c r="C381" t="s">
        <v>44</v>
      </c>
      <c r="D381" t="s">
        <v>58</v>
      </c>
      <c r="E381" t="s">
        <v>33</v>
      </c>
      <c r="F381" t="s">
        <v>19</v>
      </c>
      <c r="G381" t="s">
        <v>20</v>
      </c>
      <c r="H381">
        <v>33</v>
      </c>
      <c r="I381" s="1">
        <v>41525</v>
      </c>
      <c r="J381" s="1" t="str">
        <f>TEXT(Employee_Sample_Data_1[[#This Row],[Hire Date]], "dddd")</f>
        <v>Sunday</v>
      </c>
      <c r="K381" s="1" t="str">
        <f>TEXT(Employee_Sample_Data_1[[#This Row],[Hire Date]], "mmmm")</f>
        <v>September</v>
      </c>
      <c r="L381" s="1" t="str">
        <f>TEXT(Employee_Sample_Data_1[[#This Row],[Hire Date]], "yyyy")</f>
        <v>2013</v>
      </c>
      <c r="M381" s="2">
        <v>164340</v>
      </c>
      <c r="N381" s="3">
        <v>0.15</v>
      </c>
      <c r="O381" s="9">
        <f>PRODUCT(Employee_Sample_Data_1[[#This Row],[Annual Salary]],Employee_Sample_Data_1[[#This Row],[Bonus %]])</f>
        <v>24651</v>
      </c>
      <c r="P381" s="2">
        <f>ROUND(Employee_Sample_Data_1[[#This Row],[Annual Salary]]*(1+Employee_Sample_Data_1[[#This Row],[Bonus %]]), 0)</f>
        <v>188991</v>
      </c>
      <c r="Q381" t="s">
        <v>21</v>
      </c>
      <c r="R381" t="s">
        <v>28</v>
      </c>
      <c r="T381">
        <f ca="1">DATEDIF(Employee_Sample_Data_1[[#This Row],[Hire Date]], IF(Employee_Sample_Data_1[[#This Row],[Exit Date]] = "", TODAY(), Employee_Sample_Data_1[[#This Row],[Exit Date]]), "Y")</f>
        <v>12</v>
      </c>
    </row>
    <row r="382" spans="1:20" x14ac:dyDescent="0.25">
      <c r="A382" t="s">
        <v>839</v>
      </c>
      <c r="B382" t="s">
        <v>840</v>
      </c>
      <c r="C382" t="s">
        <v>16</v>
      </c>
      <c r="D382" t="s">
        <v>17</v>
      </c>
      <c r="E382" t="s">
        <v>53</v>
      </c>
      <c r="F382" t="s">
        <v>39</v>
      </c>
      <c r="G382" t="s">
        <v>40</v>
      </c>
      <c r="H382">
        <v>42</v>
      </c>
      <c r="I382" s="1">
        <v>38802</v>
      </c>
      <c r="J382" s="1" t="str">
        <f>TEXT(Employee_Sample_Data_1[[#This Row],[Hire Date]], "dddd")</f>
        <v>Sunday</v>
      </c>
      <c r="K382" s="1" t="str">
        <f>TEXT(Employee_Sample_Data_1[[#This Row],[Hire Date]], "mmmm")</f>
        <v>March</v>
      </c>
      <c r="L382" s="1" t="str">
        <f>TEXT(Employee_Sample_Data_1[[#This Row],[Hire Date]], "yyyy")</f>
        <v>2006</v>
      </c>
      <c r="M382" s="2">
        <v>104916</v>
      </c>
      <c r="N382" s="3">
        <v>0</v>
      </c>
      <c r="O382" s="9">
        <f>PRODUCT(Employee_Sample_Data_1[[#This Row],[Annual Salary]],Employee_Sample_Data_1[[#This Row],[Bonus %]])</f>
        <v>0</v>
      </c>
      <c r="P382" s="2">
        <f>ROUND(Employee_Sample_Data_1[[#This Row],[Annual Salary]]*(1+Employee_Sample_Data_1[[#This Row],[Bonus %]]), 0)</f>
        <v>104916</v>
      </c>
      <c r="Q382" t="s">
        <v>134</v>
      </c>
      <c r="R382" t="s">
        <v>286</v>
      </c>
      <c r="T382">
        <f ca="1">DATEDIF(Employee_Sample_Data_1[[#This Row],[Hire Date]], IF(Employee_Sample_Data_1[[#This Row],[Exit Date]] = "", TODAY(), Employee_Sample_Data_1[[#This Row],[Exit Date]]), "Y")</f>
        <v>20</v>
      </c>
    </row>
    <row r="383" spans="1:20" x14ac:dyDescent="0.25">
      <c r="A383" t="s">
        <v>841</v>
      </c>
      <c r="B383" t="s">
        <v>842</v>
      </c>
      <c r="C383" t="s">
        <v>25</v>
      </c>
      <c r="D383" t="s">
        <v>58</v>
      </c>
      <c r="E383" t="s">
        <v>53</v>
      </c>
      <c r="F383" t="s">
        <v>19</v>
      </c>
      <c r="G383" t="s">
        <v>20</v>
      </c>
      <c r="H383">
        <v>60</v>
      </c>
      <c r="I383" s="1">
        <v>35452</v>
      </c>
      <c r="J383" s="1" t="str">
        <f>TEXT(Employee_Sample_Data_1[[#This Row],[Hire Date]], "dddd")</f>
        <v>Wednesday</v>
      </c>
      <c r="K383" s="1" t="str">
        <f>TEXT(Employee_Sample_Data_1[[#This Row],[Hire Date]], "mmmm")</f>
        <v>January</v>
      </c>
      <c r="L383" s="1" t="str">
        <f>TEXT(Employee_Sample_Data_1[[#This Row],[Hire Date]], "yyyy")</f>
        <v>1997</v>
      </c>
      <c r="M383" s="2">
        <v>42536</v>
      </c>
      <c r="N383" s="3">
        <v>0</v>
      </c>
      <c r="O383" s="9">
        <f>PRODUCT(Employee_Sample_Data_1[[#This Row],[Annual Salary]],Employee_Sample_Data_1[[#This Row],[Bonus %]])</f>
        <v>0</v>
      </c>
      <c r="P383" s="2">
        <f>ROUND(Employee_Sample_Data_1[[#This Row],[Annual Salary]]*(1+Employee_Sample_Data_1[[#This Row],[Bonus %]]), 0)</f>
        <v>42536</v>
      </c>
      <c r="Q383" t="s">
        <v>21</v>
      </c>
      <c r="R383" t="s">
        <v>22</v>
      </c>
      <c r="T383">
        <f ca="1">DATEDIF(Employee_Sample_Data_1[[#This Row],[Hire Date]], IF(Employee_Sample_Data_1[[#This Row],[Exit Date]] = "", TODAY(), Employee_Sample_Data_1[[#This Row],[Exit Date]]), "Y")</f>
        <v>29</v>
      </c>
    </row>
    <row r="384" spans="1:20" x14ac:dyDescent="0.25">
      <c r="A384" t="s">
        <v>843</v>
      </c>
      <c r="B384" t="s">
        <v>844</v>
      </c>
      <c r="C384" t="s">
        <v>86</v>
      </c>
      <c r="D384" t="s">
        <v>58</v>
      </c>
      <c r="E384" t="s">
        <v>33</v>
      </c>
      <c r="F384" t="s">
        <v>39</v>
      </c>
      <c r="G384" t="s">
        <v>20</v>
      </c>
      <c r="H384">
        <v>51</v>
      </c>
      <c r="I384" s="1">
        <v>39908</v>
      </c>
      <c r="J384" s="1" t="str">
        <f>TEXT(Employee_Sample_Data_1[[#This Row],[Hire Date]], "dddd")</f>
        <v>Sunday</v>
      </c>
      <c r="K384" s="1" t="str">
        <f>TEXT(Employee_Sample_Data_1[[#This Row],[Hire Date]], "mmmm")</f>
        <v>April</v>
      </c>
      <c r="L384" s="1" t="str">
        <f>TEXT(Employee_Sample_Data_1[[#This Row],[Hire Date]], "yyyy")</f>
        <v>2009</v>
      </c>
      <c r="M384" s="2">
        <v>195171</v>
      </c>
      <c r="N384" s="3">
        <v>0.33</v>
      </c>
      <c r="O384" s="9">
        <f>PRODUCT(Employee_Sample_Data_1[[#This Row],[Annual Salary]],Employee_Sample_Data_1[[#This Row],[Bonus %]])</f>
        <v>64406.43</v>
      </c>
      <c r="P384" s="2">
        <f>ROUND(Employee_Sample_Data_1[[#This Row],[Annual Salary]]*(1+Employee_Sample_Data_1[[#This Row],[Bonus %]]), 0)</f>
        <v>259577</v>
      </c>
      <c r="Q384" t="s">
        <v>21</v>
      </c>
      <c r="R384" t="s">
        <v>41</v>
      </c>
      <c r="T384">
        <f ca="1">DATEDIF(Employee_Sample_Data_1[[#This Row],[Hire Date]], IF(Employee_Sample_Data_1[[#This Row],[Exit Date]] = "", TODAY(), Employee_Sample_Data_1[[#This Row],[Exit Date]]), "Y")</f>
        <v>17</v>
      </c>
    </row>
    <row r="385" spans="1:20" x14ac:dyDescent="0.25">
      <c r="A385" t="s">
        <v>845</v>
      </c>
      <c r="B385" t="s">
        <v>846</v>
      </c>
      <c r="C385" t="s">
        <v>128</v>
      </c>
      <c r="D385" t="s">
        <v>123</v>
      </c>
      <c r="E385" t="s">
        <v>18</v>
      </c>
      <c r="F385" t="s">
        <v>39</v>
      </c>
      <c r="G385" t="s">
        <v>20</v>
      </c>
      <c r="H385">
        <v>50</v>
      </c>
      <c r="I385" s="1">
        <v>43977</v>
      </c>
      <c r="J385" s="1" t="str">
        <f>TEXT(Employee_Sample_Data_1[[#This Row],[Hire Date]], "dddd")</f>
        <v>Tuesday</v>
      </c>
      <c r="K385" s="1" t="str">
        <f>TEXT(Employee_Sample_Data_1[[#This Row],[Hire Date]], "mmmm")</f>
        <v>May</v>
      </c>
      <c r="L385" s="1" t="str">
        <f>TEXT(Employee_Sample_Data_1[[#This Row],[Hire Date]], "yyyy")</f>
        <v>2020</v>
      </c>
      <c r="M385" s="2">
        <v>45290</v>
      </c>
      <c r="N385" s="3">
        <v>0</v>
      </c>
      <c r="O385" s="9">
        <f>PRODUCT(Employee_Sample_Data_1[[#This Row],[Annual Salary]],Employee_Sample_Data_1[[#This Row],[Bonus %]])</f>
        <v>0</v>
      </c>
      <c r="P385" s="2">
        <f>ROUND(Employee_Sample_Data_1[[#This Row],[Annual Salary]]*(1+Employee_Sample_Data_1[[#This Row],[Bonus %]]), 0)</f>
        <v>45290</v>
      </c>
      <c r="Q385" t="s">
        <v>34</v>
      </c>
      <c r="R385" t="s">
        <v>54</v>
      </c>
      <c r="S385" s="1">
        <v>44412</v>
      </c>
      <c r="T385">
        <f ca="1">DATEDIF(Employee_Sample_Data_1[[#This Row],[Hire Date]], IF(Employee_Sample_Data_1[[#This Row],[Exit Date]] = "", TODAY(), Employee_Sample_Data_1[[#This Row],[Exit Date]]), "Y")</f>
        <v>1</v>
      </c>
    </row>
    <row r="386" spans="1:20" x14ac:dyDescent="0.25">
      <c r="A386" t="s">
        <v>847</v>
      </c>
      <c r="B386" t="s">
        <v>848</v>
      </c>
      <c r="C386" t="s">
        <v>86</v>
      </c>
      <c r="D386" t="s">
        <v>58</v>
      </c>
      <c r="E386" t="s">
        <v>53</v>
      </c>
      <c r="F386" t="s">
        <v>19</v>
      </c>
      <c r="G386" t="s">
        <v>40</v>
      </c>
      <c r="H386">
        <v>50</v>
      </c>
      <c r="I386" s="1">
        <v>40158</v>
      </c>
      <c r="J386" s="1" t="str">
        <f>TEXT(Employee_Sample_Data_1[[#This Row],[Hire Date]], "dddd")</f>
        <v>Friday</v>
      </c>
      <c r="K386" s="1" t="str">
        <f>TEXT(Employee_Sample_Data_1[[#This Row],[Hire Date]], "mmmm")</f>
        <v>December</v>
      </c>
      <c r="L386" s="1" t="str">
        <f>TEXT(Employee_Sample_Data_1[[#This Row],[Hire Date]], "yyyy")</f>
        <v>2009</v>
      </c>
      <c r="M386" s="2">
        <v>203306</v>
      </c>
      <c r="N386" s="3">
        <v>0.38</v>
      </c>
      <c r="O386" s="9">
        <f>PRODUCT(Employee_Sample_Data_1[[#This Row],[Annual Salary]],Employee_Sample_Data_1[[#This Row],[Bonus %]])</f>
        <v>77256.28</v>
      </c>
      <c r="P386" s="2">
        <f>ROUND(Employee_Sample_Data_1[[#This Row],[Annual Salary]]*(1+Employee_Sample_Data_1[[#This Row],[Bonus %]]), 0)</f>
        <v>280562</v>
      </c>
      <c r="Q386" t="s">
        <v>21</v>
      </c>
      <c r="R386" t="s">
        <v>41</v>
      </c>
      <c r="T386">
        <f ca="1">DATEDIF(Employee_Sample_Data_1[[#This Row],[Hire Date]], IF(Employee_Sample_Data_1[[#This Row],[Exit Date]] = "", TODAY(), Employee_Sample_Data_1[[#This Row],[Exit Date]]), "Y")</f>
        <v>16</v>
      </c>
    </row>
    <row r="387" spans="1:20" x14ac:dyDescent="0.25">
      <c r="A387" t="s">
        <v>849</v>
      </c>
      <c r="B387" t="s">
        <v>850</v>
      </c>
      <c r="C387" t="s">
        <v>57</v>
      </c>
      <c r="D387" t="s">
        <v>26</v>
      </c>
      <c r="E387" t="s">
        <v>53</v>
      </c>
      <c r="F387" t="s">
        <v>19</v>
      </c>
      <c r="G387" t="s">
        <v>40</v>
      </c>
      <c r="H387">
        <v>26</v>
      </c>
      <c r="I387" s="1">
        <v>44728</v>
      </c>
      <c r="J387" s="1" t="str">
        <f>TEXT(Employee_Sample_Data_1[[#This Row],[Hire Date]], "dddd")</f>
        <v>Thursday</v>
      </c>
      <c r="K387" s="1" t="str">
        <f>TEXT(Employee_Sample_Data_1[[#This Row],[Hire Date]], "mmmm")</f>
        <v>June</v>
      </c>
      <c r="L387" s="1" t="str">
        <f>TEXT(Employee_Sample_Data_1[[#This Row],[Hire Date]], "yyyy")</f>
        <v>2022</v>
      </c>
      <c r="M387" s="2">
        <v>66865</v>
      </c>
      <c r="N387" s="3">
        <v>0</v>
      </c>
      <c r="O387" s="9">
        <f>PRODUCT(Employee_Sample_Data_1[[#This Row],[Annual Salary]],Employee_Sample_Data_1[[#This Row],[Bonus %]])</f>
        <v>0</v>
      </c>
      <c r="P387" s="2">
        <f>ROUND(Employee_Sample_Data_1[[#This Row],[Annual Salary]]*(1+Employee_Sample_Data_1[[#This Row],[Bonus %]]), 0)</f>
        <v>66865</v>
      </c>
      <c r="Q387" t="s">
        <v>134</v>
      </c>
      <c r="R387" t="s">
        <v>135</v>
      </c>
      <c r="T387">
        <f ca="1">DATEDIF(Employee_Sample_Data_1[[#This Row],[Hire Date]], IF(Employee_Sample_Data_1[[#This Row],[Exit Date]] = "", TODAY(), Employee_Sample_Data_1[[#This Row],[Exit Date]]), "Y")</f>
        <v>3</v>
      </c>
    </row>
    <row r="388" spans="1:20" x14ac:dyDescent="0.25">
      <c r="A388" t="s">
        <v>851</v>
      </c>
      <c r="B388" t="s">
        <v>852</v>
      </c>
      <c r="C388" t="s">
        <v>377</v>
      </c>
      <c r="D388" t="s">
        <v>32</v>
      </c>
      <c r="E388" t="s">
        <v>27</v>
      </c>
      <c r="F388" t="s">
        <v>19</v>
      </c>
      <c r="G388" t="s">
        <v>20</v>
      </c>
      <c r="H388">
        <v>30</v>
      </c>
      <c r="I388" s="1">
        <v>44851</v>
      </c>
      <c r="J388" s="1" t="str">
        <f>TEXT(Employee_Sample_Data_1[[#This Row],[Hire Date]], "dddd")</f>
        <v>Monday</v>
      </c>
      <c r="K388" s="1" t="str">
        <f>TEXT(Employee_Sample_Data_1[[#This Row],[Hire Date]], "mmmm")</f>
        <v>October</v>
      </c>
      <c r="L388" s="1" t="str">
        <f>TEXT(Employee_Sample_Data_1[[#This Row],[Hire Date]], "yyyy")</f>
        <v>2022</v>
      </c>
      <c r="M388" s="2">
        <v>89164</v>
      </c>
      <c r="N388" s="3">
        <v>0</v>
      </c>
      <c r="O388" s="9">
        <f>PRODUCT(Employee_Sample_Data_1[[#This Row],[Annual Salary]],Employee_Sample_Data_1[[#This Row],[Bonus %]])</f>
        <v>0</v>
      </c>
      <c r="P388" s="2">
        <f>ROUND(Employee_Sample_Data_1[[#This Row],[Annual Salary]]*(1+Employee_Sample_Data_1[[#This Row],[Bonus %]]), 0)</f>
        <v>89164</v>
      </c>
      <c r="Q388" t="s">
        <v>21</v>
      </c>
      <c r="R388" t="s">
        <v>48</v>
      </c>
      <c r="T388">
        <f ca="1">DATEDIF(Employee_Sample_Data_1[[#This Row],[Hire Date]], IF(Employee_Sample_Data_1[[#This Row],[Exit Date]] = "", TODAY(), Employee_Sample_Data_1[[#This Row],[Exit Date]]), "Y")</f>
        <v>3</v>
      </c>
    </row>
    <row r="389" spans="1:20" x14ac:dyDescent="0.25">
      <c r="A389" t="s">
        <v>853</v>
      </c>
      <c r="B389" t="s">
        <v>854</v>
      </c>
      <c r="C389" t="s">
        <v>51</v>
      </c>
      <c r="D389" t="s">
        <v>26</v>
      </c>
      <c r="E389" t="s">
        <v>18</v>
      </c>
      <c r="F389" t="s">
        <v>39</v>
      </c>
      <c r="G389" t="s">
        <v>20</v>
      </c>
      <c r="H389">
        <v>35</v>
      </c>
      <c r="I389" s="1">
        <v>44497</v>
      </c>
      <c r="J389" s="1" t="str">
        <f>TEXT(Employee_Sample_Data_1[[#This Row],[Hire Date]], "dddd")</f>
        <v>Thursday</v>
      </c>
      <c r="K389" s="1" t="str">
        <f>TEXT(Employee_Sample_Data_1[[#This Row],[Hire Date]], "mmmm")</f>
        <v>October</v>
      </c>
      <c r="L389" s="1" t="str">
        <f>TEXT(Employee_Sample_Data_1[[#This Row],[Hire Date]], "yyyy")</f>
        <v>2021</v>
      </c>
      <c r="M389" s="2">
        <v>75602</v>
      </c>
      <c r="N389" s="3">
        <v>0</v>
      </c>
      <c r="O389" s="9">
        <f>PRODUCT(Employee_Sample_Data_1[[#This Row],[Annual Salary]],Employee_Sample_Data_1[[#This Row],[Bonus %]])</f>
        <v>0</v>
      </c>
      <c r="P389" s="2">
        <f>ROUND(Employee_Sample_Data_1[[#This Row],[Annual Salary]]*(1+Employee_Sample_Data_1[[#This Row],[Bonus %]]), 0)</f>
        <v>75602</v>
      </c>
      <c r="Q389" t="s">
        <v>21</v>
      </c>
      <c r="R389" t="s">
        <v>67</v>
      </c>
      <c r="T389">
        <f ca="1">DATEDIF(Employee_Sample_Data_1[[#This Row],[Hire Date]], IF(Employee_Sample_Data_1[[#This Row],[Exit Date]] = "", TODAY(), Employee_Sample_Data_1[[#This Row],[Exit Date]]), "Y")</f>
        <v>4</v>
      </c>
    </row>
    <row r="390" spans="1:20" x14ac:dyDescent="0.25">
      <c r="A390" t="s">
        <v>855</v>
      </c>
      <c r="B390" t="s">
        <v>856</v>
      </c>
      <c r="C390" t="s">
        <v>31</v>
      </c>
      <c r="D390" t="s">
        <v>32</v>
      </c>
      <c r="E390" t="s">
        <v>53</v>
      </c>
      <c r="F390" t="s">
        <v>19</v>
      </c>
      <c r="G390" t="s">
        <v>63</v>
      </c>
      <c r="H390">
        <v>44</v>
      </c>
      <c r="I390" s="1">
        <v>44240</v>
      </c>
      <c r="J390" s="1" t="str">
        <f>TEXT(Employee_Sample_Data_1[[#This Row],[Hire Date]], "dddd")</f>
        <v>Saturday</v>
      </c>
      <c r="K390" s="1" t="str">
        <f>TEXT(Employee_Sample_Data_1[[#This Row],[Hire Date]], "mmmm")</f>
        <v>February</v>
      </c>
      <c r="L390" s="1" t="str">
        <f>TEXT(Employee_Sample_Data_1[[#This Row],[Hire Date]], "yyyy")</f>
        <v>2021</v>
      </c>
      <c r="M390" s="2">
        <v>92939</v>
      </c>
      <c r="N390" s="3">
        <v>0</v>
      </c>
      <c r="O390" s="9">
        <f>PRODUCT(Employee_Sample_Data_1[[#This Row],[Annual Salary]],Employee_Sample_Data_1[[#This Row],[Bonus %]])</f>
        <v>0</v>
      </c>
      <c r="P390" s="2">
        <f>ROUND(Employee_Sample_Data_1[[#This Row],[Annual Salary]]*(1+Employee_Sample_Data_1[[#This Row],[Bonus %]]), 0)</f>
        <v>92939</v>
      </c>
      <c r="Q390" t="s">
        <v>21</v>
      </c>
      <c r="R390" t="s">
        <v>45</v>
      </c>
      <c r="T390">
        <f ca="1">DATEDIF(Employee_Sample_Data_1[[#This Row],[Hire Date]], IF(Employee_Sample_Data_1[[#This Row],[Exit Date]] = "", TODAY(), Employee_Sample_Data_1[[#This Row],[Exit Date]]), "Y")</f>
        <v>5</v>
      </c>
    </row>
    <row r="391" spans="1:20" x14ac:dyDescent="0.25">
      <c r="A391" t="s">
        <v>857</v>
      </c>
      <c r="B391" t="s">
        <v>858</v>
      </c>
      <c r="C391" t="s">
        <v>57</v>
      </c>
      <c r="D391" t="s">
        <v>77</v>
      </c>
      <c r="E391" t="s">
        <v>53</v>
      </c>
      <c r="F391" t="s">
        <v>39</v>
      </c>
      <c r="G391" t="s">
        <v>81</v>
      </c>
      <c r="H391">
        <v>26</v>
      </c>
      <c r="I391" s="1">
        <v>43979</v>
      </c>
      <c r="J391" s="1" t="str">
        <f>TEXT(Employee_Sample_Data_1[[#This Row],[Hire Date]], "dddd")</f>
        <v>Thursday</v>
      </c>
      <c r="K391" s="1" t="str">
        <f>TEXT(Employee_Sample_Data_1[[#This Row],[Hire Date]], "mmmm")</f>
        <v>May</v>
      </c>
      <c r="L391" s="1" t="str">
        <f>TEXT(Employee_Sample_Data_1[[#This Row],[Hire Date]], "yyyy")</f>
        <v>2020</v>
      </c>
      <c r="M391" s="2">
        <v>64278</v>
      </c>
      <c r="N391" s="3">
        <v>0</v>
      </c>
      <c r="O391" s="9">
        <f>PRODUCT(Employee_Sample_Data_1[[#This Row],[Annual Salary]],Employee_Sample_Data_1[[#This Row],[Bonus %]])</f>
        <v>0</v>
      </c>
      <c r="P391" s="2">
        <f>ROUND(Employee_Sample_Data_1[[#This Row],[Annual Salary]]*(1+Employee_Sample_Data_1[[#This Row],[Bonus %]]), 0)</f>
        <v>64278</v>
      </c>
      <c r="Q391" t="s">
        <v>21</v>
      </c>
      <c r="R391" t="s">
        <v>22</v>
      </c>
      <c r="T391">
        <f ca="1">DATEDIF(Employee_Sample_Data_1[[#This Row],[Hire Date]], IF(Employee_Sample_Data_1[[#This Row],[Exit Date]] = "", TODAY(), Employee_Sample_Data_1[[#This Row],[Exit Date]]), "Y")</f>
        <v>6</v>
      </c>
    </row>
    <row r="392" spans="1:20" x14ac:dyDescent="0.25">
      <c r="A392" t="s">
        <v>859</v>
      </c>
      <c r="B392" t="s">
        <v>860</v>
      </c>
      <c r="C392" t="s">
        <v>224</v>
      </c>
      <c r="D392" t="s">
        <v>32</v>
      </c>
      <c r="E392" t="s">
        <v>33</v>
      </c>
      <c r="F392" t="s">
        <v>39</v>
      </c>
      <c r="G392" t="s">
        <v>40</v>
      </c>
      <c r="H392">
        <v>44</v>
      </c>
      <c r="I392" s="1">
        <v>41551</v>
      </c>
      <c r="J392" s="1" t="str">
        <f>TEXT(Employee_Sample_Data_1[[#This Row],[Hire Date]], "dddd")</f>
        <v>Friday</v>
      </c>
      <c r="K392" s="1" t="str">
        <f>TEXT(Employee_Sample_Data_1[[#This Row],[Hire Date]], "mmmm")</f>
        <v>October</v>
      </c>
      <c r="L392" s="1" t="str">
        <f>TEXT(Employee_Sample_Data_1[[#This Row],[Hire Date]], "yyyy")</f>
        <v>2013</v>
      </c>
      <c r="M392" s="2">
        <v>72176</v>
      </c>
      <c r="N392" s="3">
        <v>0</v>
      </c>
      <c r="O392" s="9">
        <f>PRODUCT(Employee_Sample_Data_1[[#This Row],[Annual Salary]],Employee_Sample_Data_1[[#This Row],[Bonus %]])</f>
        <v>0</v>
      </c>
      <c r="P392" s="2">
        <f>ROUND(Employee_Sample_Data_1[[#This Row],[Annual Salary]]*(1+Employee_Sample_Data_1[[#This Row],[Bonus %]]), 0)</f>
        <v>72176</v>
      </c>
      <c r="Q392" t="s">
        <v>134</v>
      </c>
      <c r="R392" t="s">
        <v>135</v>
      </c>
      <c r="T392">
        <f ca="1">DATEDIF(Employee_Sample_Data_1[[#This Row],[Hire Date]], IF(Employee_Sample_Data_1[[#This Row],[Exit Date]] = "", TODAY(), Employee_Sample_Data_1[[#This Row],[Exit Date]]), "Y")</f>
        <v>12</v>
      </c>
    </row>
    <row r="393" spans="1:20" x14ac:dyDescent="0.25">
      <c r="A393" t="s">
        <v>861</v>
      </c>
      <c r="B393" t="s">
        <v>862</v>
      </c>
      <c r="C393" t="s">
        <v>177</v>
      </c>
      <c r="D393" t="s">
        <v>32</v>
      </c>
      <c r="E393" t="s">
        <v>27</v>
      </c>
      <c r="F393" t="s">
        <v>39</v>
      </c>
      <c r="G393" t="s">
        <v>63</v>
      </c>
      <c r="H393">
        <v>61</v>
      </c>
      <c r="I393" s="1">
        <v>40214</v>
      </c>
      <c r="J393" s="1" t="str">
        <f>TEXT(Employee_Sample_Data_1[[#This Row],[Hire Date]], "dddd")</f>
        <v>Friday</v>
      </c>
      <c r="K393" s="1" t="str">
        <f>TEXT(Employee_Sample_Data_1[[#This Row],[Hire Date]], "mmmm")</f>
        <v>February</v>
      </c>
      <c r="L393" s="1" t="str">
        <f>TEXT(Employee_Sample_Data_1[[#This Row],[Hire Date]], "yyyy")</f>
        <v>2010</v>
      </c>
      <c r="M393" s="2">
        <v>87758</v>
      </c>
      <c r="N393" s="3">
        <v>0.09</v>
      </c>
      <c r="O393" s="9">
        <f>PRODUCT(Employee_Sample_Data_1[[#This Row],[Annual Salary]],Employee_Sample_Data_1[[#This Row],[Bonus %]])</f>
        <v>7898.2199999999993</v>
      </c>
      <c r="P393" s="2">
        <f>ROUND(Employee_Sample_Data_1[[#This Row],[Annual Salary]]*(1+Employee_Sample_Data_1[[#This Row],[Bonus %]]), 0)</f>
        <v>95656</v>
      </c>
      <c r="Q393" t="s">
        <v>21</v>
      </c>
      <c r="R393" t="s">
        <v>41</v>
      </c>
      <c r="T393">
        <f ca="1">DATEDIF(Employee_Sample_Data_1[[#This Row],[Hire Date]], IF(Employee_Sample_Data_1[[#This Row],[Exit Date]] = "", TODAY(), Employee_Sample_Data_1[[#This Row],[Exit Date]]), "Y")</f>
        <v>16</v>
      </c>
    </row>
    <row r="394" spans="1:20" x14ac:dyDescent="0.25">
      <c r="A394" t="s">
        <v>863</v>
      </c>
      <c r="B394" t="s">
        <v>864</v>
      </c>
      <c r="C394" t="s">
        <v>57</v>
      </c>
      <c r="D394" t="s">
        <v>52</v>
      </c>
      <c r="E394" t="s">
        <v>27</v>
      </c>
      <c r="F394" t="s">
        <v>19</v>
      </c>
      <c r="G394" t="s">
        <v>20</v>
      </c>
      <c r="H394">
        <v>50</v>
      </c>
      <c r="I394" s="1">
        <v>37408</v>
      </c>
      <c r="J394" s="1" t="str">
        <f>TEXT(Employee_Sample_Data_1[[#This Row],[Hire Date]], "dddd")</f>
        <v>Saturday</v>
      </c>
      <c r="K394" s="1" t="str">
        <f>TEXT(Employee_Sample_Data_1[[#This Row],[Hire Date]], "mmmm")</f>
        <v>June</v>
      </c>
      <c r="L394" s="1" t="str">
        <f>TEXT(Employee_Sample_Data_1[[#This Row],[Hire Date]], "yyyy")</f>
        <v>2002</v>
      </c>
      <c r="M394" s="2">
        <v>54646</v>
      </c>
      <c r="N394" s="3">
        <v>0</v>
      </c>
      <c r="O394" s="9">
        <f>PRODUCT(Employee_Sample_Data_1[[#This Row],[Annual Salary]],Employee_Sample_Data_1[[#This Row],[Bonus %]])</f>
        <v>0</v>
      </c>
      <c r="P394" s="2">
        <f>ROUND(Employee_Sample_Data_1[[#This Row],[Annual Salary]]*(1+Employee_Sample_Data_1[[#This Row],[Bonus %]]), 0)</f>
        <v>54646</v>
      </c>
      <c r="Q394" t="s">
        <v>21</v>
      </c>
      <c r="R394" t="s">
        <v>41</v>
      </c>
      <c r="T394">
        <f ca="1">DATEDIF(Employee_Sample_Data_1[[#This Row],[Hire Date]], IF(Employee_Sample_Data_1[[#This Row],[Exit Date]] = "", TODAY(), Employee_Sample_Data_1[[#This Row],[Exit Date]]), "Y")</f>
        <v>24</v>
      </c>
    </row>
    <row r="395" spans="1:20" x14ac:dyDescent="0.25">
      <c r="A395" t="s">
        <v>865</v>
      </c>
      <c r="B395" t="s">
        <v>866</v>
      </c>
      <c r="C395" t="s">
        <v>244</v>
      </c>
      <c r="D395" t="s">
        <v>123</v>
      </c>
      <c r="E395" t="s">
        <v>27</v>
      </c>
      <c r="F395" t="s">
        <v>19</v>
      </c>
      <c r="G395" t="s">
        <v>40</v>
      </c>
      <c r="H395">
        <v>61</v>
      </c>
      <c r="I395" s="1">
        <v>40569</v>
      </c>
      <c r="J395" s="1" t="str">
        <f>TEXT(Employee_Sample_Data_1[[#This Row],[Hire Date]], "dddd")</f>
        <v>Wednesday</v>
      </c>
      <c r="K395" s="1" t="str">
        <f>TEXT(Employee_Sample_Data_1[[#This Row],[Hire Date]], "mmmm")</f>
        <v>January</v>
      </c>
      <c r="L395" s="1" t="str">
        <f>TEXT(Employee_Sample_Data_1[[#This Row],[Hire Date]], "yyyy")</f>
        <v>2011</v>
      </c>
      <c r="M395" s="2">
        <v>73323</v>
      </c>
      <c r="N395" s="3">
        <v>0</v>
      </c>
      <c r="O395" s="9">
        <f>PRODUCT(Employee_Sample_Data_1[[#This Row],[Annual Salary]],Employee_Sample_Data_1[[#This Row],[Bonus %]])</f>
        <v>0</v>
      </c>
      <c r="P395" s="2">
        <f>ROUND(Employee_Sample_Data_1[[#This Row],[Annual Salary]]*(1+Employee_Sample_Data_1[[#This Row],[Bonus %]]), 0)</f>
        <v>73323</v>
      </c>
      <c r="Q395" t="s">
        <v>21</v>
      </c>
      <c r="R395" t="s">
        <v>45</v>
      </c>
      <c r="T395">
        <f ca="1">DATEDIF(Employee_Sample_Data_1[[#This Row],[Hire Date]], IF(Employee_Sample_Data_1[[#This Row],[Exit Date]] = "", TODAY(), Employee_Sample_Data_1[[#This Row],[Exit Date]]), "Y")</f>
        <v>15</v>
      </c>
    </row>
    <row r="396" spans="1:20" x14ac:dyDescent="0.25">
      <c r="A396" t="s">
        <v>867</v>
      </c>
      <c r="B396" t="s">
        <v>868</v>
      </c>
      <c r="C396" t="s">
        <v>44</v>
      </c>
      <c r="D396" t="s">
        <v>77</v>
      </c>
      <c r="E396" t="s">
        <v>53</v>
      </c>
      <c r="F396" t="s">
        <v>39</v>
      </c>
      <c r="G396" t="s">
        <v>63</v>
      </c>
      <c r="H396">
        <v>29</v>
      </c>
      <c r="I396" s="1">
        <v>44203</v>
      </c>
      <c r="J396" s="1" t="str">
        <f>TEXT(Employee_Sample_Data_1[[#This Row],[Hire Date]], "dddd")</f>
        <v>Thursday</v>
      </c>
      <c r="K396" s="1" t="str">
        <f>TEXT(Employee_Sample_Data_1[[#This Row],[Hire Date]], "mmmm")</f>
        <v>January</v>
      </c>
      <c r="L396" s="1" t="str">
        <f>TEXT(Employee_Sample_Data_1[[#This Row],[Hire Date]], "yyyy")</f>
        <v>2021</v>
      </c>
      <c r="M396" s="2">
        <v>151492</v>
      </c>
      <c r="N396" s="3">
        <v>0.21</v>
      </c>
      <c r="O396" s="9">
        <f>PRODUCT(Employee_Sample_Data_1[[#This Row],[Annual Salary]],Employee_Sample_Data_1[[#This Row],[Bonus %]])</f>
        <v>31813.32</v>
      </c>
      <c r="P396" s="2">
        <f>ROUND(Employee_Sample_Data_1[[#This Row],[Annual Salary]]*(1+Employee_Sample_Data_1[[#This Row],[Bonus %]]), 0)</f>
        <v>183305</v>
      </c>
      <c r="Q396" t="s">
        <v>21</v>
      </c>
      <c r="R396" t="s">
        <v>22</v>
      </c>
      <c r="T396">
        <f ca="1">DATEDIF(Employee_Sample_Data_1[[#This Row],[Hire Date]], IF(Employee_Sample_Data_1[[#This Row],[Exit Date]] = "", TODAY(), Employee_Sample_Data_1[[#This Row],[Exit Date]]), "Y")</f>
        <v>5</v>
      </c>
    </row>
    <row r="397" spans="1:20" x14ac:dyDescent="0.25">
      <c r="A397" t="s">
        <v>869</v>
      </c>
      <c r="B397" t="s">
        <v>870</v>
      </c>
      <c r="C397" t="s">
        <v>80</v>
      </c>
      <c r="D397" t="s">
        <v>58</v>
      </c>
      <c r="E397" t="s">
        <v>27</v>
      </c>
      <c r="F397" t="s">
        <v>19</v>
      </c>
      <c r="G397" t="s">
        <v>40</v>
      </c>
      <c r="H397">
        <v>42</v>
      </c>
      <c r="I397" s="1">
        <v>38712</v>
      </c>
      <c r="J397" s="1" t="str">
        <f>TEXT(Employee_Sample_Data_1[[#This Row],[Hire Date]], "dddd")</f>
        <v>Monday</v>
      </c>
      <c r="K397" s="1" t="str">
        <f>TEXT(Employee_Sample_Data_1[[#This Row],[Hire Date]], "mmmm")</f>
        <v>December</v>
      </c>
      <c r="L397" s="1" t="str">
        <f>TEXT(Employee_Sample_Data_1[[#This Row],[Hire Date]], "yyyy")</f>
        <v>2005</v>
      </c>
      <c r="M397" s="2">
        <v>138215</v>
      </c>
      <c r="N397" s="3">
        <v>0.12</v>
      </c>
      <c r="O397" s="9">
        <f>PRODUCT(Employee_Sample_Data_1[[#This Row],[Annual Salary]],Employee_Sample_Data_1[[#This Row],[Bonus %]])</f>
        <v>16585.8</v>
      </c>
      <c r="P397" s="2">
        <f>ROUND(Employee_Sample_Data_1[[#This Row],[Annual Salary]]*(1+Employee_Sample_Data_1[[#This Row],[Bonus %]]), 0)</f>
        <v>154801</v>
      </c>
      <c r="Q397" t="s">
        <v>134</v>
      </c>
      <c r="R397" t="s">
        <v>286</v>
      </c>
      <c r="T397">
        <f ca="1">DATEDIF(Employee_Sample_Data_1[[#This Row],[Hire Date]], IF(Employee_Sample_Data_1[[#This Row],[Exit Date]] = "", TODAY(), Employee_Sample_Data_1[[#This Row],[Exit Date]]), "Y")</f>
        <v>20</v>
      </c>
    </row>
    <row r="398" spans="1:20" x14ac:dyDescent="0.25">
      <c r="A398" t="s">
        <v>871</v>
      </c>
      <c r="B398" t="s">
        <v>872</v>
      </c>
      <c r="C398" t="s">
        <v>80</v>
      </c>
      <c r="D398" t="s">
        <v>58</v>
      </c>
      <c r="E398" t="s">
        <v>53</v>
      </c>
      <c r="F398" t="s">
        <v>39</v>
      </c>
      <c r="G398" t="s">
        <v>81</v>
      </c>
      <c r="H398">
        <v>51</v>
      </c>
      <c r="I398" s="1">
        <v>41458</v>
      </c>
      <c r="J398" s="1" t="str">
        <f>TEXT(Employee_Sample_Data_1[[#This Row],[Hire Date]], "dddd")</f>
        <v>Wednesday</v>
      </c>
      <c r="K398" s="1" t="str">
        <f>TEXT(Employee_Sample_Data_1[[#This Row],[Hire Date]], "mmmm")</f>
        <v>July</v>
      </c>
      <c r="L398" s="1" t="str">
        <f>TEXT(Employee_Sample_Data_1[[#This Row],[Hire Date]], "yyyy")</f>
        <v>2013</v>
      </c>
      <c r="M398" s="2">
        <v>135578</v>
      </c>
      <c r="N398" s="3">
        <v>0.1</v>
      </c>
      <c r="O398" s="9">
        <f>PRODUCT(Employee_Sample_Data_1[[#This Row],[Annual Salary]],Employee_Sample_Data_1[[#This Row],[Bonus %]])</f>
        <v>13557.800000000001</v>
      </c>
      <c r="P398" s="2">
        <f>ROUND(Employee_Sample_Data_1[[#This Row],[Annual Salary]]*(1+Employee_Sample_Data_1[[#This Row],[Bonus %]]), 0)</f>
        <v>149136</v>
      </c>
      <c r="Q398" t="s">
        <v>21</v>
      </c>
      <c r="R398" t="s">
        <v>67</v>
      </c>
      <c r="S398" s="1">
        <v>43287</v>
      </c>
      <c r="T398">
        <f ca="1">DATEDIF(Employee_Sample_Data_1[[#This Row],[Hire Date]], IF(Employee_Sample_Data_1[[#This Row],[Exit Date]] = "", TODAY(), Employee_Sample_Data_1[[#This Row],[Exit Date]]), "Y")</f>
        <v>5</v>
      </c>
    </row>
    <row r="399" spans="1:20" x14ac:dyDescent="0.25">
      <c r="A399" t="s">
        <v>873</v>
      </c>
      <c r="B399" t="s">
        <v>874</v>
      </c>
      <c r="C399" t="s">
        <v>131</v>
      </c>
      <c r="D399" t="s">
        <v>17</v>
      </c>
      <c r="E399" t="s">
        <v>33</v>
      </c>
      <c r="F399" t="s">
        <v>39</v>
      </c>
      <c r="G399" t="s">
        <v>40</v>
      </c>
      <c r="H399">
        <v>27</v>
      </c>
      <c r="I399" s="1">
        <v>43801</v>
      </c>
      <c r="J399" s="1" t="str">
        <f>TEXT(Employee_Sample_Data_1[[#This Row],[Hire Date]], "dddd")</f>
        <v>Monday</v>
      </c>
      <c r="K399" s="1" t="str">
        <f>TEXT(Employee_Sample_Data_1[[#This Row],[Hire Date]], "mmmm")</f>
        <v>December</v>
      </c>
      <c r="L399" s="1" t="str">
        <f>TEXT(Employee_Sample_Data_1[[#This Row],[Hire Date]], "yyyy")</f>
        <v>2019</v>
      </c>
      <c r="M399" s="2">
        <v>64297</v>
      </c>
      <c r="N399" s="3">
        <v>0</v>
      </c>
      <c r="O399" s="9">
        <f>PRODUCT(Employee_Sample_Data_1[[#This Row],[Annual Salary]],Employee_Sample_Data_1[[#This Row],[Bonus %]])</f>
        <v>0</v>
      </c>
      <c r="P399" s="2">
        <f>ROUND(Employee_Sample_Data_1[[#This Row],[Annual Salary]]*(1+Employee_Sample_Data_1[[#This Row],[Bonus %]]), 0)</f>
        <v>64297</v>
      </c>
      <c r="Q399" t="s">
        <v>134</v>
      </c>
      <c r="R399" t="s">
        <v>286</v>
      </c>
      <c r="T399">
        <f ca="1">DATEDIF(Employee_Sample_Data_1[[#This Row],[Hire Date]], IF(Employee_Sample_Data_1[[#This Row],[Exit Date]] = "", TODAY(), Employee_Sample_Data_1[[#This Row],[Exit Date]]), "Y")</f>
        <v>6</v>
      </c>
    </row>
    <row r="400" spans="1:20" x14ac:dyDescent="0.25">
      <c r="A400" t="s">
        <v>875</v>
      </c>
      <c r="B400" t="s">
        <v>876</v>
      </c>
      <c r="C400" t="s">
        <v>405</v>
      </c>
      <c r="D400" t="s">
        <v>17</v>
      </c>
      <c r="E400" t="s">
        <v>27</v>
      </c>
      <c r="F400" t="s">
        <v>19</v>
      </c>
      <c r="G400" t="s">
        <v>63</v>
      </c>
      <c r="H400">
        <v>52</v>
      </c>
      <c r="I400" s="1">
        <v>44375</v>
      </c>
      <c r="J400" s="1" t="str">
        <f>TEXT(Employee_Sample_Data_1[[#This Row],[Hire Date]], "dddd")</f>
        <v>Monday</v>
      </c>
      <c r="K400" s="1" t="str">
        <f>TEXT(Employee_Sample_Data_1[[#This Row],[Hire Date]], "mmmm")</f>
        <v>June</v>
      </c>
      <c r="L400" s="1" t="str">
        <f>TEXT(Employee_Sample_Data_1[[#This Row],[Hire Date]], "yyyy")</f>
        <v>2021</v>
      </c>
      <c r="M400" s="2">
        <v>94857</v>
      </c>
      <c r="N400" s="3">
        <v>0</v>
      </c>
      <c r="O400" s="9">
        <f>PRODUCT(Employee_Sample_Data_1[[#This Row],[Annual Salary]],Employee_Sample_Data_1[[#This Row],[Bonus %]])</f>
        <v>0</v>
      </c>
      <c r="P400" s="2">
        <f>ROUND(Employee_Sample_Data_1[[#This Row],[Annual Salary]]*(1+Employee_Sample_Data_1[[#This Row],[Bonus %]]), 0)</f>
        <v>94857</v>
      </c>
      <c r="Q400" t="s">
        <v>21</v>
      </c>
      <c r="R400" t="s">
        <v>67</v>
      </c>
      <c r="S400" s="1">
        <v>44969</v>
      </c>
      <c r="T400">
        <f ca="1">DATEDIF(Employee_Sample_Data_1[[#This Row],[Hire Date]], IF(Employee_Sample_Data_1[[#This Row],[Exit Date]] = "", TODAY(), Employee_Sample_Data_1[[#This Row],[Exit Date]]), "Y")</f>
        <v>1</v>
      </c>
    </row>
    <row r="401" spans="1:20" x14ac:dyDescent="0.25">
      <c r="A401" t="s">
        <v>877</v>
      </c>
      <c r="B401" t="s">
        <v>878</v>
      </c>
      <c r="C401" t="s">
        <v>405</v>
      </c>
      <c r="D401" t="s">
        <v>17</v>
      </c>
      <c r="E401" t="s">
        <v>33</v>
      </c>
      <c r="F401" t="s">
        <v>19</v>
      </c>
      <c r="G401" t="s">
        <v>20</v>
      </c>
      <c r="H401">
        <v>58</v>
      </c>
      <c r="I401" s="1">
        <v>40110</v>
      </c>
      <c r="J401" s="1" t="str">
        <f>TEXT(Employee_Sample_Data_1[[#This Row],[Hire Date]], "dddd")</f>
        <v>Saturday</v>
      </c>
      <c r="K401" s="1" t="str">
        <f>TEXT(Employee_Sample_Data_1[[#This Row],[Hire Date]], "mmmm")</f>
        <v>October</v>
      </c>
      <c r="L401" s="1" t="str">
        <f>TEXT(Employee_Sample_Data_1[[#This Row],[Hire Date]], "yyyy")</f>
        <v>2009</v>
      </c>
      <c r="M401" s="2">
        <v>77196</v>
      </c>
      <c r="N401" s="3">
        <v>0</v>
      </c>
      <c r="O401" s="9">
        <f>PRODUCT(Employee_Sample_Data_1[[#This Row],[Annual Salary]],Employee_Sample_Data_1[[#This Row],[Bonus %]])</f>
        <v>0</v>
      </c>
      <c r="P401" s="2">
        <f>ROUND(Employee_Sample_Data_1[[#This Row],[Annual Salary]]*(1+Employee_Sample_Data_1[[#This Row],[Bonus %]]), 0)</f>
        <v>77196</v>
      </c>
      <c r="Q401" t="s">
        <v>21</v>
      </c>
      <c r="R401" t="s">
        <v>45</v>
      </c>
      <c r="T401">
        <f ca="1">DATEDIF(Employee_Sample_Data_1[[#This Row],[Hire Date]], IF(Employee_Sample_Data_1[[#This Row],[Exit Date]] = "", TODAY(), Employee_Sample_Data_1[[#This Row],[Exit Date]]), "Y")</f>
        <v>16</v>
      </c>
    </row>
    <row r="402" spans="1:20" x14ac:dyDescent="0.25">
      <c r="A402" t="s">
        <v>879</v>
      </c>
      <c r="B402" t="s">
        <v>880</v>
      </c>
      <c r="C402" t="s">
        <v>44</v>
      </c>
      <c r="D402" t="s">
        <v>26</v>
      </c>
      <c r="E402" t="s">
        <v>33</v>
      </c>
      <c r="F402" t="s">
        <v>39</v>
      </c>
      <c r="G402" t="s">
        <v>40</v>
      </c>
      <c r="H402">
        <v>45</v>
      </c>
      <c r="I402" s="1">
        <v>37615</v>
      </c>
      <c r="J402" s="1" t="str">
        <f>TEXT(Employee_Sample_Data_1[[#This Row],[Hire Date]], "dddd")</f>
        <v>Wednesday</v>
      </c>
      <c r="K402" s="1" t="str">
        <f>TEXT(Employee_Sample_Data_1[[#This Row],[Hire Date]], "mmmm")</f>
        <v>December</v>
      </c>
      <c r="L402" s="1" t="str">
        <f>TEXT(Employee_Sample_Data_1[[#This Row],[Hire Date]], "yyyy")</f>
        <v>2002</v>
      </c>
      <c r="M402" s="2">
        <v>193154</v>
      </c>
      <c r="N402" s="3">
        <v>0.18</v>
      </c>
      <c r="O402" s="9">
        <f>PRODUCT(Employee_Sample_Data_1[[#This Row],[Annual Salary]],Employee_Sample_Data_1[[#This Row],[Bonus %]])</f>
        <v>34767.72</v>
      </c>
      <c r="P402" s="2">
        <f>ROUND(Employee_Sample_Data_1[[#This Row],[Annual Salary]]*(1+Employee_Sample_Data_1[[#This Row],[Bonus %]]), 0)</f>
        <v>227922</v>
      </c>
      <c r="Q402" t="s">
        <v>134</v>
      </c>
      <c r="R402" t="s">
        <v>180</v>
      </c>
      <c r="T402">
        <f ca="1">DATEDIF(Employee_Sample_Data_1[[#This Row],[Hire Date]], IF(Employee_Sample_Data_1[[#This Row],[Exit Date]] = "", TODAY(), Employee_Sample_Data_1[[#This Row],[Exit Date]]), "Y")</f>
        <v>23</v>
      </c>
    </row>
    <row r="403" spans="1:20" x14ac:dyDescent="0.25">
      <c r="A403" t="s">
        <v>881</v>
      </c>
      <c r="B403" t="s">
        <v>882</v>
      </c>
      <c r="C403" t="s">
        <v>66</v>
      </c>
      <c r="D403" t="s">
        <v>123</v>
      </c>
      <c r="E403" t="s">
        <v>53</v>
      </c>
      <c r="F403" t="s">
        <v>19</v>
      </c>
      <c r="G403" t="s">
        <v>81</v>
      </c>
      <c r="H403">
        <v>28</v>
      </c>
      <c r="I403" s="1">
        <v>43828</v>
      </c>
      <c r="J403" s="1" t="str">
        <f>TEXT(Employee_Sample_Data_1[[#This Row],[Hire Date]], "dddd")</f>
        <v>Sunday</v>
      </c>
      <c r="K403" s="1" t="str">
        <f>TEXT(Employee_Sample_Data_1[[#This Row],[Hire Date]], "mmmm")</f>
        <v>December</v>
      </c>
      <c r="L403" s="1" t="str">
        <f>TEXT(Employee_Sample_Data_1[[#This Row],[Hire Date]], "yyyy")</f>
        <v>2019</v>
      </c>
      <c r="M403" s="2">
        <v>115916</v>
      </c>
      <c r="N403" s="3">
        <v>0.09</v>
      </c>
      <c r="O403" s="9">
        <f>PRODUCT(Employee_Sample_Data_1[[#This Row],[Annual Salary]],Employee_Sample_Data_1[[#This Row],[Bonus %]])</f>
        <v>10432.44</v>
      </c>
      <c r="P403" s="2">
        <f>ROUND(Employee_Sample_Data_1[[#This Row],[Annual Salary]]*(1+Employee_Sample_Data_1[[#This Row],[Bonus %]]), 0)</f>
        <v>126348</v>
      </c>
      <c r="Q403" t="s">
        <v>21</v>
      </c>
      <c r="R403" t="s">
        <v>28</v>
      </c>
      <c r="T403">
        <f ca="1">DATEDIF(Employee_Sample_Data_1[[#This Row],[Hire Date]], IF(Employee_Sample_Data_1[[#This Row],[Exit Date]] = "", TODAY(), Employee_Sample_Data_1[[#This Row],[Exit Date]]), "Y")</f>
        <v>6</v>
      </c>
    </row>
    <row r="404" spans="1:20" x14ac:dyDescent="0.25">
      <c r="A404" t="s">
        <v>883</v>
      </c>
      <c r="B404" t="s">
        <v>884</v>
      </c>
      <c r="C404" t="s">
        <v>86</v>
      </c>
      <c r="D404" t="s">
        <v>52</v>
      </c>
      <c r="E404" t="s">
        <v>18</v>
      </c>
      <c r="F404" t="s">
        <v>19</v>
      </c>
      <c r="G404" t="s">
        <v>63</v>
      </c>
      <c r="H404">
        <v>56</v>
      </c>
      <c r="I404" s="1">
        <v>42449</v>
      </c>
      <c r="J404" s="1" t="str">
        <f>TEXT(Employee_Sample_Data_1[[#This Row],[Hire Date]], "dddd")</f>
        <v>Sunday</v>
      </c>
      <c r="K404" s="1" t="str">
        <f>TEXT(Employee_Sample_Data_1[[#This Row],[Hire Date]], "mmmm")</f>
        <v>March</v>
      </c>
      <c r="L404" s="1" t="str">
        <f>TEXT(Employee_Sample_Data_1[[#This Row],[Hire Date]], "yyyy")</f>
        <v>2016</v>
      </c>
      <c r="M404" s="2">
        <v>192374</v>
      </c>
      <c r="N404" s="3">
        <v>0.3</v>
      </c>
      <c r="O404" s="9">
        <f>PRODUCT(Employee_Sample_Data_1[[#This Row],[Annual Salary]],Employee_Sample_Data_1[[#This Row],[Bonus %]])</f>
        <v>57712.2</v>
      </c>
      <c r="P404" s="2">
        <f>ROUND(Employee_Sample_Data_1[[#This Row],[Annual Salary]]*(1+Employee_Sample_Data_1[[#This Row],[Bonus %]]), 0)</f>
        <v>250086</v>
      </c>
      <c r="Q404" t="s">
        <v>21</v>
      </c>
      <c r="R404" t="s">
        <v>28</v>
      </c>
      <c r="T404">
        <f ca="1">DATEDIF(Employee_Sample_Data_1[[#This Row],[Hire Date]], IF(Employee_Sample_Data_1[[#This Row],[Exit Date]] = "", TODAY(), Employee_Sample_Data_1[[#This Row],[Exit Date]]), "Y")</f>
        <v>10</v>
      </c>
    </row>
    <row r="405" spans="1:20" x14ac:dyDescent="0.25">
      <c r="A405" t="s">
        <v>885</v>
      </c>
      <c r="B405" t="s">
        <v>886</v>
      </c>
      <c r="C405" t="s">
        <v>44</v>
      </c>
      <c r="D405" t="s">
        <v>123</v>
      </c>
      <c r="E405" t="s">
        <v>53</v>
      </c>
      <c r="F405" t="s">
        <v>19</v>
      </c>
      <c r="G405" t="s">
        <v>63</v>
      </c>
      <c r="H405">
        <v>32</v>
      </c>
      <c r="I405" s="1">
        <v>43661</v>
      </c>
      <c r="J405" s="1" t="str">
        <f>TEXT(Employee_Sample_Data_1[[#This Row],[Hire Date]], "dddd")</f>
        <v>Monday</v>
      </c>
      <c r="K405" s="1" t="str">
        <f>TEXT(Employee_Sample_Data_1[[#This Row],[Hire Date]], "mmmm")</f>
        <v>July</v>
      </c>
      <c r="L405" s="1" t="str">
        <f>TEXT(Employee_Sample_Data_1[[#This Row],[Hire Date]], "yyyy")</f>
        <v>2019</v>
      </c>
      <c r="M405" s="2">
        <v>186869</v>
      </c>
      <c r="N405" s="3">
        <v>0.16</v>
      </c>
      <c r="O405" s="9">
        <f>PRODUCT(Employee_Sample_Data_1[[#This Row],[Annual Salary]],Employee_Sample_Data_1[[#This Row],[Bonus %]])</f>
        <v>29899.040000000001</v>
      </c>
      <c r="P405" s="2">
        <f>ROUND(Employee_Sample_Data_1[[#This Row],[Annual Salary]]*(1+Employee_Sample_Data_1[[#This Row],[Bonus %]]), 0)</f>
        <v>216768</v>
      </c>
      <c r="Q405" t="s">
        <v>21</v>
      </c>
      <c r="R405" t="s">
        <v>67</v>
      </c>
      <c r="T405">
        <f ca="1">DATEDIF(Employee_Sample_Data_1[[#This Row],[Hire Date]], IF(Employee_Sample_Data_1[[#This Row],[Exit Date]] = "", TODAY(), Employee_Sample_Data_1[[#This Row],[Exit Date]]), "Y")</f>
        <v>6</v>
      </c>
    </row>
    <row r="406" spans="1:20" x14ac:dyDescent="0.25">
      <c r="A406" t="s">
        <v>887</v>
      </c>
      <c r="B406" t="s">
        <v>888</v>
      </c>
      <c r="C406" t="s">
        <v>128</v>
      </c>
      <c r="D406" t="s">
        <v>123</v>
      </c>
      <c r="E406" t="s">
        <v>18</v>
      </c>
      <c r="F406" t="s">
        <v>39</v>
      </c>
      <c r="G406" t="s">
        <v>40</v>
      </c>
      <c r="H406">
        <v>58</v>
      </c>
      <c r="I406" s="1">
        <v>34100</v>
      </c>
      <c r="J406" s="1" t="str">
        <f>TEXT(Employee_Sample_Data_1[[#This Row],[Hire Date]], "dddd")</f>
        <v>Tuesday</v>
      </c>
      <c r="K406" s="1" t="str">
        <f>TEXT(Employee_Sample_Data_1[[#This Row],[Hire Date]], "mmmm")</f>
        <v>May</v>
      </c>
      <c r="L406" s="1" t="str">
        <f>TEXT(Employee_Sample_Data_1[[#This Row],[Hire Date]], "yyyy")</f>
        <v>1993</v>
      </c>
      <c r="M406" s="2">
        <v>49293</v>
      </c>
      <c r="N406" s="3">
        <v>0</v>
      </c>
      <c r="O406" s="9">
        <f>PRODUCT(Employee_Sample_Data_1[[#This Row],[Annual Salary]],Employee_Sample_Data_1[[#This Row],[Bonus %]])</f>
        <v>0</v>
      </c>
      <c r="P406" s="2">
        <f>ROUND(Employee_Sample_Data_1[[#This Row],[Annual Salary]]*(1+Employee_Sample_Data_1[[#This Row],[Bonus %]]), 0)</f>
        <v>49293</v>
      </c>
      <c r="Q406" t="s">
        <v>21</v>
      </c>
      <c r="R406" t="s">
        <v>22</v>
      </c>
      <c r="T406">
        <f ca="1">DATEDIF(Employee_Sample_Data_1[[#This Row],[Hire Date]], IF(Employee_Sample_Data_1[[#This Row],[Exit Date]] = "", TODAY(), Employee_Sample_Data_1[[#This Row],[Exit Date]]), "Y")</f>
        <v>33</v>
      </c>
    </row>
    <row r="407" spans="1:20" x14ac:dyDescent="0.25">
      <c r="A407" t="s">
        <v>889</v>
      </c>
      <c r="B407" t="s">
        <v>890</v>
      </c>
      <c r="C407" t="s">
        <v>66</v>
      </c>
      <c r="D407" t="s">
        <v>123</v>
      </c>
      <c r="E407" t="s">
        <v>33</v>
      </c>
      <c r="F407" t="s">
        <v>39</v>
      </c>
      <c r="G407" t="s">
        <v>63</v>
      </c>
      <c r="H407">
        <v>39</v>
      </c>
      <c r="I407" s="1">
        <v>41377</v>
      </c>
      <c r="J407" s="1" t="str">
        <f>TEXT(Employee_Sample_Data_1[[#This Row],[Hire Date]], "dddd")</f>
        <v>Saturday</v>
      </c>
      <c r="K407" s="1" t="str">
        <f>TEXT(Employee_Sample_Data_1[[#This Row],[Hire Date]], "mmmm")</f>
        <v>April</v>
      </c>
      <c r="L407" s="1" t="str">
        <f>TEXT(Employee_Sample_Data_1[[#This Row],[Hire Date]], "yyyy")</f>
        <v>2013</v>
      </c>
      <c r="M407" s="2">
        <v>129087</v>
      </c>
      <c r="N407" s="3">
        <v>0.05</v>
      </c>
      <c r="O407" s="9">
        <f>PRODUCT(Employee_Sample_Data_1[[#This Row],[Annual Salary]],Employee_Sample_Data_1[[#This Row],[Bonus %]])</f>
        <v>6454.35</v>
      </c>
      <c r="P407" s="2">
        <f>ROUND(Employee_Sample_Data_1[[#This Row],[Annual Salary]]*(1+Employee_Sample_Data_1[[#This Row],[Bonus %]]), 0)</f>
        <v>135541</v>
      </c>
      <c r="Q407" t="s">
        <v>21</v>
      </c>
      <c r="R407" t="s">
        <v>41</v>
      </c>
      <c r="T407">
        <f ca="1">DATEDIF(Employee_Sample_Data_1[[#This Row],[Hire Date]], IF(Employee_Sample_Data_1[[#This Row],[Exit Date]] = "", TODAY(), Employee_Sample_Data_1[[#This Row],[Exit Date]]), "Y")</f>
        <v>13</v>
      </c>
    </row>
    <row r="408" spans="1:20" x14ac:dyDescent="0.25">
      <c r="A408" t="s">
        <v>891</v>
      </c>
      <c r="B408" t="s">
        <v>892</v>
      </c>
      <c r="C408" t="s">
        <v>25</v>
      </c>
      <c r="D408" t="s">
        <v>58</v>
      </c>
      <c r="E408" t="s">
        <v>33</v>
      </c>
      <c r="F408" t="s">
        <v>39</v>
      </c>
      <c r="G408" t="s">
        <v>40</v>
      </c>
      <c r="H408">
        <v>46</v>
      </c>
      <c r="I408" s="1">
        <v>38398</v>
      </c>
      <c r="J408" s="1" t="str">
        <f>TEXT(Employee_Sample_Data_1[[#This Row],[Hire Date]], "dddd")</f>
        <v>Tuesday</v>
      </c>
      <c r="K408" s="1" t="str">
        <f>TEXT(Employee_Sample_Data_1[[#This Row],[Hire Date]], "mmmm")</f>
        <v>February</v>
      </c>
      <c r="L408" s="1" t="str">
        <f>TEXT(Employee_Sample_Data_1[[#This Row],[Hire Date]], "yyyy")</f>
        <v>2005</v>
      </c>
      <c r="M408" s="2">
        <v>54831</v>
      </c>
      <c r="N408" s="3">
        <v>0</v>
      </c>
      <c r="O408" s="9">
        <f>PRODUCT(Employee_Sample_Data_1[[#This Row],[Annual Salary]],Employee_Sample_Data_1[[#This Row],[Bonus %]])</f>
        <v>0</v>
      </c>
      <c r="P408" s="2">
        <f>ROUND(Employee_Sample_Data_1[[#This Row],[Annual Salary]]*(1+Employee_Sample_Data_1[[#This Row],[Bonus %]]), 0)</f>
        <v>54831</v>
      </c>
      <c r="Q408" t="s">
        <v>134</v>
      </c>
      <c r="R408" t="s">
        <v>180</v>
      </c>
      <c r="T408">
        <f ca="1">DATEDIF(Employee_Sample_Data_1[[#This Row],[Hire Date]], IF(Employee_Sample_Data_1[[#This Row],[Exit Date]] = "", TODAY(), Employee_Sample_Data_1[[#This Row],[Exit Date]]), "Y")</f>
        <v>21</v>
      </c>
    </row>
    <row r="409" spans="1:20" x14ac:dyDescent="0.25">
      <c r="A409" t="s">
        <v>893</v>
      </c>
      <c r="B409" t="s">
        <v>894</v>
      </c>
      <c r="C409" t="s">
        <v>25</v>
      </c>
      <c r="D409" t="s">
        <v>77</v>
      </c>
      <c r="E409" t="s">
        <v>53</v>
      </c>
      <c r="F409" t="s">
        <v>39</v>
      </c>
      <c r="G409" t="s">
        <v>20</v>
      </c>
      <c r="H409">
        <v>26</v>
      </c>
      <c r="I409" s="1">
        <v>44163</v>
      </c>
      <c r="J409" s="1" t="str">
        <f>TEXT(Employee_Sample_Data_1[[#This Row],[Hire Date]], "dddd")</f>
        <v>Saturday</v>
      </c>
      <c r="K409" s="1" t="str">
        <f>TEXT(Employee_Sample_Data_1[[#This Row],[Hire Date]], "mmmm")</f>
        <v>November</v>
      </c>
      <c r="L409" s="1" t="str">
        <f>TEXT(Employee_Sample_Data_1[[#This Row],[Hire Date]], "yyyy")</f>
        <v>2020</v>
      </c>
      <c r="M409" s="2">
        <v>51825</v>
      </c>
      <c r="N409" s="3">
        <v>0</v>
      </c>
      <c r="O409" s="9">
        <f>PRODUCT(Employee_Sample_Data_1[[#This Row],[Annual Salary]],Employee_Sample_Data_1[[#This Row],[Bonus %]])</f>
        <v>0</v>
      </c>
      <c r="P409" s="2">
        <f>ROUND(Employee_Sample_Data_1[[#This Row],[Annual Salary]]*(1+Employee_Sample_Data_1[[#This Row],[Bonus %]]), 0)</f>
        <v>51825</v>
      </c>
      <c r="Q409" t="s">
        <v>21</v>
      </c>
      <c r="R409" t="s">
        <v>48</v>
      </c>
      <c r="T409">
        <f ca="1">DATEDIF(Employee_Sample_Data_1[[#This Row],[Hire Date]], IF(Employee_Sample_Data_1[[#This Row],[Exit Date]] = "", TODAY(), Employee_Sample_Data_1[[#This Row],[Exit Date]]), "Y")</f>
        <v>5</v>
      </c>
    </row>
    <row r="410" spans="1:20" x14ac:dyDescent="0.25">
      <c r="A410" t="s">
        <v>895</v>
      </c>
      <c r="B410" t="s">
        <v>896</v>
      </c>
      <c r="C410" t="s">
        <v>289</v>
      </c>
      <c r="D410" t="s">
        <v>17</v>
      </c>
      <c r="E410" t="s">
        <v>18</v>
      </c>
      <c r="F410" t="s">
        <v>39</v>
      </c>
      <c r="G410" t="s">
        <v>20</v>
      </c>
      <c r="H410">
        <v>36</v>
      </c>
      <c r="I410" s="1">
        <v>43723</v>
      </c>
      <c r="J410" s="1" t="str">
        <f>TEXT(Employee_Sample_Data_1[[#This Row],[Hire Date]], "dddd")</f>
        <v>Sunday</v>
      </c>
      <c r="K410" s="1" t="str">
        <f>TEXT(Employee_Sample_Data_1[[#This Row],[Hire Date]], "mmmm")</f>
        <v>September</v>
      </c>
      <c r="L410" s="1" t="str">
        <f>TEXT(Employee_Sample_Data_1[[#This Row],[Hire Date]], "yyyy")</f>
        <v>2019</v>
      </c>
      <c r="M410" s="2">
        <v>67457</v>
      </c>
      <c r="N410" s="3">
        <v>0</v>
      </c>
      <c r="O410" s="9">
        <f>PRODUCT(Employee_Sample_Data_1[[#This Row],[Annual Salary]],Employee_Sample_Data_1[[#This Row],[Bonus %]])</f>
        <v>0</v>
      </c>
      <c r="P410" s="2">
        <f>ROUND(Employee_Sample_Data_1[[#This Row],[Annual Salary]]*(1+Employee_Sample_Data_1[[#This Row],[Bonus %]]), 0)</f>
        <v>67457</v>
      </c>
      <c r="Q410" t="s">
        <v>34</v>
      </c>
      <c r="R410" t="s">
        <v>35</v>
      </c>
      <c r="T410">
        <f ca="1">DATEDIF(Employee_Sample_Data_1[[#This Row],[Hire Date]], IF(Employee_Sample_Data_1[[#This Row],[Exit Date]] = "", TODAY(), Employee_Sample_Data_1[[#This Row],[Exit Date]]), "Y")</f>
        <v>6</v>
      </c>
    </row>
    <row r="411" spans="1:20" x14ac:dyDescent="0.25">
      <c r="A411" t="s">
        <v>897</v>
      </c>
      <c r="B411" t="s">
        <v>898</v>
      </c>
      <c r="C411" t="s">
        <v>161</v>
      </c>
      <c r="D411" t="s">
        <v>32</v>
      </c>
      <c r="E411" t="s">
        <v>27</v>
      </c>
      <c r="F411" t="s">
        <v>19</v>
      </c>
      <c r="G411" t="s">
        <v>20</v>
      </c>
      <c r="H411">
        <v>43</v>
      </c>
      <c r="I411" s="1">
        <v>43736</v>
      </c>
      <c r="J411" s="1" t="str">
        <f>TEXT(Employee_Sample_Data_1[[#This Row],[Hire Date]], "dddd")</f>
        <v>Saturday</v>
      </c>
      <c r="K411" s="1" t="str">
        <f>TEXT(Employee_Sample_Data_1[[#This Row],[Hire Date]], "mmmm")</f>
        <v>September</v>
      </c>
      <c r="L411" s="1" t="str">
        <f>TEXT(Employee_Sample_Data_1[[#This Row],[Hire Date]], "yyyy")</f>
        <v>2019</v>
      </c>
      <c r="M411" s="2">
        <v>94555</v>
      </c>
      <c r="N411" s="3">
        <v>0</v>
      </c>
      <c r="O411" s="9">
        <f>PRODUCT(Employee_Sample_Data_1[[#This Row],[Annual Salary]],Employee_Sample_Data_1[[#This Row],[Bonus %]])</f>
        <v>0</v>
      </c>
      <c r="P411" s="2">
        <f>ROUND(Employee_Sample_Data_1[[#This Row],[Annual Salary]]*(1+Employee_Sample_Data_1[[#This Row],[Bonus %]]), 0)</f>
        <v>94555</v>
      </c>
      <c r="Q411" t="s">
        <v>21</v>
      </c>
      <c r="R411" t="s">
        <v>45</v>
      </c>
      <c r="T411">
        <f ca="1">DATEDIF(Employee_Sample_Data_1[[#This Row],[Hire Date]], IF(Employee_Sample_Data_1[[#This Row],[Exit Date]] = "", TODAY(), Employee_Sample_Data_1[[#This Row],[Exit Date]]), "Y")</f>
        <v>6</v>
      </c>
    </row>
    <row r="412" spans="1:20" x14ac:dyDescent="0.25">
      <c r="A412" t="s">
        <v>899</v>
      </c>
      <c r="B412" t="s">
        <v>900</v>
      </c>
      <c r="C412" t="s">
        <v>44</v>
      </c>
      <c r="D412" t="s">
        <v>123</v>
      </c>
      <c r="E412" t="s">
        <v>27</v>
      </c>
      <c r="F412" t="s">
        <v>39</v>
      </c>
      <c r="G412" t="s">
        <v>20</v>
      </c>
      <c r="H412">
        <v>45</v>
      </c>
      <c r="I412" s="1">
        <v>39535</v>
      </c>
      <c r="J412" s="1" t="str">
        <f>TEXT(Employee_Sample_Data_1[[#This Row],[Hire Date]], "dddd")</f>
        <v>Friday</v>
      </c>
      <c r="K412" s="1" t="str">
        <f>TEXT(Employee_Sample_Data_1[[#This Row],[Hire Date]], "mmmm")</f>
        <v>March</v>
      </c>
      <c r="L412" s="1" t="str">
        <f>TEXT(Employee_Sample_Data_1[[#This Row],[Hire Date]], "yyyy")</f>
        <v>2008</v>
      </c>
      <c r="M412" s="2">
        <v>163686</v>
      </c>
      <c r="N412" s="3">
        <v>0.25</v>
      </c>
      <c r="O412" s="9">
        <f>PRODUCT(Employee_Sample_Data_1[[#This Row],[Annual Salary]],Employee_Sample_Data_1[[#This Row],[Bonus %]])</f>
        <v>40921.5</v>
      </c>
      <c r="P412" s="2">
        <f>ROUND(Employee_Sample_Data_1[[#This Row],[Annual Salary]]*(1+Employee_Sample_Data_1[[#This Row],[Bonus %]]), 0)</f>
        <v>204608</v>
      </c>
      <c r="Q412" t="s">
        <v>34</v>
      </c>
      <c r="R412" t="s">
        <v>59</v>
      </c>
      <c r="T412">
        <f ca="1">DATEDIF(Employee_Sample_Data_1[[#This Row],[Hire Date]], IF(Employee_Sample_Data_1[[#This Row],[Exit Date]] = "", TODAY(), Employee_Sample_Data_1[[#This Row],[Exit Date]]), "Y")</f>
        <v>18</v>
      </c>
    </row>
    <row r="413" spans="1:20" x14ac:dyDescent="0.25">
      <c r="A413" t="s">
        <v>901</v>
      </c>
      <c r="B413" t="s">
        <v>902</v>
      </c>
      <c r="C413" t="s">
        <v>70</v>
      </c>
      <c r="D413" t="s">
        <v>32</v>
      </c>
      <c r="E413" t="s">
        <v>27</v>
      </c>
      <c r="F413" t="s">
        <v>39</v>
      </c>
      <c r="G413" t="s">
        <v>20</v>
      </c>
      <c r="H413">
        <v>65</v>
      </c>
      <c r="I413" s="1">
        <v>37466</v>
      </c>
      <c r="J413" s="1" t="str">
        <f>TEXT(Employee_Sample_Data_1[[#This Row],[Hire Date]], "dddd")</f>
        <v>Monday</v>
      </c>
      <c r="K413" s="1" t="str">
        <f>TEXT(Employee_Sample_Data_1[[#This Row],[Hire Date]], "mmmm")</f>
        <v>July</v>
      </c>
      <c r="L413" s="1" t="str">
        <f>TEXT(Employee_Sample_Data_1[[#This Row],[Hire Date]], "yyyy")</f>
        <v>2002</v>
      </c>
      <c r="M413" s="2">
        <v>47919</v>
      </c>
      <c r="N413" s="3">
        <v>0</v>
      </c>
      <c r="O413" s="9">
        <f>PRODUCT(Employee_Sample_Data_1[[#This Row],[Annual Salary]],Employee_Sample_Data_1[[#This Row],[Bonus %]])</f>
        <v>0</v>
      </c>
      <c r="P413" s="2">
        <f>ROUND(Employee_Sample_Data_1[[#This Row],[Annual Salary]]*(1+Employee_Sample_Data_1[[#This Row],[Bonus %]]), 0)</f>
        <v>47919</v>
      </c>
      <c r="Q413" t="s">
        <v>34</v>
      </c>
      <c r="R413" t="s">
        <v>108</v>
      </c>
      <c r="T413">
        <f ca="1">DATEDIF(Employee_Sample_Data_1[[#This Row],[Hire Date]], IF(Employee_Sample_Data_1[[#This Row],[Exit Date]] = "", TODAY(), Employee_Sample_Data_1[[#This Row],[Exit Date]]), "Y")</f>
        <v>23</v>
      </c>
    </row>
    <row r="414" spans="1:20" x14ac:dyDescent="0.25">
      <c r="A414" t="s">
        <v>903</v>
      </c>
      <c r="B414" t="s">
        <v>904</v>
      </c>
      <c r="C414" t="s">
        <v>170</v>
      </c>
      <c r="D414" t="s">
        <v>32</v>
      </c>
      <c r="E414" t="s">
        <v>18</v>
      </c>
      <c r="F414" t="s">
        <v>19</v>
      </c>
      <c r="G414" t="s">
        <v>63</v>
      </c>
      <c r="H414">
        <v>34</v>
      </c>
      <c r="I414" s="1">
        <v>44344</v>
      </c>
      <c r="J414" s="1" t="str">
        <f>TEXT(Employee_Sample_Data_1[[#This Row],[Hire Date]], "dddd")</f>
        <v>Friday</v>
      </c>
      <c r="K414" s="1" t="str">
        <f>TEXT(Employee_Sample_Data_1[[#This Row],[Hire Date]], "mmmm")</f>
        <v>May</v>
      </c>
      <c r="L414" s="1" t="str">
        <f>TEXT(Employee_Sample_Data_1[[#This Row],[Hire Date]], "yyyy")</f>
        <v>2021</v>
      </c>
      <c r="M414" s="2">
        <v>68972</v>
      </c>
      <c r="N414" s="3">
        <v>0</v>
      </c>
      <c r="O414" s="9">
        <f>PRODUCT(Employee_Sample_Data_1[[#This Row],[Annual Salary]],Employee_Sample_Data_1[[#This Row],[Bonus %]])</f>
        <v>0</v>
      </c>
      <c r="P414" s="2">
        <f>ROUND(Employee_Sample_Data_1[[#This Row],[Annual Salary]]*(1+Employee_Sample_Data_1[[#This Row],[Bonus %]]), 0)</f>
        <v>68972</v>
      </c>
      <c r="Q414" t="s">
        <v>21</v>
      </c>
      <c r="R414" t="s">
        <v>45</v>
      </c>
      <c r="S414" s="1">
        <v>44863</v>
      </c>
      <c r="T414">
        <f ca="1">DATEDIF(Employee_Sample_Data_1[[#This Row],[Hire Date]], IF(Employee_Sample_Data_1[[#This Row],[Exit Date]] = "", TODAY(), Employee_Sample_Data_1[[#This Row],[Exit Date]]), "Y")</f>
        <v>1</v>
      </c>
    </row>
    <row r="415" spans="1:20" x14ac:dyDescent="0.25">
      <c r="A415" t="s">
        <v>905</v>
      </c>
      <c r="B415" t="s">
        <v>906</v>
      </c>
      <c r="C415" t="s">
        <v>25</v>
      </c>
      <c r="D415" t="s">
        <v>26</v>
      </c>
      <c r="E415" t="s">
        <v>18</v>
      </c>
      <c r="F415" t="s">
        <v>19</v>
      </c>
      <c r="G415" t="s">
        <v>63</v>
      </c>
      <c r="H415">
        <v>52</v>
      </c>
      <c r="I415" s="1">
        <v>37347</v>
      </c>
      <c r="J415" s="1" t="str">
        <f>TEXT(Employee_Sample_Data_1[[#This Row],[Hire Date]], "dddd")</f>
        <v>Monday</v>
      </c>
      <c r="K415" s="1" t="str">
        <f>TEXT(Employee_Sample_Data_1[[#This Row],[Hire Date]], "mmmm")</f>
        <v>April</v>
      </c>
      <c r="L415" s="1" t="str">
        <f>TEXT(Employee_Sample_Data_1[[#This Row],[Hire Date]], "yyyy")</f>
        <v>2002</v>
      </c>
      <c r="M415" s="2">
        <v>50775</v>
      </c>
      <c r="N415" s="3">
        <v>0</v>
      </c>
      <c r="O415" s="9">
        <f>PRODUCT(Employee_Sample_Data_1[[#This Row],[Annual Salary]],Employee_Sample_Data_1[[#This Row],[Bonus %]])</f>
        <v>0</v>
      </c>
      <c r="P415" s="2">
        <f>ROUND(Employee_Sample_Data_1[[#This Row],[Annual Salary]]*(1+Employee_Sample_Data_1[[#This Row],[Bonus %]]), 0)</f>
        <v>50775</v>
      </c>
      <c r="Q415" t="s">
        <v>21</v>
      </c>
      <c r="R415" t="s">
        <v>41</v>
      </c>
      <c r="T415">
        <f ca="1">DATEDIF(Employee_Sample_Data_1[[#This Row],[Hire Date]], IF(Employee_Sample_Data_1[[#This Row],[Exit Date]] = "", TODAY(), Employee_Sample_Data_1[[#This Row],[Exit Date]]), "Y")</f>
        <v>24</v>
      </c>
    </row>
    <row r="416" spans="1:20" x14ac:dyDescent="0.25">
      <c r="A416" t="s">
        <v>907</v>
      </c>
      <c r="B416" t="s">
        <v>908</v>
      </c>
      <c r="C416" t="s">
        <v>80</v>
      </c>
      <c r="D416" t="s">
        <v>77</v>
      </c>
      <c r="E416" t="s">
        <v>27</v>
      </c>
      <c r="F416" t="s">
        <v>39</v>
      </c>
      <c r="G416" t="s">
        <v>40</v>
      </c>
      <c r="H416">
        <v>39</v>
      </c>
      <c r="I416" s="1">
        <v>41317</v>
      </c>
      <c r="J416" s="1" t="str">
        <f>TEXT(Employee_Sample_Data_1[[#This Row],[Hire Date]], "dddd")</f>
        <v>Tuesday</v>
      </c>
      <c r="K416" s="1" t="str">
        <f>TEXT(Employee_Sample_Data_1[[#This Row],[Hire Date]], "mmmm")</f>
        <v>February</v>
      </c>
      <c r="L416" s="1" t="str">
        <f>TEXT(Employee_Sample_Data_1[[#This Row],[Hire Date]], "yyyy")</f>
        <v>2013</v>
      </c>
      <c r="M416" s="2">
        <v>122713</v>
      </c>
      <c r="N416" s="3">
        <v>0.13</v>
      </c>
      <c r="O416" s="9">
        <f>PRODUCT(Employee_Sample_Data_1[[#This Row],[Annual Salary]],Employee_Sample_Data_1[[#This Row],[Bonus %]])</f>
        <v>15952.69</v>
      </c>
      <c r="P416" s="2">
        <f>ROUND(Employee_Sample_Data_1[[#This Row],[Annual Salary]]*(1+Employee_Sample_Data_1[[#This Row],[Bonus %]]), 0)</f>
        <v>138666</v>
      </c>
      <c r="Q416" t="s">
        <v>134</v>
      </c>
      <c r="R416" t="s">
        <v>180</v>
      </c>
      <c r="T416">
        <f ca="1">DATEDIF(Employee_Sample_Data_1[[#This Row],[Hire Date]], IF(Employee_Sample_Data_1[[#This Row],[Exit Date]] = "", TODAY(), Employee_Sample_Data_1[[#This Row],[Exit Date]]), "Y")</f>
        <v>13</v>
      </c>
    </row>
    <row r="417" spans="1:20" x14ac:dyDescent="0.25">
      <c r="A417" t="s">
        <v>909</v>
      </c>
      <c r="B417" t="s">
        <v>910</v>
      </c>
      <c r="C417" t="s">
        <v>57</v>
      </c>
      <c r="D417" t="s">
        <v>52</v>
      </c>
      <c r="E417" t="s">
        <v>27</v>
      </c>
      <c r="F417" t="s">
        <v>39</v>
      </c>
      <c r="G417" t="s">
        <v>20</v>
      </c>
      <c r="H417">
        <v>57</v>
      </c>
      <c r="I417" s="1">
        <v>34102</v>
      </c>
      <c r="J417" s="1" t="str">
        <f>TEXT(Employee_Sample_Data_1[[#This Row],[Hire Date]], "dddd")</f>
        <v>Thursday</v>
      </c>
      <c r="K417" s="1" t="str">
        <f>TEXT(Employee_Sample_Data_1[[#This Row],[Hire Date]], "mmmm")</f>
        <v>May</v>
      </c>
      <c r="L417" s="1" t="str">
        <f>TEXT(Employee_Sample_Data_1[[#This Row],[Hire Date]], "yyyy")</f>
        <v>1993</v>
      </c>
      <c r="M417" s="2">
        <v>57230</v>
      </c>
      <c r="N417" s="3">
        <v>0</v>
      </c>
      <c r="O417" s="9">
        <f>PRODUCT(Employee_Sample_Data_1[[#This Row],[Annual Salary]],Employee_Sample_Data_1[[#This Row],[Bonus %]])</f>
        <v>0</v>
      </c>
      <c r="P417" s="2">
        <f>ROUND(Employee_Sample_Data_1[[#This Row],[Annual Salary]]*(1+Employee_Sample_Data_1[[#This Row],[Bonus %]]), 0)</f>
        <v>57230</v>
      </c>
      <c r="Q417" t="s">
        <v>21</v>
      </c>
      <c r="R417" t="s">
        <v>45</v>
      </c>
      <c r="T417">
        <f ca="1">DATEDIF(Employee_Sample_Data_1[[#This Row],[Hire Date]], IF(Employee_Sample_Data_1[[#This Row],[Exit Date]] = "", TODAY(), Employee_Sample_Data_1[[#This Row],[Exit Date]]), "Y")</f>
        <v>33</v>
      </c>
    </row>
    <row r="418" spans="1:20" x14ac:dyDescent="0.25">
      <c r="A418" t="s">
        <v>911</v>
      </c>
      <c r="B418" t="s">
        <v>912</v>
      </c>
      <c r="C418" t="s">
        <v>80</v>
      </c>
      <c r="D418" t="s">
        <v>77</v>
      </c>
      <c r="E418" t="s">
        <v>53</v>
      </c>
      <c r="F418" t="s">
        <v>19</v>
      </c>
      <c r="G418" t="s">
        <v>40</v>
      </c>
      <c r="H418">
        <v>63</v>
      </c>
      <c r="I418" s="1">
        <v>35781</v>
      </c>
      <c r="J418" s="1" t="str">
        <f>TEXT(Employee_Sample_Data_1[[#This Row],[Hire Date]], "dddd")</f>
        <v>Wednesday</v>
      </c>
      <c r="K418" s="1" t="str">
        <f>TEXT(Employee_Sample_Data_1[[#This Row],[Hire Date]], "mmmm")</f>
        <v>December</v>
      </c>
      <c r="L418" s="1" t="str">
        <f>TEXT(Employee_Sample_Data_1[[#This Row],[Hire Date]], "yyyy")</f>
        <v>1997</v>
      </c>
      <c r="M418" s="2">
        <v>148794</v>
      </c>
      <c r="N418" s="3">
        <v>0.1</v>
      </c>
      <c r="O418" s="9">
        <f>PRODUCT(Employee_Sample_Data_1[[#This Row],[Annual Salary]],Employee_Sample_Data_1[[#This Row],[Bonus %]])</f>
        <v>14879.400000000001</v>
      </c>
      <c r="P418" s="2">
        <f>ROUND(Employee_Sample_Data_1[[#This Row],[Annual Salary]]*(1+Employee_Sample_Data_1[[#This Row],[Bonus %]]), 0)</f>
        <v>163673</v>
      </c>
      <c r="Q418" t="s">
        <v>134</v>
      </c>
      <c r="R418" t="s">
        <v>286</v>
      </c>
      <c r="T418">
        <f ca="1">DATEDIF(Employee_Sample_Data_1[[#This Row],[Hire Date]], IF(Employee_Sample_Data_1[[#This Row],[Exit Date]] = "", TODAY(), Employee_Sample_Data_1[[#This Row],[Exit Date]]), "Y")</f>
        <v>28</v>
      </c>
    </row>
    <row r="419" spans="1:20" x14ac:dyDescent="0.25">
      <c r="A419" t="s">
        <v>913</v>
      </c>
      <c r="B419" t="s">
        <v>914</v>
      </c>
      <c r="C419" t="s">
        <v>80</v>
      </c>
      <c r="D419" t="s">
        <v>77</v>
      </c>
      <c r="E419" t="s">
        <v>33</v>
      </c>
      <c r="F419" t="s">
        <v>39</v>
      </c>
      <c r="G419" t="s">
        <v>20</v>
      </c>
      <c r="H419">
        <v>32</v>
      </c>
      <c r="I419" s="1">
        <v>42727</v>
      </c>
      <c r="J419" s="1" t="str">
        <f>TEXT(Employee_Sample_Data_1[[#This Row],[Hire Date]], "dddd")</f>
        <v>Friday</v>
      </c>
      <c r="K419" s="1" t="str">
        <f>TEXT(Employee_Sample_Data_1[[#This Row],[Hire Date]], "mmmm")</f>
        <v>December</v>
      </c>
      <c r="L419" s="1" t="str">
        <f>TEXT(Employee_Sample_Data_1[[#This Row],[Hire Date]], "yyyy")</f>
        <v>2016</v>
      </c>
      <c r="M419" s="2">
        <v>155884</v>
      </c>
      <c r="N419" s="3">
        <v>0.13</v>
      </c>
      <c r="O419" s="9">
        <f>PRODUCT(Employee_Sample_Data_1[[#This Row],[Annual Salary]],Employee_Sample_Data_1[[#This Row],[Bonus %]])</f>
        <v>20264.920000000002</v>
      </c>
      <c r="P419" s="2">
        <f>ROUND(Employee_Sample_Data_1[[#This Row],[Annual Salary]]*(1+Employee_Sample_Data_1[[#This Row],[Bonus %]]), 0)</f>
        <v>176149</v>
      </c>
      <c r="Q419" t="s">
        <v>21</v>
      </c>
      <c r="R419" t="s">
        <v>67</v>
      </c>
      <c r="T419">
        <f ca="1">DATEDIF(Employee_Sample_Data_1[[#This Row],[Hire Date]], IF(Employee_Sample_Data_1[[#This Row],[Exit Date]] = "", TODAY(), Employee_Sample_Data_1[[#This Row],[Exit Date]]), "Y")</f>
        <v>9</v>
      </c>
    </row>
    <row r="420" spans="1:20" x14ac:dyDescent="0.25">
      <c r="A420" t="s">
        <v>915</v>
      </c>
      <c r="B420" t="s">
        <v>916</v>
      </c>
      <c r="C420" t="s">
        <v>101</v>
      </c>
      <c r="D420" t="s">
        <v>26</v>
      </c>
      <c r="E420" t="s">
        <v>33</v>
      </c>
      <c r="F420" t="s">
        <v>39</v>
      </c>
      <c r="G420" t="s">
        <v>20</v>
      </c>
      <c r="H420">
        <v>51</v>
      </c>
      <c r="I420" s="1">
        <v>43378</v>
      </c>
      <c r="J420" s="1" t="str">
        <f>TEXT(Employee_Sample_Data_1[[#This Row],[Hire Date]], "dddd")</f>
        <v>Friday</v>
      </c>
      <c r="K420" s="1" t="str">
        <f>TEXT(Employee_Sample_Data_1[[#This Row],[Hire Date]], "mmmm")</f>
        <v>October</v>
      </c>
      <c r="L420" s="1" t="str">
        <f>TEXT(Employee_Sample_Data_1[[#This Row],[Hire Date]], "yyyy")</f>
        <v>2018</v>
      </c>
      <c r="M420" s="2">
        <v>50975</v>
      </c>
      <c r="N420" s="3">
        <v>0</v>
      </c>
      <c r="O420" s="9">
        <f>PRODUCT(Employee_Sample_Data_1[[#This Row],[Annual Salary]],Employee_Sample_Data_1[[#This Row],[Bonus %]])</f>
        <v>0</v>
      </c>
      <c r="P420" s="2">
        <f>ROUND(Employee_Sample_Data_1[[#This Row],[Annual Salary]]*(1+Employee_Sample_Data_1[[#This Row],[Bonus %]]), 0)</f>
        <v>50975</v>
      </c>
      <c r="Q420" t="s">
        <v>34</v>
      </c>
      <c r="R420" t="s">
        <v>59</v>
      </c>
      <c r="T420">
        <f ca="1">DATEDIF(Employee_Sample_Data_1[[#This Row],[Hire Date]], IF(Employee_Sample_Data_1[[#This Row],[Exit Date]] = "", TODAY(), Employee_Sample_Data_1[[#This Row],[Exit Date]]), "Y")</f>
        <v>7</v>
      </c>
    </row>
    <row r="421" spans="1:20" x14ac:dyDescent="0.25">
      <c r="A421" t="s">
        <v>917</v>
      </c>
      <c r="B421" t="s">
        <v>918</v>
      </c>
      <c r="C421" t="s">
        <v>25</v>
      </c>
      <c r="D421" t="s">
        <v>52</v>
      </c>
      <c r="E421" t="s">
        <v>33</v>
      </c>
      <c r="F421" t="s">
        <v>19</v>
      </c>
      <c r="G421" t="s">
        <v>81</v>
      </c>
      <c r="H421">
        <v>38</v>
      </c>
      <c r="I421" s="1">
        <v>43082</v>
      </c>
      <c r="J421" s="1" t="str">
        <f>TEXT(Employee_Sample_Data_1[[#This Row],[Hire Date]], "dddd")</f>
        <v>Wednesday</v>
      </c>
      <c r="K421" s="1" t="str">
        <f>TEXT(Employee_Sample_Data_1[[#This Row],[Hire Date]], "mmmm")</f>
        <v>December</v>
      </c>
      <c r="L421" s="1" t="str">
        <f>TEXT(Employee_Sample_Data_1[[#This Row],[Hire Date]], "yyyy")</f>
        <v>2017</v>
      </c>
      <c r="M421" s="2">
        <v>52200</v>
      </c>
      <c r="N421" s="3">
        <v>0</v>
      </c>
      <c r="O421" s="9">
        <f>PRODUCT(Employee_Sample_Data_1[[#This Row],[Annual Salary]],Employee_Sample_Data_1[[#This Row],[Bonus %]])</f>
        <v>0</v>
      </c>
      <c r="P421" s="2">
        <f>ROUND(Employee_Sample_Data_1[[#This Row],[Annual Salary]]*(1+Employee_Sample_Data_1[[#This Row],[Bonus %]]), 0)</f>
        <v>52200</v>
      </c>
      <c r="Q421" t="s">
        <v>21</v>
      </c>
      <c r="R421" t="s">
        <v>48</v>
      </c>
      <c r="T421">
        <f ca="1">DATEDIF(Employee_Sample_Data_1[[#This Row],[Hire Date]], IF(Employee_Sample_Data_1[[#This Row],[Exit Date]] = "", TODAY(), Employee_Sample_Data_1[[#This Row],[Exit Date]]), "Y")</f>
        <v>8</v>
      </c>
    </row>
    <row r="422" spans="1:20" x14ac:dyDescent="0.25">
      <c r="A422" t="s">
        <v>919</v>
      </c>
      <c r="B422" t="s">
        <v>920</v>
      </c>
      <c r="C422" t="s">
        <v>44</v>
      </c>
      <c r="D422" t="s">
        <v>58</v>
      </c>
      <c r="E422" t="s">
        <v>33</v>
      </c>
      <c r="F422" t="s">
        <v>19</v>
      </c>
      <c r="G422" t="s">
        <v>20</v>
      </c>
      <c r="H422">
        <v>53</v>
      </c>
      <c r="I422" s="1">
        <v>43207</v>
      </c>
      <c r="J422" s="1" t="str">
        <f>TEXT(Employee_Sample_Data_1[[#This Row],[Hire Date]], "dddd")</f>
        <v>Tuesday</v>
      </c>
      <c r="K422" s="1" t="str">
        <f>TEXT(Employee_Sample_Data_1[[#This Row],[Hire Date]], "mmmm")</f>
        <v>April</v>
      </c>
      <c r="L422" s="1" t="str">
        <f>TEXT(Employee_Sample_Data_1[[#This Row],[Hire Date]], "yyyy")</f>
        <v>2018</v>
      </c>
      <c r="M422" s="2">
        <v>154141</v>
      </c>
      <c r="N422" s="3">
        <v>0.26</v>
      </c>
      <c r="O422" s="9">
        <f>PRODUCT(Employee_Sample_Data_1[[#This Row],[Annual Salary]],Employee_Sample_Data_1[[#This Row],[Bonus %]])</f>
        <v>40076.660000000003</v>
      </c>
      <c r="P422" s="2">
        <f>ROUND(Employee_Sample_Data_1[[#This Row],[Annual Salary]]*(1+Employee_Sample_Data_1[[#This Row],[Bonus %]]), 0)</f>
        <v>194218</v>
      </c>
      <c r="Q422" t="s">
        <v>34</v>
      </c>
      <c r="R422" t="s">
        <v>54</v>
      </c>
      <c r="T422">
        <f ca="1">DATEDIF(Employee_Sample_Data_1[[#This Row],[Hire Date]], IF(Employee_Sample_Data_1[[#This Row],[Exit Date]] = "", TODAY(), Employee_Sample_Data_1[[#This Row],[Exit Date]]), "Y")</f>
        <v>8</v>
      </c>
    </row>
    <row r="423" spans="1:20" x14ac:dyDescent="0.25">
      <c r="A423" t="s">
        <v>921</v>
      </c>
      <c r="B423" t="s">
        <v>922</v>
      </c>
      <c r="C423" t="s">
        <v>289</v>
      </c>
      <c r="D423" t="s">
        <v>17</v>
      </c>
      <c r="E423" t="s">
        <v>53</v>
      </c>
      <c r="F423" t="s">
        <v>39</v>
      </c>
      <c r="G423" t="s">
        <v>40</v>
      </c>
      <c r="H423">
        <v>59</v>
      </c>
      <c r="I423" s="1">
        <v>34175</v>
      </c>
      <c r="J423" s="1" t="str">
        <f>TEXT(Employee_Sample_Data_1[[#This Row],[Hire Date]], "dddd")</f>
        <v>Sunday</v>
      </c>
      <c r="K423" s="1" t="str">
        <f>TEXT(Employee_Sample_Data_1[[#This Row],[Hire Date]], "mmmm")</f>
        <v>July</v>
      </c>
      <c r="L423" s="1" t="str">
        <f>TEXT(Employee_Sample_Data_1[[#This Row],[Hire Date]], "yyyy")</f>
        <v>1993</v>
      </c>
      <c r="M423" s="2">
        <v>69245</v>
      </c>
      <c r="N423" s="3">
        <v>0</v>
      </c>
      <c r="O423" s="9">
        <f>PRODUCT(Employee_Sample_Data_1[[#This Row],[Annual Salary]],Employee_Sample_Data_1[[#This Row],[Bonus %]])</f>
        <v>0</v>
      </c>
      <c r="P423" s="2">
        <f>ROUND(Employee_Sample_Data_1[[#This Row],[Annual Salary]]*(1+Employee_Sample_Data_1[[#This Row],[Bonus %]]), 0)</f>
        <v>69245</v>
      </c>
      <c r="Q423" t="s">
        <v>21</v>
      </c>
      <c r="R423" t="s">
        <v>48</v>
      </c>
      <c r="T423">
        <f ca="1">DATEDIF(Employee_Sample_Data_1[[#This Row],[Hire Date]], IF(Employee_Sample_Data_1[[#This Row],[Exit Date]] = "", TODAY(), Employee_Sample_Data_1[[#This Row],[Exit Date]]), "Y")</f>
        <v>32</v>
      </c>
    </row>
    <row r="424" spans="1:20" x14ac:dyDescent="0.25">
      <c r="A424" t="s">
        <v>923</v>
      </c>
      <c r="B424" t="s">
        <v>924</v>
      </c>
      <c r="C424" t="s">
        <v>289</v>
      </c>
      <c r="D424" t="s">
        <v>17</v>
      </c>
      <c r="E424" t="s">
        <v>53</v>
      </c>
      <c r="F424" t="s">
        <v>19</v>
      </c>
      <c r="G424" t="s">
        <v>63</v>
      </c>
      <c r="H424">
        <v>57</v>
      </c>
      <c r="I424" s="1">
        <v>36252</v>
      </c>
      <c r="J424" s="1" t="str">
        <f>TEXT(Employee_Sample_Data_1[[#This Row],[Hire Date]], "dddd")</f>
        <v>Friday</v>
      </c>
      <c r="K424" s="1" t="str">
        <f>TEXT(Employee_Sample_Data_1[[#This Row],[Hire Date]], "mmmm")</f>
        <v>April</v>
      </c>
      <c r="L424" s="1" t="str">
        <f>TEXT(Employee_Sample_Data_1[[#This Row],[Hire Date]], "yyyy")</f>
        <v>1999</v>
      </c>
      <c r="M424" s="2">
        <v>78212</v>
      </c>
      <c r="N424" s="3">
        <v>0</v>
      </c>
      <c r="O424" s="9">
        <f>PRODUCT(Employee_Sample_Data_1[[#This Row],[Annual Salary]],Employee_Sample_Data_1[[#This Row],[Bonus %]])</f>
        <v>0</v>
      </c>
      <c r="P424" s="2">
        <f>ROUND(Employee_Sample_Data_1[[#This Row],[Annual Salary]]*(1+Employee_Sample_Data_1[[#This Row],[Bonus %]]), 0)</f>
        <v>78212</v>
      </c>
      <c r="Q424" t="s">
        <v>21</v>
      </c>
      <c r="R424" t="s">
        <v>67</v>
      </c>
      <c r="S424" s="1">
        <v>40426</v>
      </c>
      <c r="T424">
        <f ca="1">DATEDIF(Employee_Sample_Data_1[[#This Row],[Hire Date]], IF(Employee_Sample_Data_1[[#This Row],[Exit Date]] = "", TODAY(), Employee_Sample_Data_1[[#This Row],[Exit Date]]), "Y")</f>
        <v>11</v>
      </c>
    </row>
    <row r="425" spans="1:20" x14ac:dyDescent="0.25">
      <c r="A425" t="s">
        <v>925</v>
      </c>
      <c r="B425" t="s">
        <v>926</v>
      </c>
      <c r="C425" t="s">
        <v>51</v>
      </c>
      <c r="D425" t="s">
        <v>52</v>
      </c>
      <c r="E425" t="s">
        <v>27</v>
      </c>
      <c r="F425" t="s">
        <v>19</v>
      </c>
      <c r="G425" t="s">
        <v>63</v>
      </c>
      <c r="H425">
        <v>41</v>
      </c>
      <c r="I425" s="1">
        <v>43745</v>
      </c>
      <c r="J425" s="1" t="str">
        <f>TEXT(Employee_Sample_Data_1[[#This Row],[Hire Date]], "dddd")</f>
        <v>Monday</v>
      </c>
      <c r="K425" s="1" t="str">
        <f>TEXT(Employee_Sample_Data_1[[#This Row],[Hire Date]], "mmmm")</f>
        <v>October</v>
      </c>
      <c r="L425" s="1" t="str">
        <f>TEXT(Employee_Sample_Data_1[[#This Row],[Hire Date]], "yyyy")</f>
        <v>2019</v>
      </c>
      <c r="M425" s="2">
        <v>72650</v>
      </c>
      <c r="N425" s="3">
        <v>0</v>
      </c>
      <c r="O425" s="9">
        <f>PRODUCT(Employee_Sample_Data_1[[#This Row],[Annual Salary]],Employee_Sample_Data_1[[#This Row],[Bonus %]])</f>
        <v>0</v>
      </c>
      <c r="P425" s="2">
        <f>ROUND(Employee_Sample_Data_1[[#This Row],[Annual Salary]]*(1+Employee_Sample_Data_1[[#This Row],[Bonus %]]), 0)</f>
        <v>72650</v>
      </c>
      <c r="Q425" t="s">
        <v>21</v>
      </c>
      <c r="R425" t="s">
        <v>45</v>
      </c>
      <c r="S425" s="1">
        <v>44064</v>
      </c>
      <c r="T425">
        <f ca="1">DATEDIF(Employee_Sample_Data_1[[#This Row],[Hire Date]], IF(Employee_Sample_Data_1[[#This Row],[Exit Date]] = "", TODAY(), Employee_Sample_Data_1[[#This Row],[Exit Date]]), "Y")</f>
        <v>0</v>
      </c>
    </row>
    <row r="426" spans="1:20" x14ac:dyDescent="0.25">
      <c r="A426" t="s">
        <v>927</v>
      </c>
      <c r="B426" t="s">
        <v>928</v>
      </c>
      <c r="C426" t="s">
        <v>195</v>
      </c>
      <c r="D426" t="s">
        <v>17</v>
      </c>
      <c r="E426" t="s">
        <v>33</v>
      </c>
      <c r="F426" t="s">
        <v>39</v>
      </c>
      <c r="G426" t="s">
        <v>63</v>
      </c>
      <c r="H426">
        <v>33</v>
      </c>
      <c r="I426" s="1">
        <v>44145</v>
      </c>
      <c r="J426" s="1" t="str">
        <f>TEXT(Employee_Sample_Data_1[[#This Row],[Hire Date]], "dddd")</f>
        <v>Tuesday</v>
      </c>
      <c r="K426" s="1" t="str">
        <f>TEXT(Employee_Sample_Data_1[[#This Row],[Hire Date]], "mmmm")</f>
        <v>November</v>
      </c>
      <c r="L426" s="1" t="str">
        <f>TEXT(Employee_Sample_Data_1[[#This Row],[Hire Date]], "yyyy")</f>
        <v>2020</v>
      </c>
      <c r="M426" s="2">
        <v>124681</v>
      </c>
      <c r="N426" s="3">
        <v>0</v>
      </c>
      <c r="O426" s="9">
        <f>PRODUCT(Employee_Sample_Data_1[[#This Row],[Annual Salary]],Employee_Sample_Data_1[[#This Row],[Bonus %]])</f>
        <v>0</v>
      </c>
      <c r="P426" s="2">
        <f>ROUND(Employee_Sample_Data_1[[#This Row],[Annual Salary]]*(1+Employee_Sample_Data_1[[#This Row],[Bonus %]]), 0)</f>
        <v>124681</v>
      </c>
      <c r="Q426" t="s">
        <v>21</v>
      </c>
      <c r="R426" t="s">
        <v>48</v>
      </c>
      <c r="T426">
        <f ca="1">DATEDIF(Employee_Sample_Data_1[[#This Row],[Hire Date]], IF(Employee_Sample_Data_1[[#This Row],[Exit Date]] = "", TODAY(), Employee_Sample_Data_1[[#This Row],[Exit Date]]), "Y")</f>
        <v>5</v>
      </c>
    </row>
    <row r="427" spans="1:20" x14ac:dyDescent="0.25">
      <c r="A427" t="s">
        <v>929</v>
      </c>
      <c r="B427" t="s">
        <v>930</v>
      </c>
      <c r="C427" t="s">
        <v>31</v>
      </c>
      <c r="D427" t="s">
        <v>32</v>
      </c>
      <c r="E427" t="s">
        <v>33</v>
      </c>
      <c r="F427" t="s">
        <v>19</v>
      </c>
      <c r="G427" t="s">
        <v>81</v>
      </c>
      <c r="H427">
        <v>35</v>
      </c>
      <c r="I427" s="1">
        <v>41507</v>
      </c>
      <c r="J427" s="1" t="str">
        <f>TEXT(Employee_Sample_Data_1[[#This Row],[Hire Date]], "dddd")</f>
        <v>Wednesday</v>
      </c>
      <c r="K427" s="1" t="str">
        <f>TEXT(Employee_Sample_Data_1[[#This Row],[Hire Date]], "mmmm")</f>
        <v>August</v>
      </c>
      <c r="L427" s="1" t="str">
        <f>TEXT(Employee_Sample_Data_1[[#This Row],[Hire Date]], "yyyy")</f>
        <v>2013</v>
      </c>
      <c r="M427" s="2">
        <v>89051</v>
      </c>
      <c r="N427" s="3">
        <v>0</v>
      </c>
      <c r="O427" s="9">
        <f>PRODUCT(Employee_Sample_Data_1[[#This Row],[Annual Salary]],Employee_Sample_Data_1[[#This Row],[Bonus %]])</f>
        <v>0</v>
      </c>
      <c r="P427" s="2">
        <f>ROUND(Employee_Sample_Data_1[[#This Row],[Annual Salary]]*(1+Employee_Sample_Data_1[[#This Row],[Bonus %]]), 0)</f>
        <v>89051</v>
      </c>
      <c r="Q427" t="s">
        <v>21</v>
      </c>
      <c r="R427" t="s">
        <v>28</v>
      </c>
      <c r="T427">
        <f ca="1">DATEDIF(Employee_Sample_Data_1[[#This Row],[Hire Date]], IF(Employee_Sample_Data_1[[#This Row],[Exit Date]] = "", TODAY(), Employee_Sample_Data_1[[#This Row],[Exit Date]]), "Y")</f>
        <v>12</v>
      </c>
    </row>
    <row r="428" spans="1:20" x14ac:dyDescent="0.25">
      <c r="A428" t="s">
        <v>931</v>
      </c>
      <c r="B428" t="s">
        <v>932</v>
      </c>
      <c r="C428" t="s">
        <v>195</v>
      </c>
      <c r="D428" t="s">
        <v>17</v>
      </c>
      <c r="E428" t="s">
        <v>33</v>
      </c>
      <c r="F428" t="s">
        <v>19</v>
      </c>
      <c r="G428" t="s">
        <v>20</v>
      </c>
      <c r="H428">
        <v>36</v>
      </c>
      <c r="I428" s="1">
        <v>43801</v>
      </c>
      <c r="J428" s="1" t="str">
        <f>TEXT(Employee_Sample_Data_1[[#This Row],[Hire Date]], "dddd")</f>
        <v>Monday</v>
      </c>
      <c r="K428" s="1" t="str">
        <f>TEXT(Employee_Sample_Data_1[[#This Row],[Hire Date]], "mmmm")</f>
        <v>December</v>
      </c>
      <c r="L428" s="1" t="str">
        <f>TEXT(Employee_Sample_Data_1[[#This Row],[Hire Date]], "yyyy")</f>
        <v>2019</v>
      </c>
      <c r="M428" s="2">
        <v>121049</v>
      </c>
      <c r="N428" s="3">
        <v>0</v>
      </c>
      <c r="O428" s="9">
        <f>PRODUCT(Employee_Sample_Data_1[[#This Row],[Annual Salary]],Employee_Sample_Data_1[[#This Row],[Bonus %]])</f>
        <v>0</v>
      </c>
      <c r="P428" s="2">
        <f>ROUND(Employee_Sample_Data_1[[#This Row],[Annual Salary]]*(1+Employee_Sample_Data_1[[#This Row],[Bonus %]]), 0)</f>
        <v>121049</v>
      </c>
      <c r="Q428" t="s">
        <v>21</v>
      </c>
      <c r="R428" t="s">
        <v>41</v>
      </c>
      <c r="S428" s="1">
        <v>44934</v>
      </c>
      <c r="T428">
        <f ca="1">DATEDIF(Employee_Sample_Data_1[[#This Row],[Hire Date]], IF(Employee_Sample_Data_1[[#This Row],[Exit Date]] = "", TODAY(), Employee_Sample_Data_1[[#This Row],[Exit Date]]), "Y")</f>
        <v>3</v>
      </c>
    </row>
    <row r="429" spans="1:20" x14ac:dyDescent="0.25">
      <c r="A429" t="s">
        <v>933</v>
      </c>
      <c r="B429" t="s">
        <v>934</v>
      </c>
      <c r="C429" t="s">
        <v>352</v>
      </c>
      <c r="D429" t="s">
        <v>32</v>
      </c>
      <c r="E429" t="s">
        <v>33</v>
      </c>
      <c r="F429" t="s">
        <v>19</v>
      </c>
      <c r="G429" t="s">
        <v>63</v>
      </c>
      <c r="H429">
        <v>54</v>
      </c>
      <c r="I429" s="1">
        <v>39248</v>
      </c>
      <c r="J429" s="1" t="str">
        <f>TEXT(Employee_Sample_Data_1[[#This Row],[Hire Date]], "dddd")</f>
        <v>Friday</v>
      </c>
      <c r="K429" s="1" t="str">
        <f>TEXT(Employee_Sample_Data_1[[#This Row],[Hire Date]], "mmmm")</f>
        <v>June</v>
      </c>
      <c r="L429" s="1" t="str">
        <f>TEXT(Employee_Sample_Data_1[[#This Row],[Hire Date]], "yyyy")</f>
        <v>2007</v>
      </c>
      <c r="M429" s="2">
        <v>70519</v>
      </c>
      <c r="N429" s="3">
        <v>0</v>
      </c>
      <c r="O429" s="9">
        <f>PRODUCT(Employee_Sample_Data_1[[#This Row],[Annual Salary]],Employee_Sample_Data_1[[#This Row],[Bonus %]])</f>
        <v>0</v>
      </c>
      <c r="P429" s="2">
        <f>ROUND(Employee_Sample_Data_1[[#This Row],[Annual Salary]]*(1+Employee_Sample_Data_1[[#This Row],[Bonus %]]), 0)</f>
        <v>70519</v>
      </c>
      <c r="Q429" t="s">
        <v>21</v>
      </c>
      <c r="R429" t="s">
        <v>22</v>
      </c>
      <c r="T429">
        <f ca="1">DATEDIF(Employee_Sample_Data_1[[#This Row],[Hire Date]], IF(Employee_Sample_Data_1[[#This Row],[Exit Date]] = "", TODAY(), Employee_Sample_Data_1[[#This Row],[Exit Date]]), "Y")</f>
        <v>18</v>
      </c>
    </row>
    <row r="430" spans="1:20" x14ac:dyDescent="0.25">
      <c r="A430" t="s">
        <v>935</v>
      </c>
      <c r="B430" t="s">
        <v>936</v>
      </c>
      <c r="C430" t="s">
        <v>66</v>
      </c>
      <c r="D430" t="s">
        <v>32</v>
      </c>
      <c r="E430" t="s">
        <v>33</v>
      </c>
      <c r="F430" t="s">
        <v>39</v>
      </c>
      <c r="G430" t="s">
        <v>20</v>
      </c>
      <c r="H430">
        <v>55</v>
      </c>
      <c r="I430" s="1">
        <v>39107</v>
      </c>
      <c r="J430" s="1" t="str">
        <f>TEXT(Employee_Sample_Data_1[[#This Row],[Hire Date]], "dddd")</f>
        <v>Thursday</v>
      </c>
      <c r="K430" s="1" t="str">
        <f>TEXT(Employee_Sample_Data_1[[#This Row],[Hire Date]], "mmmm")</f>
        <v>January</v>
      </c>
      <c r="L430" s="1" t="str">
        <f>TEXT(Employee_Sample_Data_1[[#This Row],[Hire Date]], "yyyy")</f>
        <v>2007</v>
      </c>
      <c r="M430" s="2">
        <v>106302</v>
      </c>
      <c r="N430" s="3">
        <v>0.08</v>
      </c>
      <c r="O430" s="9">
        <f>PRODUCT(Employee_Sample_Data_1[[#This Row],[Annual Salary]],Employee_Sample_Data_1[[#This Row],[Bonus %]])</f>
        <v>8504.16</v>
      </c>
      <c r="P430" s="2">
        <f>ROUND(Employee_Sample_Data_1[[#This Row],[Annual Salary]]*(1+Employee_Sample_Data_1[[#This Row],[Bonus %]]), 0)</f>
        <v>114806</v>
      </c>
      <c r="Q430" t="s">
        <v>21</v>
      </c>
      <c r="R430" t="s">
        <v>45</v>
      </c>
      <c r="T430">
        <f ca="1">DATEDIF(Employee_Sample_Data_1[[#This Row],[Hire Date]], IF(Employee_Sample_Data_1[[#This Row],[Exit Date]] = "", TODAY(), Employee_Sample_Data_1[[#This Row],[Exit Date]]), "Y")</f>
        <v>19</v>
      </c>
    </row>
    <row r="431" spans="1:20" x14ac:dyDescent="0.25">
      <c r="A431" t="s">
        <v>937</v>
      </c>
      <c r="B431" t="s">
        <v>938</v>
      </c>
      <c r="C431" t="s">
        <v>265</v>
      </c>
      <c r="D431" t="s">
        <v>17</v>
      </c>
      <c r="E431" t="s">
        <v>53</v>
      </c>
      <c r="F431" t="s">
        <v>19</v>
      </c>
      <c r="G431" t="s">
        <v>20</v>
      </c>
      <c r="H431">
        <v>38</v>
      </c>
      <c r="I431" s="1">
        <v>39685</v>
      </c>
      <c r="J431" s="1" t="str">
        <f>TEXT(Employee_Sample_Data_1[[#This Row],[Hire Date]], "dddd")</f>
        <v>Monday</v>
      </c>
      <c r="K431" s="1" t="str">
        <f>TEXT(Employee_Sample_Data_1[[#This Row],[Hire Date]], "mmmm")</f>
        <v>August</v>
      </c>
      <c r="L431" s="1" t="str">
        <f>TEXT(Employee_Sample_Data_1[[#This Row],[Hire Date]], "yyyy")</f>
        <v>2008</v>
      </c>
      <c r="M431" s="2">
        <v>119960</v>
      </c>
      <c r="N431" s="3">
        <v>0.15</v>
      </c>
      <c r="O431" s="9">
        <f>PRODUCT(Employee_Sample_Data_1[[#This Row],[Annual Salary]],Employee_Sample_Data_1[[#This Row],[Bonus %]])</f>
        <v>17994</v>
      </c>
      <c r="P431" s="2">
        <f>ROUND(Employee_Sample_Data_1[[#This Row],[Annual Salary]]*(1+Employee_Sample_Data_1[[#This Row],[Bonus %]]), 0)</f>
        <v>137954</v>
      </c>
      <c r="Q431" t="s">
        <v>21</v>
      </c>
      <c r="R431" t="s">
        <v>22</v>
      </c>
      <c r="T431">
        <f ca="1">DATEDIF(Employee_Sample_Data_1[[#This Row],[Hire Date]], IF(Employee_Sample_Data_1[[#This Row],[Exit Date]] = "", TODAY(), Employee_Sample_Data_1[[#This Row],[Exit Date]]), "Y")</f>
        <v>17</v>
      </c>
    </row>
    <row r="432" spans="1:20" x14ac:dyDescent="0.25">
      <c r="A432" t="s">
        <v>939</v>
      </c>
      <c r="B432" t="s">
        <v>940</v>
      </c>
      <c r="C432" t="s">
        <v>131</v>
      </c>
      <c r="D432" t="s">
        <v>17</v>
      </c>
      <c r="E432" t="s">
        <v>33</v>
      </c>
      <c r="F432" t="s">
        <v>19</v>
      </c>
      <c r="G432" t="s">
        <v>40</v>
      </c>
      <c r="H432">
        <v>45</v>
      </c>
      <c r="I432" s="1">
        <v>42788</v>
      </c>
      <c r="J432" s="1" t="str">
        <f>TEXT(Employee_Sample_Data_1[[#This Row],[Hire Date]], "dddd")</f>
        <v>Wednesday</v>
      </c>
      <c r="K432" s="1" t="str">
        <f>TEXT(Employee_Sample_Data_1[[#This Row],[Hire Date]], "mmmm")</f>
        <v>February</v>
      </c>
      <c r="L432" s="1" t="str">
        <f>TEXT(Employee_Sample_Data_1[[#This Row],[Hire Date]], "yyyy")</f>
        <v>2017</v>
      </c>
      <c r="M432" s="2">
        <v>84309</v>
      </c>
      <c r="N432" s="3">
        <v>0</v>
      </c>
      <c r="O432" s="9">
        <f>PRODUCT(Employee_Sample_Data_1[[#This Row],[Annual Salary]],Employee_Sample_Data_1[[#This Row],[Bonus %]])</f>
        <v>0</v>
      </c>
      <c r="P432" s="2">
        <f>ROUND(Employee_Sample_Data_1[[#This Row],[Annual Salary]]*(1+Employee_Sample_Data_1[[#This Row],[Bonus %]]), 0)</f>
        <v>84309</v>
      </c>
      <c r="Q432" t="s">
        <v>134</v>
      </c>
      <c r="R432" t="s">
        <v>286</v>
      </c>
      <c r="T432">
        <f ca="1">DATEDIF(Employee_Sample_Data_1[[#This Row],[Hire Date]], IF(Employee_Sample_Data_1[[#This Row],[Exit Date]] = "", TODAY(), Employee_Sample_Data_1[[#This Row],[Exit Date]]), "Y")</f>
        <v>9</v>
      </c>
    </row>
    <row r="433" spans="1:20" x14ac:dyDescent="0.25">
      <c r="A433" t="s">
        <v>941</v>
      </c>
      <c r="B433" t="s">
        <v>942</v>
      </c>
      <c r="C433" t="s">
        <v>86</v>
      </c>
      <c r="D433" t="s">
        <v>17</v>
      </c>
      <c r="E433" t="s">
        <v>18</v>
      </c>
      <c r="F433" t="s">
        <v>39</v>
      </c>
      <c r="G433" t="s">
        <v>63</v>
      </c>
      <c r="H433">
        <v>53</v>
      </c>
      <c r="I433" s="1">
        <v>39314</v>
      </c>
      <c r="J433" s="1" t="str">
        <f>TEXT(Employee_Sample_Data_1[[#This Row],[Hire Date]], "dddd")</f>
        <v>Monday</v>
      </c>
      <c r="K433" s="1" t="str">
        <f>TEXT(Employee_Sample_Data_1[[#This Row],[Hire Date]], "mmmm")</f>
        <v>August</v>
      </c>
      <c r="L433" s="1" t="str">
        <f>TEXT(Employee_Sample_Data_1[[#This Row],[Hire Date]], "yyyy")</f>
        <v>2007</v>
      </c>
      <c r="M433" s="2">
        <v>228494</v>
      </c>
      <c r="N433" s="3">
        <v>0.33</v>
      </c>
      <c r="O433" s="9">
        <f>PRODUCT(Employee_Sample_Data_1[[#This Row],[Annual Salary]],Employee_Sample_Data_1[[#This Row],[Bonus %]])</f>
        <v>75403.02</v>
      </c>
      <c r="P433" s="2">
        <f>ROUND(Employee_Sample_Data_1[[#This Row],[Annual Salary]]*(1+Employee_Sample_Data_1[[#This Row],[Bonus %]]), 0)</f>
        <v>303897</v>
      </c>
      <c r="Q433" t="s">
        <v>21</v>
      </c>
      <c r="R433" t="s">
        <v>45</v>
      </c>
      <c r="T433">
        <f ca="1">DATEDIF(Employee_Sample_Data_1[[#This Row],[Hire Date]], IF(Employee_Sample_Data_1[[#This Row],[Exit Date]] = "", TODAY(), Employee_Sample_Data_1[[#This Row],[Exit Date]]), "Y")</f>
        <v>18</v>
      </c>
    </row>
    <row r="434" spans="1:20" x14ac:dyDescent="0.25">
      <c r="A434" t="s">
        <v>943</v>
      </c>
      <c r="B434" t="s">
        <v>944</v>
      </c>
      <c r="C434" t="s">
        <v>66</v>
      </c>
      <c r="D434" t="s">
        <v>26</v>
      </c>
      <c r="E434" t="s">
        <v>53</v>
      </c>
      <c r="F434" t="s">
        <v>19</v>
      </c>
      <c r="G434" t="s">
        <v>20</v>
      </c>
      <c r="H434">
        <v>45</v>
      </c>
      <c r="I434" s="1">
        <v>42878</v>
      </c>
      <c r="J434" s="1" t="str">
        <f>TEXT(Employee_Sample_Data_1[[#This Row],[Hire Date]], "dddd")</f>
        <v>Tuesday</v>
      </c>
      <c r="K434" s="1" t="str">
        <f>TEXT(Employee_Sample_Data_1[[#This Row],[Hire Date]], "mmmm")</f>
        <v>May</v>
      </c>
      <c r="L434" s="1" t="str">
        <f>TEXT(Employee_Sample_Data_1[[#This Row],[Hire Date]], "yyyy")</f>
        <v>2017</v>
      </c>
      <c r="M434" s="2">
        <v>112076</v>
      </c>
      <c r="N434" s="3">
        <v>0.06</v>
      </c>
      <c r="O434" s="9">
        <f>PRODUCT(Employee_Sample_Data_1[[#This Row],[Annual Salary]],Employee_Sample_Data_1[[#This Row],[Bonus %]])</f>
        <v>6724.5599999999995</v>
      </c>
      <c r="P434" s="2">
        <f>ROUND(Employee_Sample_Data_1[[#This Row],[Annual Salary]]*(1+Employee_Sample_Data_1[[#This Row],[Bonus %]]), 0)</f>
        <v>118801</v>
      </c>
      <c r="Q434" t="s">
        <v>34</v>
      </c>
      <c r="R434" t="s">
        <v>59</v>
      </c>
      <c r="T434">
        <f ca="1">DATEDIF(Employee_Sample_Data_1[[#This Row],[Hire Date]], IF(Employee_Sample_Data_1[[#This Row],[Exit Date]] = "", TODAY(), Employee_Sample_Data_1[[#This Row],[Exit Date]]), "Y")</f>
        <v>9</v>
      </c>
    </row>
    <row r="435" spans="1:20" x14ac:dyDescent="0.25">
      <c r="A435" t="s">
        <v>945</v>
      </c>
      <c r="B435" t="s">
        <v>946</v>
      </c>
      <c r="C435" t="s">
        <v>98</v>
      </c>
      <c r="D435" t="s">
        <v>32</v>
      </c>
      <c r="E435" t="s">
        <v>53</v>
      </c>
      <c r="F435" t="s">
        <v>19</v>
      </c>
      <c r="G435" t="s">
        <v>40</v>
      </c>
      <c r="H435">
        <v>65</v>
      </c>
      <c r="I435" s="1">
        <v>42580</v>
      </c>
      <c r="J435" s="1" t="str">
        <f>TEXT(Employee_Sample_Data_1[[#This Row],[Hire Date]], "dddd")</f>
        <v>Friday</v>
      </c>
      <c r="K435" s="1" t="str">
        <f>TEXT(Employee_Sample_Data_1[[#This Row],[Hire Date]], "mmmm")</f>
        <v>July</v>
      </c>
      <c r="L435" s="1" t="str">
        <f>TEXT(Employee_Sample_Data_1[[#This Row],[Hire Date]], "yyyy")</f>
        <v>2016</v>
      </c>
      <c r="M435" s="2">
        <v>88533</v>
      </c>
      <c r="N435" s="3">
        <v>0</v>
      </c>
      <c r="O435" s="9">
        <f>PRODUCT(Employee_Sample_Data_1[[#This Row],[Annual Salary]],Employee_Sample_Data_1[[#This Row],[Bonus %]])</f>
        <v>0</v>
      </c>
      <c r="P435" s="2">
        <f>ROUND(Employee_Sample_Data_1[[#This Row],[Annual Salary]]*(1+Employee_Sample_Data_1[[#This Row],[Bonus %]]), 0)</f>
        <v>88533</v>
      </c>
      <c r="Q435" t="s">
        <v>134</v>
      </c>
      <c r="R435" t="s">
        <v>135</v>
      </c>
      <c r="T435">
        <f ca="1">DATEDIF(Employee_Sample_Data_1[[#This Row],[Hire Date]], IF(Employee_Sample_Data_1[[#This Row],[Exit Date]] = "", TODAY(), Employee_Sample_Data_1[[#This Row],[Exit Date]]), "Y")</f>
        <v>9</v>
      </c>
    </row>
    <row r="436" spans="1:20" x14ac:dyDescent="0.25">
      <c r="A436" t="s">
        <v>947</v>
      </c>
      <c r="B436" t="s">
        <v>948</v>
      </c>
      <c r="C436" t="s">
        <v>244</v>
      </c>
      <c r="D436" t="s">
        <v>123</v>
      </c>
      <c r="E436" t="s">
        <v>33</v>
      </c>
      <c r="F436" t="s">
        <v>19</v>
      </c>
      <c r="G436" t="s">
        <v>40</v>
      </c>
      <c r="H436">
        <v>62</v>
      </c>
      <c r="I436" s="1">
        <v>43433</v>
      </c>
      <c r="J436" s="1" t="str">
        <f>TEXT(Employee_Sample_Data_1[[#This Row],[Hire Date]], "dddd")</f>
        <v>Thursday</v>
      </c>
      <c r="K436" s="1" t="str">
        <f>TEXT(Employee_Sample_Data_1[[#This Row],[Hire Date]], "mmmm")</f>
        <v>November</v>
      </c>
      <c r="L436" s="1" t="str">
        <f>TEXT(Employee_Sample_Data_1[[#This Row],[Hire Date]], "yyyy")</f>
        <v>2018</v>
      </c>
      <c r="M436" s="2">
        <v>72025</v>
      </c>
      <c r="N436" s="3">
        <v>0</v>
      </c>
      <c r="O436" s="9">
        <f>PRODUCT(Employee_Sample_Data_1[[#This Row],[Annual Salary]],Employee_Sample_Data_1[[#This Row],[Bonus %]])</f>
        <v>0</v>
      </c>
      <c r="P436" s="2">
        <f>ROUND(Employee_Sample_Data_1[[#This Row],[Annual Salary]]*(1+Employee_Sample_Data_1[[#This Row],[Bonus %]]), 0)</f>
        <v>72025</v>
      </c>
      <c r="Q436" t="s">
        <v>134</v>
      </c>
      <c r="R436" t="s">
        <v>286</v>
      </c>
      <c r="T436">
        <f ca="1">DATEDIF(Employee_Sample_Data_1[[#This Row],[Hire Date]], IF(Employee_Sample_Data_1[[#This Row],[Exit Date]] = "", TODAY(), Employee_Sample_Data_1[[#This Row],[Exit Date]]), "Y")</f>
        <v>7</v>
      </c>
    </row>
    <row r="437" spans="1:20" x14ac:dyDescent="0.25">
      <c r="A437" t="s">
        <v>949</v>
      </c>
      <c r="B437" t="s">
        <v>950</v>
      </c>
      <c r="C437" t="s">
        <v>289</v>
      </c>
      <c r="D437" t="s">
        <v>17</v>
      </c>
      <c r="E437" t="s">
        <v>18</v>
      </c>
      <c r="F437" t="s">
        <v>19</v>
      </c>
      <c r="G437" t="s">
        <v>20</v>
      </c>
      <c r="H437">
        <v>59</v>
      </c>
      <c r="I437" s="1">
        <v>38023</v>
      </c>
      <c r="J437" s="1" t="str">
        <f>TEXT(Employee_Sample_Data_1[[#This Row],[Hire Date]], "dddd")</f>
        <v>Friday</v>
      </c>
      <c r="K437" s="1" t="str">
        <f>TEXT(Employee_Sample_Data_1[[#This Row],[Hire Date]], "mmmm")</f>
        <v>February</v>
      </c>
      <c r="L437" s="1" t="str">
        <f>TEXT(Employee_Sample_Data_1[[#This Row],[Hire Date]], "yyyy")</f>
        <v>2004</v>
      </c>
      <c r="M437" s="2">
        <v>67947</v>
      </c>
      <c r="N437" s="3">
        <v>0</v>
      </c>
      <c r="O437" s="9">
        <f>PRODUCT(Employee_Sample_Data_1[[#This Row],[Annual Salary]],Employee_Sample_Data_1[[#This Row],[Bonus %]])</f>
        <v>0</v>
      </c>
      <c r="P437" s="2">
        <f>ROUND(Employee_Sample_Data_1[[#This Row],[Annual Salary]]*(1+Employee_Sample_Data_1[[#This Row],[Bonus %]]), 0)</f>
        <v>67947</v>
      </c>
      <c r="Q437" t="s">
        <v>34</v>
      </c>
      <c r="R437" t="s">
        <v>35</v>
      </c>
      <c r="T437">
        <f ca="1">DATEDIF(Employee_Sample_Data_1[[#This Row],[Hire Date]], IF(Employee_Sample_Data_1[[#This Row],[Exit Date]] = "", TODAY(), Employee_Sample_Data_1[[#This Row],[Exit Date]]), "Y")</f>
        <v>22</v>
      </c>
    </row>
    <row r="438" spans="1:20" x14ac:dyDescent="0.25">
      <c r="A438" t="s">
        <v>951</v>
      </c>
      <c r="B438" t="s">
        <v>952</v>
      </c>
      <c r="C438" t="s">
        <v>161</v>
      </c>
      <c r="D438" t="s">
        <v>32</v>
      </c>
      <c r="E438" t="s">
        <v>18</v>
      </c>
      <c r="F438" t="s">
        <v>39</v>
      </c>
      <c r="G438" t="s">
        <v>63</v>
      </c>
      <c r="H438">
        <v>42</v>
      </c>
      <c r="I438" s="1">
        <v>44024</v>
      </c>
      <c r="J438" s="1" t="str">
        <f>TEXT(Employee_Sample_Data_1[[#This Row],[Hire Date]], "dddd")</f>
        <v>Sunday</v>
      </c>
      <c r="K438" s="1" t="str">
        <f>TEXT(Employee_Sample_Data_1[[#This Row],[Hire Date]], "mmmm")</f>
        <v>July</v>
      </c>
      <c r="L438" s="1" t="str">
        <f>TEXT(Employee_Sample_Data_1[[#This Row],[Hire Date]], "yyyy")</f>
        <v>2020</v>
      </c>
      <c r="M438" s="2">
        <v>79764</v>
      </c>
      <c r="N438" s="3">
        <v>0</v>
      </c>
      <c r="O438" s="9">
        <f>PRODUCT(Employee_Sample_Data_1[[#This Row],[Annual Salary]],Employee_Sample_Data_1[[#This Row],[Bonus %]])</f>
        <v>0</v>
      </c>
      <c r="P438" s="2">
        <f>ROUND(Employee_Sample_Data_1[[#This Row],[Annual Salary]]*(1+Employee_Sample_Data_1[[#This Row],[Bonus %]]), 0)</f>
        <v>79764</v>
      </c>
      <c r="Q438" t="s">
        <v>21</v>
      </c>
      <c r="R438" t="s">
        <v>45</v>
      </c>
      <c r="S438" s="1">
        <v>44232</v>
      </c>
      <c r="T438">
        <f ca="1">DATEDIF(Employee_Sample_Data_1[[#This Row],[Hire Date]], IF(Employee_Sample_Data_1[[#This Row],[Exit Date]] = "", TODAY(), Employee_Sample_Data_1[[#This Row],[Exit Date]]), "Y")</f>
        <v>0</v>
      </c>
    </row>
    <row r="439" spans="1:20" x14ac:dyDescent="0.25">
      <c r="A439" t="s">
        <v>953</v>
      </c>
      <c r="B439" t="s">
        <v>954</v>
      </c>
      <c r="C439" t="s">
        <v>161</v>
      </c>
      <c r="D439" t="s">
        <v>32</v>
      </c>
      <c r="E439" t="s">
        <v>33</v>
      </c>
      <c r="F439" t="s">
        <v>39</v>
      </c>
      <c r="G439" t="s">
        <v>20</v>
      </c>
      <c r="H439">
        <v>33</v>
      </c>
      <c r="I439" s="1">
        <v>42081</v>
      </c>
      <c r="J439" s="1" t="str">
        <f>TEXT(Employee_Sample_Data_1[[#This Row],[Hire Date]], "dddd")</f>
        <v>Wednesday</v>
      </c>
      <c r="K439" s="1" t="str">
        <f>TEXT(Employee_Sample_Data_1[[#This Row],[Hire Date]], "mmmm")</f>
        <v>March</v>
      </c>
      <c r="L439" s="1" t="str">
        <f>TEXT(Employee_Sample_Data_1[[#This Row],[Hire Date]], "yyyy")</f>
        <v>2015</v>
      </c>
      <c r="M439" s="2">
        <v>60690</v>
      </c>
      <c r="N439" s="3">
        <v>0</v>
      </c>
      <c r="O439" s="9">
        <f>PRODUCT(Employee_Sample_Data_1[[#This Row],[Annual Salary]],Employee_Sample_Data_1[[#This Row],[Bonus %]])</f>
        <v>0</v>
      </c>
      <c r="P439" s="2">
        <f>ROUND(Employee_Sample_Data_1[[#This Row],[Annual Salary]]*(1+Employee_Sample_Data_1[[#This Row],[Bonus %]]), 0)</f>
        <v>60690</v>
      </c>
      <c r="Q439" t="s">
        <v>34</v>
      </c>
      <c r="R439" t="s">
        <v>54</v>
      </c>
      <c r="T439">
        <f ca="1">DATEDIF(Employee_Sample_Data_1[[#This Row],[Hire Date]], IF(Employee_Sample_Data_1[[#This Row],[Exit Date]] = "", TODAY(), Employee_Sample_Data_1[[#This Row],[Exit Date]]), "Y")</f>
        <v>11</v>
      </c>
    </row>
    <row r="440" spans="1:20" x14ac:dyDescent="0.25">
      <c r="A440" t="s">
        <v>955</v>
      </c>
      <c r="B440" t="s">
        <v>956</v>
      </c>
      <c r="C440" t="s">
        <v>25</v>
      </c>
      <c r="D440" t="s">
        <v>52</v>
      </c>
      <c r="E440" t="s">
        <v>27</v>
      </c>
      <c r="F440" t="s">
        <v>19</v>
      </c>
      <c r="G440" t="s">
        <v>20</v>
      </c>
      <c r="H440">
        <v>29</v>
      </c>
      <c r="I440" s="1">
        <v>43337</v>
      </c>
      <c r="J440" s="1" t="str">
        <f>TEXT(Employee_Sample_Data_1[[#This Row],[Hire Date]], "dddd")</f>
        <v>Saturday</v>
      </c>
      <c r="K440" s="1" t="str">
        <f>TEXT(Employee_Sample_Data_1[[#This Row],[Hire Date]], "mmmm")</f>
        <v>August</v>
      </c>
      <c r="L440" s="1" t="str">
        <f>TEXT(Employee_Sample_Data_1[[#This Row],[Hire Date]], "yyyy")</f>
        <v>2018</v>
      </c>
      <c r="M440" s="2">
        <v>44520</v>
      </c>
      <c r="N440" s="3">
        <v>0</v>
      </c>
      <c r="O440" s="9">
        <f>PRODUCT(Employee_Sample_Data_1[[#This Row],[Annual Salary]],Employee_Sample_Data_1[[#This Row],[Bonus %]])</f>
        <v>0</v>
      </c>
      <c r="P440" s="2">
        <f>ROUND(Employee_Sample_Data_1[[#This Row],[Annual Salary]]*(1+Employee_Sample_Data_1[[#This Row],[Bonus %]]), 0)</f>
        <v>44520</v>
      </c>
      <c r="Q440" t="s">
        <v>21</v>
      </c>
      <c r="R440" t="s">
        <v>28</v>
      </c>
      <c r="T440">
        <f ca="1">DATEDIF(Employee_Sample_Data_1[[#This Row],[Hire Date]], IF(Employee_Sample_Data_1[[#This Row],[Exit Date]] = "", TODAY(), Employee_Sample_Data_1[[#This Row],[Exit Date]]), "Y")</f>
        <v>7</v>
      </c>
    </row>
    <row r="441" spans="1:20" x14ac:dyDescent="0.25">
      <c r="A441" t="s">
        <v>957</v>
      </c>
      <c r="B441" t="s">
        <v>958</v>
      </c>
      <c r="C441" t="s">
        <v>377</v>
      </c>
      <c r="D441" t="s">
        <v>32</v>
      </c>
      <c r="E441" t="s">
        <v>27</v>
      </c>
      <c r="F441" t="s">
        <v>19</v>
      </c>
      <c r="G441" t="s">
        <v>40</v>
      </c>
      <c r="H441">
        <v>33</v>
      </c>
      <c r="I441" s="1">
        <v>44736</v>
      </c>
      <c r="J441" s="1" t="str">
        <f>TEXT(Employee_Sample_Data_1[[#This Row],[Hire Date]], "dddd")</f>
        <v>Friday</v>
      </c>
      <c r="K441" s="1" t="str">
        <f>TEXT(Employee_Sample_Data_1[[#This Row],[Hire Date]], "mmmm")</f>
        <v>June</v>
      </c>
      <c r="L441" s="1" t="str">
        <f>TEXT(Employee_Sample_Data_1[[#This Row],[Hire Date]], "yyyy")</f>
        <v>2022</v>
      </c>
      <c r="M441" s="2">
        <v>84317</v>
      </c>
      <c r="N441" s="3">
        <v>0</v>
      </c>
      <c r="O441" s="9">
        <f>PRODUCT(Employee_Sample_Data_1[[#This Row],[Annual Salary]],Employee_Sample_Data_1[[#This Row],[Bonus %]])</f>
        <v>0</v>
      </c>
      <c r="P441" s="2">
        <f>ROUND(Employee_Sample_Data_1[[#This Row],[Annual Salary]]*(1+Employee_Sample_Data_1[[#This Row],[Bonus %]]), 0)</f>
        <v>84317</v>
      </c>
      <c r="Q441" t="s">
        <v>134</v>
      </c>
      <c r="R441" t="s">
        <v>135</v>
      </c>
      <c r="T441">
        <f ca="1">DATEDIF(Employee_Sample_Data_1[[#This Row],[Hire Date]], IF(Employee_Sample_Data_1[[#This Row],[Exit Date]] = "", TODAY(), Employee_Sample_Data_1[[#This Row],[Exit Date]]), "Y")</f>
        <v>3</v>
      </c>
    </row>
    <row r="442" spans="1:20" x14ac:dyDescent="0.25">
      <c r="A442" t="s">
        <v>959</v>
      </c>
      <c r="B442" t="s">
        <v>960</v>
      </c>
      <c r="C442" t="s">
        <v>44</v>
      </c>
      <c r="D442" t="s">
        <v>26</v>
      </c>
      <c r="E442" t="s">
        <v>18</v>
      </c>
      <c r="F442" t="s">
        <v>39</v>
      </c>
      <c r="G442" t="s">
        <v>20</v>
      </c>
      <c r="H442">
        <v>36</v>
      </c>
      <c r="I442" s="1">
        <v>42138</v>
      </c>
      <c r="J442" s="1" t="str">
        <f>TEXT(Employee_Sample_Data_1[[#This Row],[Hire Date]], "dddd")</f>
        <v>Thursday</v>
      </c>
      <c r="K442" s="1" t="str">
        <f>TEXT(Employee_Sample_Data_1[[#This Row],[Hire Date]], "mmmm")</f>
        <v>May</v>
      </c>
      <c r="L442" s="1" t="str">
        <f>TEXT(Employee_Sample_Data_1[[#This Row],[Hire Date]], "yyyy")</f>
        <v>2015</v>
      </c>
      <c r="M442" s="2">
        <v>151055</v>
      </c>
      <c r="N442" s="3">
        <v>0.19</v>
      </c>
      <c r="O442" s="9">
        <f>PRODUCT(Employee_Sample_Data_1[[#This Row],[Annual Salary]],Employee_Sample_Data_1[[#This Row],[Bonus %]])</f>
        <v>28700.45</v>
      </c>
      <c r="P442" s="2">
        <f>ROUND(Employee_Sample_Data_1[[#This Row],[Annual Salary]]*(1+Employee_Sample_Data_1[[#This Row],[Bonus %]]), 0)</f>
        <v>179755</v>
      </c>
      <c r="Q442" t="s">
        <v>21</v>
      </c>
      <c r="R442" t="s">
        <v>22</v>
      </c>
      <c r="T442">
        <f ca="1">DATEDIF(Employee_Sample_Data_1[[#This Row],[Hire Date]], IF(Employee_Sample_Data_1[[#This Row],[Exit Date]] = "", TODAY(), Employee_Sample_Data_1[[#This Row],[Exit Date]]), "Y")</f>
        <v>11</v>
      </c>
    </row>
    <row r="443" spans="1:20" x14ac:dyDescent="0.25">
      <c r="A443" t="s">
        <v>961</v>
      </c>
      <c r="B443" t="s">
        <v>962</v>
      </c>
      <c r="C443" t="s">
        <v>377</v>
      </c>
      <c r="D443" t="s">
        <v>32</v>
      </c>
      <c r="E443" t="s">
        <v>33</v>
      </c>
      <c r="F443" t="s">
        <v>19</v>
      </c>
      <c r="G443" t="s">
        <v>20</v>
      </c>
      <c r="H443">
        <v>43</v>
      </c>
      <c r="I443" s="1">
        <v>43917</v>
      </c>
      <c r="J443" s="1" t="str">
        <f>TEXT(Employee_Sample_Data_1[[#This Row],[Hire Date]], "dddd")</f>
        <v>Friday</v>
      </c>
      <c r="K443" s="1" t="str">
        <f>TEXT(Employee_Sample_Data_1[[#This Row],[Hire Date]], "mmmm")</f>
        <v>March</v>
      </c>
      <c r="L443" s="1" t="str">
        <f>TEXT(Employee_Sample_Data_1[[#This Row],[Hire Date]], "yyyy")</f>
        <v>2020</v>
      </c>
      <c r="M443" s="2">
        <v>62492</v>
      </c>
      <c r="N443" s="3">
        <v>0</v>
      </c>
      <c r="O443" s="9">
        <f>PRODUCT(Employee_Sample_Data_1[[#This Row],[Annual Salary]],Employee_Sample_Data_1[[#This Row],[Bonus %]])</f>
        <v>0</v>
      </c>
      <c r="P443" s="2">
        <f>ROUND(Employee_Sample_Data_1[[#This Row],[Annual Salary]]*(1+Employee_Sample_Data_1[[#This Row],[Bonus %]]), 0)</f>
        <v>62492</v>
      </c>
      <c r="Q443" t="s">
        <v>21</v>
      </c>
      <c r="R443" t="s">
        <v>22</v>
      </c>
      <c r="T443">
        <f ca="1">DATEDIF(Employee_Sample_Data_1[[#This Row],[Hire Date]], IF(Employee_Sample_Data_1[[#This Row],[Exit Date]] = "", TODAY(), Employee_Sample_Data_1[[#This Row],[Exit Date]]), "Y")</f>
        <v>6</v>
      </c>
    </row>
    <row r="444" spans="1:20" x14ac:dyDescent="0.25">
      <c r="A444" t="s">
        <v>963</v>
      </c>
      <c r="B444" t="s">
        <v>964</v>
      </c>
      <c r="C444" t="s">
        <v>244</v>
      </c>
      <c r="D444" t="s">
        <v>123</v>
      </c>
      <c r="E444" t="s">
        <v>33</v>
      </c>
      <c r="F444" t="s">
        <v>39</v>
      </c>
      <c r="G444" t="s">
        <v>20</v>
      </c>
      <c r="H444">
        <v>51</v>
      </c>
      <c r="I444" s="1">
        <v>40601</v>
      </c>
      <c r="J444" s="1" t="str">
        <f>TEXT(Employee_Sample_Data_1[[#This Row],[Hire Date]], "dddd")</f>
        <v>Sunday</v>
      </c>
      <c r="K444" s="1" t="str">
        <f>TEXT(Employee_Sample_Data_1[[#This Row],[Hire Date]], "mmmm")</f>
        <v>February</v>
      </c>
      <c r="L444" s="1" t="str">
        <f>TEXT(Employee_Sample_Data_1[[#This Row],[Hire Date]], "yyyy")</f>
        <v>2011</v>
      </c>
      <c r="M444" s="2">
        <v>72589</v>
      </c>
      <c r="N444" s="3">
        <v>0</v>
      </c>
      <c r="O444" s="9">
        <f>PRODUCT(Employee_Sample_Data_1[[#This Row],[Annual Salary]],Employee_Sample_Data_1[[#This Row],[Bonus %]])</f>
        <v>0</v>
      </c>
      <c r="P444" s="2">
        <f>ROUND(Employee_Sample_Data_1[[#This Row],[Annual Salary]]*(1+Employee_Sample_Data_1[[#This Row],[Bonus %]]), 0)</f>
        <v>72589</v>
      </c>
      <c r="Q444" t="s">
        <v>21</v>
      </c>
      <c r="R444" t="s">
        <v>45</v>
      </c>
      <c r="T444">
        <f ca="1">DATEDIF(Employee_Sample_Data_1[[#This Row],[Hire Date]], IF(Employee_Sample_Data_1[[#This Row],[Exit Date]] = "", TODAY(), Employee_Sample_Data_1[[#This Row],[Exit Date]]), "Y")</f>
        <v>15</v>
      </c>
    </row>
    <row r="445" spans="1:20" x14ac:dyDescent="0.25">
      <c r="A445" t="s">
        <v>965</v>
      </c>
      <c r="B445" t="s">
        <v>966</v>
      </c>
      <c r="C445" t="s">
        <v>433</v>
      </c>
      <c r="D445" t="s">
        <v>17</v>
      </c>
      <c r="E445" t="s">
        <v>27</v>
      </c>
      <c r="F445" t="s">
        <v>19</v>
      </c>
      <c r="G445" t="s">
        <v>20</v>
      </c>
      <c r="H445">
        <v>27</v>
      </c>
      <c r="I445" s="1">
        <v>44217</v>
      </c>
      <c r="J445" s="1" t="str">
        <f>TEXT(Employee_Sample_Data_1[[#This Row],[Hire Date]], "dddd")</f>
        <v>Thursday</v>
      </c>
      <c r="K445" s="1" t="str">
        <f>TEXT(Employee_Sample_Data_1[[#This Row],[Hire Date]], "mmmm")</f>
        <v>January</v>
      </c>
      <c r="L445" s="1" t="str">
        <f>TEXT(Employee_Sample_Data_1[[#This Row],[Hire Date]], "yyyy")</f>
        <v>2021</v>
      </c>
      <c r="M445" s="2">
        <v>82286</v>
      </c>
      <c r="N445" s="3">
        <v>0</v>
      </c>
      <c r="O445" s="9">
        <f>PRODUCT(Employee_Sample_Data_1[[#This Row],[Annual Salary]],Employee_Sample_Data_1[[#This Row],[Bonus %]])</f>
        <v>0</v>
      </c>
      <c r="P445" s="2">
        <f>ROUND(Employee_Sample_Data_1[[#This Row],[Annual Salary]]*(1+Employee_Sample_Data_1[[#This Row],[Bonus %]]), 0)</f>
        <v>82286</v>
      </c>
      <c r="Q445" t="s">
        <v>21</v>
      </c>
      <c r="R445" t="s">
        <v>28</v>
      </c>
      <c r="S445" s="1">
        <v>44867</v>
      </c>
      <c r="T445">
        <f ca="1">DATEDIF(Employee_Sample_Data_1[[#This Row],[Hire Date]], IF(Employee_Sample_Data_1[[#This Row],[Exit Date]] = "", TODAY(), Employee_Sample_Data_1[[#This Row],[Exit Date]]), "Y")</f>
        <v>1</v>
      </c>
    </row>
    <row r="446" spans="1:20" x14ac:dyDescent="0.25">
      <c r="A446" t="s">
        <v>967</v>
      </c>
      <c r="B446" t="s">
        <v>968</v>
      </c>
      <c r="C446" t="s">
        <v>161</v>
      </c>
      <c r="D446" t="s">
        <v>32</v>
      </c>
      <c r="E446" t="s">
        <v>33</v>
      </c>
      <c r="F446" t="s">
        <v>39</v>
      </c>
      <c r="G446" t="s">
        <v>63</v>
      </c>
      <c r="H446">
        <v>55</v>
      </c>
      <c r="I446" s="1">
        <v>40870</v>
      </c>
      <c r="J446" s="1" t="str">
        <f>TEXT(Employee_Sample_Data_1[[#This Row],[Hire Date]], "dddd")</f>
        <v>Wednesday</v>
      </c>
      <c r="K446" s="1" t="str">
        <f>TEXT(Employee_Sample_Data_1[[#This Row],[Hire Date]], "mmmm")</f>
        <v>November</v>
      </c>
      <c r="L446" s="1" t="str">
        <f>TEXT(Employee_Sample_Data_1[[#This Row],[Hire Date]], "yyyy")</f>
        <v>2011</v>
      </c>
      <c r="M446" s="2">
        <v>66660</v>
      </c>
      <c r="N446" s="3">
        <v>0</v>
      </c>
      <c r="O446" s="9">
        <f>PRODUCT(Employee_Sample_Data_1[[#This Row],[Annual Salary]],Employee_Sample_Data_1[[#This Row],[Bonus %]])</f>
        <v>0</v>
      </c>
      <c r="P446" s="2">
        <f>ROUND(Employee_Sample_Data_1[[#This Row],[Annual Salary]]*(1+Employee_Sample_Data_1[[#This Row],[Bonus %]]), 0)</f>
        <v>66660</v>
      </c>
      <c r="Q446" t="s">
        <v>21</v>
      </c>
      <c r="R446" t="s">
        <v>48</v>
      </c>
      <c r="S446" s="1">
        <v>43055</v>
      </c>
      <c r="T446">
        <f ca="1">DATEDIF(Employee_Sample_Data_1[[#This Row],[Hire Date]], IF(Employee_Sample_Data_1[[#This Row],[Exit Date]] = "", TODAY(), Employee_Sample_Data_1[[#This Row],[Exit Date]]), "Y")</f>
        <v>5</v>
      </c>
    </row>
    <row r="447" spans="1:20" x14ac:dyDescent="0.25">
      <c r="A447" t="s">
        <v>969</v>
      </c>
      <c r="B447" t="s">
        <v>970</v>
      </c>
      <c r="C447" t="s">
        <v>410</v>
      </c>
      <c r="D447" t="s">
        <v>17</v>
      </c>
      <c r="E447" t="s">
        <v>53</v>
      </c>
      <c r="F447" t="s">
        <v>39</v>
      </c>
      <c r="G447" t="s">
        <v>40</v>
      </c>
      <c r="H447">
        <v>62</v>
      </c>
      <c r="I447" s="1">
        <v>40043</v>
      </c>
      <c r="J447" s="1" t="str">
        <f>TEXT(Employee_Sample_Data_1[[#This Row],[Hire Date]], "dddd")</f>
        <v>Tuesday</v>
      </c>
      <c r="K447" s="1" t="str">
        <f>TEXT(Employee_Sample_Data_1[[#This Row],[Hire Date]], "mmmm")</f>
        <v>August</v>
      </c>
      <c r="L447" s="1" t="str">
        <f>TEXT(Employee_Sample_Data_1[[#This Row],[Hire Date]], "yyyy")</f>
        <v>2009</v>
      </c>
      <c r="M447" s="2">
        <v>86805</v>
      </c>
      <c r="N447" s="3">
        <v>0</v>
      </c>
      <c r="O447" s="9">
        <f>PRODUCT(Employee_Sample_Data_1[[#This Row],[Annual Salary]],Employee_Sample_Data_1[[#This Row],[Bonus %]])</f>
        <v>0</v>
      </c>
      <c r="P447" s="2">
        <f>ROUND(Employee_Sample_Data_1[[#This Row],[Annual Salary]]*(1+Employee_Sample_Data_1[[#This Row],[Bonus %]]), 0)</f>
        <v>86805</v>
      </c>
      <c r="Q447" t="s">
        <v>21</v>
      </c>
      <c r="R447" t="s">
        <v>45</v>
      </c>
      <c r="T447">
        <f ca="1">DATEDIF(Employee_Sample_Data_1[[#This Row],[Hire Date]], IF(Employee_Sample_Data_1[[#This Row],[Exit Date]] = "", TODAY(), Employee_Sample_Data_1[[#This Row],[Exit Date]]), "Y")</f>
        <v>16</v>
      </c>
    </row>
    <row r="448" spans="1:20" x14ac:dyDescent="0.25">
      <c r="A448" t="s">
        <v>971</v>
      </c>
      <c r="B448" t="s">
        <v>972</v>
      </c>
      <c r="C448" t="s">
        <v>66</v>
      </c>
      <c r="D448" t="s">
        <v>123</v>
      </c>
      <c r="E448" t="s">
        <v>53</v>
      </c>
      <c r="F448" t="s">
        <v>39</v>
      </c>
      <c r="G448" t="s">
        <v>20</v>
      </c>
      <c r="H448">
        <v>46</v>
      </c>
      <c r="I448" s="1">
        <v>38210</v>
      </c>
      <c r="J448" s="1" t="str">
        <f>TEXT(Employee_Sample_Data_1[[#This Row],[Hire Date]], "dddd")</f>
        <v>Wednesday</v>
      </c>
      <c r="K448" s="1" t="str">
        <f>TEXT(Employee_Sample_Data_1[[#This Row],[Hire Date]], "mmmm")</f>
        <v>August</v>
      </c>
      <c r="L448" s="1" t="str">
        <f>TEXT(Employee_Sample_Data_1[[#This Row],[Hire Date]], "yyyy")</f>
        <v>2004</v>
      </c>
      <c r="M448" s="2">
        <v>125878</v>
      </c>
      <c r="N448" s="3">
        <v>0.1</v>
      </c>
      <c r="O448" s="9">
        <f>PRODUCT(Employee_Sample_Data_1[[#This Row],[Annual Salary]],Employee_Sample_Data_1[[#This Row],[Bonus %]])</f>
        <v>12587.800000000001</v>
      </c>
      <c r="P448" s="2">
        <f>ROUND(Employee_Sample_Data_1[[#This Row],[Annual Salary]]*(1+Employee_Sample_Data_1[[#This Row],[Bonus %]]), 0)</f>
        <v>138466</v>
      </c>
      <c r="Q448" t="s">
        <v>21</v>
      </c>
      <c r="R448" t="s">
        <v>45</v>
      </c>
      <c r="S448" s="1">
        <v>39842</v>
      </c>
      <c r="T448">
        <f ca="1">DATEDIF(Employee_Sample_Data_1[[#This Row],[Hire Date]], IF(Employee_Sample_Data_1[[#This Row],[Exit Date]] = "", TODAY(), Employee_Sample_Data_1[[#This Row],[Exit Date]]), "Y")</f>
        <v>4</v>
      </c>
    </row>
    <row r="449" spans="1:20" x14ac:dyDescent="0.25">
      <c r="A449" t="s">
        <v>973</v>
      </c>
      <c r="B449" t="s">
        <v>974</v>
      </c>
      <c r="C449" t="s">
        <v>25</v>
      </c>
      <c r="D449" t="s">
        <v>52</v>
      </c>
      <c r="E449" t="s">
        <v>33</v>
      </c>
      <c r="F449" t="s">
        <v>39</v>
      </c>
      <c r="G449" t="s">
        <v>81</v>
      </c>
      <c r="H449">
        <v>47</v>
      </c>
      <c r="I449" s="1">
        <v>40125</v>
      </c>
      <c r="J449" s="1" t="str">
        <f>TEXT(Employee_Sample_Data_1[[#This Row],[Hire Date]], "dddd")</f>
        <v>Sunday</v>
      </c>
      <c r="K449" s="1" t="str">
        <f>TEXT(Employee_Sample_Data_1[[#This Row],[Hire Date]], "mmmm")</f>
        <v>November</v>
      </c>
      <c r="L449" s="1" t="str">
        <f>TEXT(Employee_Sample_Data_1[[#This Row],[Hire Date]], "yyyy")</f>
        <v>2009</v>
      </c>
      <c r="M449" s="2">
        <v>50290</v>
      </c>
      <c r="N449" s="3">
        <v>0</v>
      </c>
      <c r="O449" s="9">
        <f>PRODUCT(Employee_Sample_Data_1[[#This Row],[Annual Salary]],Employee_Sample_Data_1[[#This Row],[Bonus %]])</f>
        <v>0</v>
      </c>
      <c r="P449" s="2">
        <f>ROUND(Employee_Sample_Data_1[[#This Row],[Annual Salary]]*(1+Employee_Sample_Data_1[[#This Row],[Bonus %]]), 0)</f>
        <v>50290</v>
      </c>
      <c r="Q449" t="s">
        <v>21</v>
      </c>
      <c r="R449" t="s">
        <v>22</v>
      </c>
      <c r="T449">
        <f ca="1">DATEDIF(Employee_Sample_Data_1[[#This Row],[Hire Date]], IF(Employee_Sample_Data_1[[#This Row],[Exit Date]] = "", TODAY(), Employee_Sample_Data_1[[#This Row],[Exit Date]]), "Y")</f>
        <v>16</v>
      </c>
    </row>
    <row r="450" spans="1:20" x14ac:dyDescent="0.25">
      <c r="A450" t="s">
        <v>975</v>
      </c>
      <c r="B450" t="s">
        <v>976</v>
      </c>
      <c r="C450" t="s">
        <v>177</v>
      </c>
      <c r="D450" t="s">
        <v>32</v>
      </c>
      <c r="E450" t="s">
        <v>33</v>
      </c>
      <c r="F450" t="s">
        <v>39</v>
      </c>
      <c r="G450" t="s">
        <v>40</v>
      </c>
      <c r="H450">
        <v>57</v>
      </c>
      <c r="I450" s="1">
        <v>36707</v>
      </c>
      <c r="J450" s="1" t="str">
        <f>TEXT(Employee_Sample_Data_1[[#This Row],[Hire Date]], "dddd")</f>
        <v>Friday</v>
      </c>
      <c r="K450" s="1" t="str">
        <f>TEXT(Employee_Sample_Data_1[[#This Row],[Hire Date]], "mmmm")</f>
        <v>June</v>
      </c>
      <c r="L450" s="1" t="str">
        <f>TEXT(Employee_Sample_Data_1[[#This Row],[Hire Date]], "yyyy")</f>
        <v>2000</v>
      </c>
      <c r="M450" s="2">
        <v>97083</v>
      </c>
      <c r="N450" s="3">
        <v>0.06</v>
      </c>
      <c r="O450" s="9">
        <f>PRODUCT(Employee_Sample_Data_1[[#This Row],[Annual Salary]],Employee_Sample_Data_1[[#This Row],[Bonus %]])</f>
        <v>5824.98</v>
      </c>
      <c r="P450" s="2">
        <f>ROUND(Employee_Sample_Data_1[[#This Row],[Annual Salary]]*(1+Employee_Sample_Data_1[[#This Row],[Bonus %]]), 0)</f>
        <v>102908</v>
      </c>
      <c r="Q450" t="s">
        <v>21</v>
      </c>
      <c r="R450" t="s">
        <v>45</v>
      </c>
      <c r="S450" s="1">
        <v>39778</v>
      </c>
      <c r="T450">
        <f ca="1">DATEDIF(Employee_Sample_Data_1[[#This Row],[Hire Date]], IF(Employee_Sample_Data_1[[#This Row],[Exit Date]] = "", TODAY(), Employee_Sample_Data_1[[#This Row],[Exit Date]]), "Y")</f>
        <v>8</v>
      </c>
    </row>
    <row r="451" spans="1:20" x14ac:dyDescent="0.25">
      <c r="A451" t="s">
        <v>977</v>
      </c>
      <c r="B451" t="s">
        <v>978</v>
      </c>
      <c r="C451" t="s">
        <v>31</v>
      </c>
      <c r="D451" t="s">
        <v>32</v>
      </c>
      <c r="E451" t="s">
        <v>27</v>
      </c>
      <c r="F451" t="s">
        <v>39</v>
      </c>
      <c r="G451" t="s">
        <v>20</v>
      </c>
      <c r="H451">
        <v>49</v>
      </c>
      <c r="I451" s="1">
        <v>43565</v>
      </c>
      <c r="J451" s="1" t="str">
        <f>TEXT(Employee_Sample_Data_1[[#This Row],[Hire Date]], "dddd")</f>
        <v>Wednesday</v>
      </c>
      <c r="K451" s="1" t="str">
        <f>TEXT(Employee_Sample_Data_1[[#This Row],[Hire Date]], "mmmm")</f>
        <v>April</v>
      </c>
      <c r="L451" s="1" t="str">
        <f>TEXT(Employee_Sample_Data_1[[#This Row],[Hire Date]], "yyyy")</f>
        <v>2019</v>
      </c>
      <c r="M451" s="2">
        <v>93306</v>
      </c>
      <c r="N451" s="3">
        <v>0</v>
      </c>
      <c r="O451" s="9">
        <f>PRODUCT(Employee_Sample_Data_1[[#This Row],[Annual Salary]],Employee_Sample_Data_1[[#This Row],[Bonus %]])</f>
        <v>0</v>
      </c>
      <c r="P451" s="2">
        <f>ROUND(Employee_Sample_Data_1[[#This Row],[Annual Salary]]*(1+Employee_Sample_Data_1[[#This Row],[Bonus %]]), 0)</f>
        <v>93306</v>
      </c>
      <c r="Q451" t="s">
        <v>34</v>
      </c>
      <c r="R451" t="s">
        <v>108</v>
      </c>
      <c r="T451">
        <f ca="1">DATEDIF(Employee_Sample_Data_1[[#This Row],[Hire Date]], IF(Employee_Sample_Data_1[[#This Row],[Exit Date]] = "", TODAY(), Employee_Sample_Data_1[[#This Row],[Exit Date]]), "Y")</f>
        <v>7</v>
      </c>
    </row>
    <row r="452" spans="1:20" x14ac:dyDescent="0.25">
      <c r="A452" t="s">
        <v>979</v>
      </c>
      <c r="B452" t="s">
        <v>980</v>
      </c>
      <c r="C452" t="s">
        <v>289</v>
      </c>
      <c r="D452" t="s">
        <v>17</v>
      </c>
      <c r="E452" t="s">
        <v>18</v>
      </c>
      <c r="F452" t="s">
        <v>39</v>
      </c>
      <c r="G452" t="s">
        <v>20</v>
      </c>
      <c r="H452">
        <v>42</v>
      </c>
      <c r="I452" s="1">
        <v>44628</v>
      </c>
      <c r="J452" s="1" t="str">
        <f>TEXT(Employee_Sample_Data_1[[#This Row],[Hire Date]], "dddd")</f>
        <v>Tuesday</v>
      </c>
      <c r="K452" s="1" t="str">
        <f>TEXT(Employee_Sample_Data_1[[#This Row],[Hire Date]], "mmmm")</f>
        <v>March</v>
      </c>
      <c r="L452" s="1" t="str">
        <f>TEXT(Employee_Sample_Data_1[[#This Row],[Hire Date]], "yyyy")</f>
        <v>2022</v>
      </c>
      <c r="M452" s="2">
        <v>73404</v>
      </c>
      <c r="N452" s="3">
        <v>0</v>
      </c>
      <c r="O452" s="9">
        <f>PRODUCT(Employee_Sample_Data_1[[#This Row],[Annual Salary]],Employee_Sample_Data_1[[#This Row],[Bonus %]])</f>
        <v>0</v>
      </c>
      <c r="P452" s="2">
        <f>ROUND(Employee_Sample_Data_1[[#This Row],[Annual Salary]]*(1+Employee_Sample_Data_1[[#This Row],[Bonus %]]), 0)</f>
        <v>73404</v>
      </c>
      <c r="Q452" t="s">
        <v>21</v>
      </c>
      <c r="R452" t="s">
        <v>45</v>
      </c>
      <c r="T452">
        <f ca="1">DATEDIF(Employee_Sample_Data_1[[#This Row],[Hire Date]], IF(Employee_Sample_Data_1[[#This Row],[Exit Date]] = "", TODAY(), Employee_Sample_Data_1[[#This Row],[Exit Date]]), "Y")</f>
        <v>4</v>
      </c>
    </row>
    <row r="453" spans="1:20" x14ac:dyDescent="0.25">
      <c r="A453" t="s">
        <v>981</v>
      </c>
      <c r="B453" t="s">
        <v>982</v>
      </c>
      <c r="C453" t="s">
        <v>38</v>
      </c>
      <c r="D453" t="s">
        <v>32</v>
      </c>
      <c r="E453" t="s">
        <v>53</v>
      </c>
      <c r="F453" t="s">
        <v>39</v>
      </c>
      <c r="G453" t="s">
        <v>20</v>
      </c>
      <c r="H453">
        <v>55</v>
      </c>
      <c r="I453" s="1">
        <v>44902</v>
      </c>
      <c r="J453" s="1" t="str">
        <f>TEXT(Employee_Sample_Data_1[[#This Row],[Hire Date]], "dddd")</f>
        <v>Wednesday</v>
      </c>
      <c r="K453" s="1" t="str">
        <f>TEXT(Employee_Sample_Data_1[[#This Row],[Hire Date]], "mmmm")</f>
        <v>December</v>
      </c>
      <c r="L453" s="1" t="str">
        <f>TEXT(Employee_Sample_Data_1[[#This Row],[Hire Date]], "yyyy")</f>
        <v>2022</v>
      </c>
      <c r="M453" s="2">
        <v>91179</v>
      </c>
      <c r="N453" s="3">
        <v>0</v>
      </c>
      <c r="O453" s="9">
        <f>PRODUCT(Employee_Sample_Data_1[[#This Row],[Annual Salary]],Employee_Sample_Data_1[[#This Row],[Bonus %]])</f>
        <v>0</v>
      </c>
      <c r="P453" s="2">
        <f>ROUND(Employee_Sample_Data_1[[#This Row],[Annual Salary]]*(1+Employee_Sample_Data_1[[#This Row],[Bonus %]]), 0)</f>
        <v>91179</v>
      </c>
      <c r="Q453" t="s">
        <v>21</v>
      </c>
      <c r="R453" t="s">
        <v>22</v>
      </c>
      <c r="S453" s="1">
        <v>44958</v>
      </c>
      <c r="T453">
        <f ca="1">DATEDIF(Employee_Sample_Data_1[[#This Row],[Hire Date]], IF(Employee_Sample_Data_1[[#This Row],[Exit Date]] = "", TODAY(), Employee_Sample_Data_1[[#This Row],[Exit Date]]), "Y")</f>
        <v>0</v>
      </c>
    </row>
    <row r="454" spans="1:20" x14ac:dyDescent="0.25">
      <c r="A454" t="s">
        <v>983</v>
      </c>
      <c r="B454" t="s">
        <v>984</v>
      </c>
      <c r="C454" t="s">
        <v>66</v>
      </c>
      <c r="D454" t="s">
        <v>58</v>
      </c>
      <c r="E454" t="s">
        <v>53</v>
      </c>
      <c r="F454" t="s">
        <v>39</v>
      </c>
      <c r="G454" t="s">
        <v>20</v>
      </c>
      <c r="H454">
        <v>46</v>
      </c>
      <c r="I454" s="1">
        <v>38956</v>
      </c>
      <c r="J454" s="1" t="str">
        <f>TEXT(Employee_Sample_Data_1[[#This Row],[Hire Date]], "dddd")</f>
        <v>Sunday</v>
      </c>
      <c r="K454" s="1" t="str">
        <f>TEXT(Employee_Sample_Data_1[[#This Row],[Hire Date]], "mmmm")</f>
        <v>August</v>
      </c>
      <c r="L454" s="1" t="str">
        <f>TEXT(Employee_Sample_Data_1[[#This Row],[Hire Date]], "yyyy")</f>
        <v>2006</v>
      </c>
      <c r="M454" s="2">
        <v>108003</v>
      </c>
      <c r="N454" s="3">
        <v>0.05</v>
      </c>
      <c r="O454" s="9">
        <f>PRODUCT(Employee_Sample_Data_1[[#This Row],[Annual Salary]],Employee_Sample_Data_1[[#This Row],[Bonus %]])</f>
        <v>5400.1500000000005</v>
      </c>
      <c r="P454" s="2">
        <f>ROUND(Employee_Sample_Data_1[[#This Row],[Annual Salary]]*(1+Employee_Sample_Data_1[[#This Row],[Bonus %]]), 0)</f>
        <v>113403</v>
      </c>
      <c r="Q454" t="s">
        <v>34</v>
      </c>
      <c r="R454" t="s">
        <v>59</v>
      </c>
      <c r="T454">
        <f ca="1">DATEDIF(Employee_Sample_Data_1[[#This Row],[Hire Date]], IF(Employee_Sample_Data_1[[#This Row],[Exit Date]] = "", TODAY(), Employee_Sample_Data_1[[#This Row],[Exit Date]]), "Y")</f>
        <v>19</v>
      </c>
    </row>
    <row r="455" spans="1:20" x14ac:dyDescent="0.25">
      <c r="A455" t="s">
        <v>985</v>
      </c>
      <c r="B455" t="s">
        <v>986</v>
      </c>
      <c r="C455" t="s">
        <v>62</v>
      </c>
      <c r="D455" t="s">
        <v>32</v>
      </c>
      <c r="E455" t="s">
        <v>27</v>
      </c>
      <c r="F455" t="s">
        <v>19</v>
      </c>
      <c r="G455" t="s">
        <v>20</v>
      </c>
      <c r="H455">
        <v>45</v>
      </c>
      <c r="I455" s="1">
        <v>38093</v>
      </c>
      <c r="J455" s="1" t="str">
        <f>TEXT(Employee_Sample_Data_1[[#This Row],[Hire Date]], "dddd")</f>
        <v>Friday</v>
      </c>
      <c r="K455" s="1" t="str">
        <f>TEXT(Employee_Sample_Data_1[[#This Row],[Hire Date]], "mmmm")</f>
        <v>April</v>
      </c>
      <c r="L455" s="1" t="str">
        <f>TEXT(Employee_Sample_Data_1[[#This Row],[Hire Date]], "yyyy")</f>
        <v>2004</v>
      </c>
      <c r="M455" s="2">
        <v>81384</v>
      </c>
      <c r="N455" s="3">
        <v>0</v>
      </c>
      <c r="O455" s="9">
        <f>PRODUCT(Employee_Sample_Data_1[[#This Row],[Annual Salary]],Employee_Sample_Data_1[[#This Row],[Bonus %]])</f>
        <v>0</v>
      </c>
      <c r="P455" s="2">
        <f>ROUND(Employee_Sample_Data_1[[#This Row],[Annual Salary]]*(1+Employee_Sample_Data_1[[#This Row],[Bonus %]]), 0)</f>
        <v>81384</v>
      </c>
      <c r="Q455" t="s">
        <v>34</v>
      </c>
      <c r="R455" t="s">
        <v>108</v>
      </c>
      <c r="T455">
        <f ca="1">DATEDIF(Employee_Sample_Data_1[[#This Row],[Hire Date]], IF(Employee_Sample_Data_1[[#This Row],[Exit Date]] = "", TODAY(), Employee_Sample_Data_1[[#This Row],[Exit Date]]), "Y")</f>
        <v>22</v>
      </c>
    </row>
    <row r="456" spans="1:20" x14ac:dyDescent="0.25">
      <c r="A456" t="s">
        <v>987</v>
      </c>
      <c r="B456" t="s">
        <v>988</v>
      </c>
      <c r="C456" t="s">
        <v>229</v>
      </c>
      <c r="D456" t="s">
        <v>123</v>
      </c>
      <c r="E456" t="s">
        <v>18</v>
      </c>
      <c r="F456" t="s">
        <v>19</v>
      </c>
      <c r="G456" t="s">
        <v>63</v>
      </c>
      <c r="H456">
        <v>53</v>
      </c>
      <c r="I456" s="1">
        <v>40996</v>
      </c>
      <c r="J456" s="1" t="str">
        <f>TEXT(Employee_Sample_Data_1[[#This Row],[Hire Date]], "dddd")</f>
        <v>Wednesday</v>
      </c>
      <c r="K456" s="1" t="str">
        <f>TEXT(Employee_Sample_Data_1[[#This Row],[Hire Date]], "mmmm")</f>
        <v>March</v>
      </c>
      <c r="L456" s="1" t="str">
        <f>TEXT(Employee_Sample_Data_1[[#This Row],[Hire Date]], "yyyy")</f>
        <v>2012</v>
      </c>
      <c r="M456" s="2">
        <v>97218</v>
      </c>
      <c r="N456" s="3">
        <v>0</v>
      </c>
      <c r="O456" s="9">
        <f>PRODUCT(Employee_Sample_Data_1[[#This Row],[Annual Salary]],Employee_Sample_Data_1[[#This Row],[Bonus %]])</f>
        <v>0</v>
      </c>
      <c r="P456" s="2">
        <f>ROUND(Employee_Sample_Data_1[[#This Row],[Annual Salary]]*(1+Employee_Sample_Data_1[[#This Row],[Bonus %]]), 0)</f>
        <v>97218</v>
      </c>
      <c r="Q456" t="s">
        <v>21</v>
      </c>
      <c r="R456" t="s">
        <v>45</v>
      </c>
      <c r="T456">
        <f ca="1">DATEDIF(Employee_Sample_Data_1[[#This Row],[Hire Date]], IF(Employee_Sample_Data_1[[#This Row],[Exit Date]] = "", TODAY(), Employee_Sample_Data_1[[#This Row],[Exit Date]]), "Y")</f>
        <v>14</v>
      </c>
    </row>
    <row r="457" spans="1:20" x14ac:dyDescent="0.25">
      <c r="A457" t="s">
        <v>989</v>
      </c>
      <c r="B457" t="s">
        <v>990</v>
      </c>
      <c r="C457" t="s">
        <v>25</v>
      </c>
      <c r="D457" t="s">
        <v>26</v>
      </c>
      <c r="E457" t="s">
        <v>33</v>
      </c>
      <c r="F457" t="s">
        <v>39</v>
      </c>
      <c r="G457" t="s">
        <v>63</v>
      </c>
      <c r="H457">
        <v>46</v>
      </c>
      <c r="I457" s="1">
        <v>38977</v>
      </c>
      <c r="J457" s="1" t="str">
        <f>TEXT(Employee_Sample_Data_1[[#This Row],[Hire Date]], "dddd")</f>
        <v>Sunday</v>
      </c>
      <c r="K457" s="1" t="str">
        <f>TEXT(Employee_Sample_Data_1[[#This Row],[Hire Date]], "mmmm")</f>
        <v>September</v>
      </c>
      <c r="L457" s="1" t="str">
        <f>TEXT(Employee_Sample_Data_1[[#This Row],[Hire Date]], "yyyy")</f>
        <v>2006</v>
      </c>
      <c r="M457" s="2">
        <v>42944</v>
      </c>
      <c r="N457" s="3">
        <v>0</v>
      </c>
      <c r="O457" s="9">
        <f>PRODUCT(Employee_Sample_Data_1[[#This Row],[Annual Salary]],Employee_Sample_Data_1[[#This Row],[Bonus %]])</f>
        <v>0</v>
      </c>
      <c r="P457" s="2">
        <f>ROUND(Employee_Sample_Data_1[[#This Row],[Annual Salary]]*(1+Employee_Sample_Data_1[[#This Row],[Bonus %]]), 0)</f>
        <v>42944</v>
      </c>
      <c r="Q457" t="s">
        <v>21</v>
      </c>
      <c r="R457" t="s">
        <v>67</v>
      </c>
      <c r="T457">
        <f ca="1">DATEDIF(Employee_Sample_Data_1[[#This Row],[Hire Date]], IF(Employee_Sample_Data_1[[#This Row],[Exit Date]] = "", TODAY(), Employee_Sample_Data_1[[#This Row],[Exit Date]]), "Y")</f>
        <v>19</v>
      </c>
    </row>
    <row r="458" spans="1:20" x14ac:dyDescent="0.25">
      <c r="A458" t="s">
        <v>991</v>
      </c>
      <c r="B458" t="s">
        <v>992</v>
      </c>
      <c r="C458" t="s">
        <v>25</v>
      </c>
      <c r="D458" t="s">
        <v>58</v>
      </c>
      <c r="E458" t="s">
        <v>33</v>
      </c>
      <c r="F458" t="s">
        <v>39</v>
      </c>
      <c r="G458" t="s">
        <v>40</v>
      </c>
      <c r="H458">
        <v>48</v>
      </c>
      <c r="I458" s="1">
        <v>42022</v>
      </c>
      <c r="J458" s="1" t="str">
        <f>TEXT(Employee_Sample_Data_1[[#This Row],[Hire Date]], "dddd")</f>
        <v>Sunday</v>
      </c>
      <c r="K458" s="1" t="str">
        <f>TEXT(Employee_Sample_Data_1[[#This Row],[Hire Date]], "mmmm")</f>
        <v>January</v>
      </c>
      <c r="L458" s="1" t="str">
        <f>TEXT(Employee_Sample_Data_1[[#This Row],[Hire Date]], "yyyy")</f>
        <v>2015</v>
      </c>
      <c r="M458" s="2">
        <v>43980</v>
      </c>
      <c r="N458" s="3">
        <v>0</v>
      </c>
      <c r="O458" s="9">
        <f>PRODUCT(Employee_Sample_Data_1[[#This Row],[Annual Salary]],Employee_Sample_Data_1[[#This Row],[Bonus %]])</f>
        <v>0</v>
      </c>
      <c r="P458" s="2">
        <f>ROUND(Employee_Sample_Data_1[[#This Row],[Annual Salary]]*(1+Employee_Sample_Data_1[[#This Row],[Bonus %]]), 0)</f>
        <v>43980</v>
      </c>
      <c r="Q458" t="s">
        <v>21</v>
      </c>
      <c r="R458" t="s">
        <v>22</v>
      </c>
      <c r="T458">
        <f ca="1">DATEDIF(Employee_Sample_Data_1[[#This Row],[Hire Date]], IF(Employee_Sample_Data_1[[#This Row],[Exit Date]] = "", TODAY(), Employee_Sample_Data_1[[#This Row],[Exit Date]]), "Y")</f>
        <v>11</v>
      </c>
    </row>
    <row r="459" spans="1:20" x14ac:dyDescent="0.25">
      <c r="A459" t="s">
        <v>993</v>
      </c>
      <c r="B459" t="s">
        <v>994</v>
      </c>
      <c r="C459" t="s">
        <v>66</v>
      </c>
      <c r="D459" t="s">
        <v>77</v>
      </c>
      <c r="E459" t="s">
        <v>27</v>
      </c>
      <c r="F459" t="s">
        <v>39</v>
      </c>
      <c r="G459" t="s">
        <v>20</v>
      </c>
      <c r="H459">
        <v>33</v>
      </c>
      <c r="I459" s="1">
        <v>41963</v>
      </c>
      <c r="J459" s="1" t="str">
        <f>TEXT(Employee_Sample_Data_1[[#This Row],[Hire Date]], "dddd")</f>
        <v>Thursday</v>
      </c>
      <c r="K459" s="1" t="str">
        <f>TEXT(Employee_Sample_Data_1[[#This Row],[Hire Date]], "mmmm")</f>
        <v>November</v>
      </c>
      <c r="L459" s="1" t="str">
        <f>TEXT(Employee_Sample_Data_1[[#This Row],[Hire Date]], "yyyy")</f>
        <v>2014</v>
      </c>
      <c r="M459" s="2">
        <v>109533</v>
      </c>
      <c r="N459" s="3">
        <v>0.05</v>
      </c>
      <c r="O459" s="9">
        <f>PRODUCT(Employee_Sample_Data_1[[#This Row],[Annual Salary]],Employee_Sample_Data_1[[#This Row],[Bonus %]])</f>
        <v>5476.6500000000005</v>
      </c>
      <c r="P459" s="2">
        <f>ROUND(Employee_Sample_Data_1[[#This Row],[Annual Salary]]*(1+Employee_Sample_Data_1[[#This Row],[Bonus %]]), 0)</f>
        <v>115010</v>
      </c>
      <c r="Q459" t="s">
        <v>34</v>
      </c>
      <c r="R459" t="s">
        <v>59</v>
      </c>
      <c r="T459">
        <f ca="1">DATEDIF(Employee_Sample_Data_1[[#This Row],[Hire Date]], IF(Employee_Sample_Data_1[[#This Row],[Exit Date]] = "", TODAY(), Employee_Sample_Data_1[[#This Row],[Exit Date]]), "Y")</f>
        <v>11</v>
      </c>
    </row>
    <row r="460" spans="1:20" x14ac:dyDescent="0.25">
      <c r="A460" t="s">
        <v>995</v>
      </c>
      <c r="B460" t="s">
        <v>996</v>
      </c>
      <c r="C460" t="s">
        <v>86</v>
      </c>
      <c r="D460" t="s">
        <v>52</v>
      </c>
      <c r="E460" t="s">
        <v>33</v>
      </c>
      <c r="F460" t="s">
        <v>39</v>
      </c>
      <c r="G460" t="s">
        <v>63</v>
      </c>
      <c r="H460">
        <v>56</v>
      </c>
      <c r="I460" s="1">
        <v>39659</v>
      </c>
      <c r="J460" s="1" t="str">
        <f>TEXT(Employee_Sample_Data_1[[#This Row],[Hire Date]], "dddd")</f>
        <v>Wednesday</v>
      </c>
      <c r="K460" s="1" t="str">
        <f>TEXT(Employee_Sample_Data_1[[#This Row],[Hire Date]], "mmmm")</f>
        <v>July</v>
      </c>
      <c r="L460" s="1" t="str">
        <f>TEXT(Employee_Sample_Data_1[[#This Row],[Hire Date]], "yyyy")</f>
        <v>2008</v>
      </c>
      <c r="M460" s="2">
        <v>226952</v>
      </c>
      <c r="N460" s="3">
        <v>0.39</v>
      </c>
      <c r="O460" s="9">
        <f>PRODUCT(Employee_Sample_Data_1[[#This Row],[Annual Salary]],Employee_Sample_Data_1[[#This Row],[Bonus %]])</f>
        <v>88511.28</v>
      </c>
      <c r="P460" s="2">
        <f>ROUND(Employee_Sample_Data_1[[#This Row],[Annual Salary]]*(1+Employee_Sample_Data_1[[#This Row],[Bonus %]]), 0)</f>
        <v>315463</v>
      </c>
      <c r="Q460" t="s">
        <v>21</v>
      </c>
      <c r="R460" t="s">
        <v>67</v>
      </c>
      <c r="T460">
        <f ca="1">DATEDIF(Employee_Sample_Data_1[[#This Row],[Hire Date]], IF(Employee_Sample_Data_1[[#This Row],[Exit Date]] = "", TODAY(), Employee_Sample_Data_1[[#This Row],[Exit Date]]), "Y")</f>
        <v>17</v>
      </c>
    </row>
    <row r="461" spans="1:20" x14ac:dyDescent="0.25">
      <c r="A461" t="s">
        <v>997</v>
      </c>
      <c r="B461" t="s">
        <v>998</v>
      </c>
      <c r="C461" t="s">
        <v>62</v>
      </c>
      <c r="D461" t="s">
        <v>32</v>
      </c>
      <c r="E461" t="s">
        <v>18</v>
      </c>
      <c r="F461" t="s">
        <v>39</v>
      </c>
      <c r="G461" t="s">
        <v>40</v>
      </c>
      <c r="H461">
        <v>59</v>
      </c>
      <c r="I461" s="1">
        <v>39413</v>
      </c>
      <c r="J461" s="1" t="str">
        <f>TEXT(Employee_Sample_Data_1[[#This Row],[Hire Date]], "dddd")</f>
        <v>Tuesday</v>
      </c>
      <c r="K461" s="1" t="str">
        <f>TEXT(Employee_Sample_Data_1[[#This Row],[Hire Date]], "mmmm")</f>
        <v>November</v>
      </c>
      <c r="L461" s="1" t="str">
        <f>TEXT(Employee_Sample_Data_1[[#This Row],[Hire Date]], "yyyy")</f>
        <v>2007</v>
      </c>
      <c r="M461" s="2">
        <v>71580</v>
      </c>
      <c r="N461" s="3">
        <v>0</v>
      </c>
      <c r="O461" s="9">
        <f>PRODUCT(Employee_Sample_Data_1[[#This Row],[Annual Salary]],Employee_Sample_Data_1[[#This Row],[Bonus %]])</f>
        <v>0</v>
      </c>
      <c r="P461" s="2">
        <f>ROUND(Employee_Sample_Data_1[[#This Row],[Annual Salary]]*(1+Employee_Sample_Data_1[[#This Row],[Bonus %]]), 0)</f>
        <v>71580</v>
      </c>
      <c r="Q461" t="s">
        <v>21</v>
      </c>
      <c r="R461" t="s">
        <v>41</v>
      </c>
      <c r="T461">
        <f ca="1">DATEDIF(Employee_Sample_Data_1[[#This Row],[Hire Date]], IF(Employee_Sample_Data_1[[#This Row],[Exit Date]] = "", TODAY(), Employee_Sample_Data_1[[#This Row],[Exit Date]]), "Y")</f>
        <v>18</v>
      </c>
    </row>
    <row r="462" spans="1:20" x14ac:dyDescent="0.25">
      <c r="A462" t="s">
        <v>999</v>
      </c>
      <c r="B462" t="s">
        <v>1000</v>
      </c>
      <c r="C462" t="s">
        <v>57</v>
      </c>
      <c r="D462" t="s">
        <v>58</v>
      </c>
      <c r="E462" t="s">
        <v>18</v>
      </c>
      <c r="F462" t="s">
        <v>19</v>
      </c>
      <c r="G462" t="s">
        <v>40</v>
      </c>
      <c r="H462">
        <v>55</v>
      </c>
      <c r="I462" s="1">
        <v>41229</v>
      </c>
      <c r="J462" s="1" t="str">
        <f>TEXT(Employee_Sample_Data_1[[#This Row],[Hire Date]], "dddd")</f>
        <v>Friday</v>
      </c>
      <c r="K462" s="1" t="str">
        <f>TEXT(Employee_Sample_Data_1[[#This Row],[Hire Date]], "mmmm")</f>
        <v>November</v>
      </c>
      <c r="L462" s="1" t="str">
        <f>TEXT(Employee_Sample_Data_1[[#This Row],[Hire Date]], "yyyy")</f>
        <v>2012</v>
      </c>
      <c r="M462" s="2">
        <v>66172</v>
      </c>
      <c r="N462" s="3">
        <v>0</v>
      </c>
      <c r="O462" s="9">
        <f>PRODUCT(Employee_Sample_Data_1[[#This Row],[Annual Salary]],Employee_Sample_Data_1[[#This Row],[Bonus %]])</f>
        <v>0</v>
      </c>
      <c r="P462" s="2">
        <f>ROUND(Employee_Sample_Data_1[[#This Row],[Annual Salary]]*(1+Employee_Sample_Data_1[[#This Row],[Bonus %]]), 0)</f>
        <v>66172</v>
      </c>
      <c r="Q462" t="s">
        <v>134</v>
      </c>
      <c r="R462" t="s">
        <v>286</v>
      </c>
      <c r="T462">
        <f ca="1">DATEDIF(Employee_Sample_Data_1[[#This Row],[Hire Date]], IF(Employee_Sample_Data_1[[#This Row],[Exit Date]] = "", TODAY(), Employee_Sample_Data_1[[#This Row],[Exit Date]]), "Y")</f>
        <v>13</v>
      </c>
    </row>
    <row r="463" spans="1:20" x14ac:dyDescent="0.25">
      <c r="A463" t="s">
        <v>1001</v>
      </c>
      <c r="B463" t="s">
        <v>1002</v>
      </c>
      <c r="C463" t="s">
        <v>86</v>
      </c>
      <c r="D463" t="s">
        <v>77</v>
      </c>
      <c r="E463" t="s">
        <v>33</v>
      </c>
      <c r="F463" t="s">
        <v>39</v>
      </c>
      <c r="G463" t="s">
        <v>20</v>
      </c>
      <c r="H463">
        <v>46</v>
      </c>
      <c r="I463" s="1">
        <v>43308</v>
      </c>
      <c r="J463" s="1" t="str">
        <f>TEXT(Employee_Sample_Data_1[[#This Row],[Hire Date]], "dddd")</f>
        <v>Friday</v>
      </c>
      <c r="K463" s="1" t="str">
        <f>TEXT(Employee_Sample_Data_1[[#This Row],[Hire Date]], "mmmm")</f>
        <v>July</v>
      </c>
      <c r="L463" s="1" t="str">
        <f>TEXT(Employee_Sample_Data_1[[#This Row],[Hire Date]], "yyyy")</f>
        <v>2018</v>
      </c>
      <c r="M463" s="2">
        <v>237489</v>
      </c>
      <c r="N463" s="3">
        <v>0.3</v>
      </c>
      <c r="O463" s="9">
        <f>PRODUCT(Employee_Sample_Data_1[[#This Row],[Annual Salary]],Employee_Sample_Data_1[[#This Row],[Bonus %]])</f>
        <v>71246.7</v>
      </c>
      <c r="P463" s="2">
        <f>ROUND(Employee_Sample_Data_1[[#This Row],[Annual Salary]]*(1+Employee_Sample_Data_1[[#This Row],[Bonus %]]), 0)</f>
        <v>308736</v>
      </c>
      <c r="Q463" t="s">
        <v>21</v>
      </c>
      <c r="R463" t="s">
        <v>28</v>
      </c>
      <c r="T463">
        <f ca="1">DATEDIF(Employee_Sample_Data_1[[#This Row],[Hire Date]], IF(Employee_Sample_Data_1[[#This Row],[Exit Date]] = "", TODAY(), Employee_Sample_Data_1[[#This Row],[Exit Date]]), "Y")</f>
        <v>7</v>
      </c>
    </row>
    <row r="464" spans="1:20" x14ac:dyDescent="0.25">
      <c r="A464" t="s">
        <v>1003</v>
      </c>
      <c r="B464" t="s">
        <v>1004</v>
      </c>
      <c r="C464" t="s">
        <v>25</v>
      </c>
      <c r="D464" t="s">
        <v>77</v>
      </c>
      <c r="E464" t="s">
        <v>53</v>
      </c>
      <c r="F464" t="s">
        <v>39</v>
      </c>
      <c r="G464" t="s">
        <v>20</v>
      </c>
      <c r="H464">
        <v>50</v>
      </c>
      <c r="I464" s="1">
        <v>36666</v>
      </c>
      <c r="J464" s="1" t="str">
        <f>TEXT(Employee_Sample_Data_1[[#This Row],[Hire Date]], "dddd")</f>
        <v>Saturday</v>
      </c>
      <c r="K464" s="1" t="str">
        <f>TEXT(Employee_Sample_Data_1[[#This Row],[Hire Date]], "mmmm")</f>
        <v>May</v>
      </c>
      <c r="L464" s="1" t="str">
        <f>TEXT(Employee_Sample_Data_1[[#This Row],[Hire Date]], "yyyy")</f>
        <v>2000</v>
      </c>
      <c r="M464" s="2">
        <v>48733</v>
      </c>
      <c r="N464" s="3">
        <v>0</v>
      </c>
      <c r="O464" s="9">
        <f>PRODUCT(Employee_Sample_Data_1[[#This Row],[Annual Salary]],Employee_Sample_Data_1[[#This Row],[Bonus %]])</f>
        <v>0</v>
      </c>
      <c r="P464" s="2">
        <f>ROUND(Employee_Sample_Data_1[[#This Row],[Annual Salary]]*(1+Employee_Sample_Data_1[[#This Row],[Bonus %]]), 0)</f>
        <v>48733</v>
      </c>
      <c r="Q464" t="s">
        <v>21</v>
      </c>
      <c r="R464" t="s">
        <v>41</v>
      </c>
      <c r="T464">
        <f ca="1">DATEDIF(Employee_Sample_Data_1[[#This Row],[Hire Date]], IF(Employee_Sample_Data_1[[#This Row],[Exit Date]] = "", TODAY(), Employee_Sample_Data_1[[#This Row],[Exit Date]]), "Y")</f>
        <v>26</v>
      </c>
    </row>
    <row r="465" spans="1:20" x14ac:dyDescent="0.25">
      <c r="A465" t="s">
        <v>1005</v>
      </c>
      <c r="B465" t="s">
        <v>1006</v>
      </c>
      <c r="C465" t="s">
        <v>25</v>
      </c>
      <c r="D465" t="s">
        <v>26</v>
      </c>
      <c r="E465" t="s">
        <v>27</v>
      </c>
      <c r="F465" t="s">
        <v>39</v>
      </c>
      <c r="G465" t="s">
        <v>20</v>
      </c>
      <c r="H465">
        <v>29</v>
      </c>
      <c r="I465" s="1">
        <v>42939</v>
      </c>
      <c r="J465" s="1" t="str">
        <f>TEXT(Employee_Sample_Data_1[[#This Row],[Hire Date]], "dddd")</f>
        <v>Sunday</v>
      </c>
      <c r="K465" s="1" t="str">
        <f>TEXT(Employee_Sample_Data_1[[#This Row],[Hire Date]], "mmmm")</f>
        <v>July</v>
      </c>
      <c r="L465" s="1" t="str">
        <f>TEXT(Employee_Sample_Data_1[[#This Row],[Hire Date]], "yyyy")</f>
        <v>2017</v>
      </c>
      <c r="M465" s="2">
        <v>48563</v>
      </c>
      <c r="N465" s="3">
        <v>0</v>
      </c>
      <c r="O465" s="9">
        <f>PRODUCT(Employee_Sample_Data_1[[#This Row],[Annual Salary]],Employee_Sample_Data_1[[#This Row],[Bonus %]])</f>
        <v>0</v>
      </c>
      <c r="P465" s="2">
        <f>ROUND(Employee_Sample_Data_1[[#This Row],[Annual Salary]]*(1+Employee_Sample_Data_1[[#This Row],[Bonus %]]), 0)</f>
        <v>48563</v>
      </c>
      <c r="Q465" t="s">
        <v>34</v>
      </c>
      <c r="R465" t="s">
        <v>35</v>
      </c>
      <c r="T465">
        <f ca="1">DATEDIF(Employee_Sample_Data_1[[#This Row],[Hire Date]], IF(Employee_Sample_Data_1[[#This Row],[Exit Date]] = "", TODAY(), Employee_Sample_Data_1[[#This Row],[Exit Date]]), "Y")</f>
        <v>8</v>
      </c>
    </row>
    <row r="466" spans="1:20" x14ac:dyDescent="0.25">
      <c r="A466" t="s">
        <v>1007</v>
      </c>
      <c r="B466" t="s">
        <v>1008</v>
      </c>
      <c r="C466" t="s">
        <v>161</v>
      </c>
      <c r="D466" t="s">
        <v>32</v>
      </c>
      <c r="E466" t="s">
        <v>18</v>
      </c>
      <c r="F466" t="s">
        <v>19</v>
      </c>
      <c r="G466" t="s">
        <v>20</v>
      </c>
      <c r="H466">
        <v>57</v>
      </c>
      <c r="I466" s="1">
        <v>38286</v>
      </c>
      <c r="J466" s="1" t="str">
        <f>TEXT(Employee_Sample_Data_1[[#This Row],[Hire Date]], "dddd")</f>
        <v>Tuesday</v>
      </c>
      <c r="K466" s="1" t="str">
        <f>TEXT(Employee_Sample_Data_1[[#This Row],[Hire Date]], "mmmm")</f>
        <v>October</v>
      </c>
      <c r="L466" s="1" t="str">
        <f>TEXT(Employee_Sample_Data_1[[#This Row],[Hire Date]], "yyyy")</f>
        <v>2004</v>
      </c>
      <c r="M466" s="2">
        <v>86592</v>
      </c>
      <c r="N466" s="3">
        <v>0</v>
      </c>
      <c r="O466" s="9">
        <f>PRODUCT(Employee_Sample_Data_1[[#This Row],[Annual Salary]],Employee_Sample_Data_1[[#This Row],[Bonus %]])</f>
        <v>0</v>
      </c>
      <c r="P466" s="2">
        <f>ROUND(Employee_Sample_Data_1[[#This Row],[Annual Salary]]*(1+Employee_Sample_Data_1[[#This Row],[Bonus %]]), 0)</f>
        <v>86592</v>
      </c>
      <c r="Q466" t="s">
        <v>34</v>
      </c>
      <c r="R466" t="s">
        <v>54</v>
      </c>
      <c r="T466">
        <f ca="1">DATEDIF(Employee_Sample_Data_1[[#This Row],[Hire Date]], IF(Employee_Sample_Data_1[[#This Row],[Exit Date]] = "", TODAY(), Employee_Sample_Data_1[[#This Row],[Exit Date]]), "Y")</f>
        <v>21</v>
      </c>
    </row>
    <row r="467" spans="1:20" x14ac:dyDescent="0.25">
      <c r="A467" t="s">
        <v>1009</v>
      </c>
      <c r="B467" t="s">
        <v>1010</v>
      </c>
      <c r="C467" t="s">
        <v>86</v>
      </c>
      <c r="D467" t="s">
        <v>58</v>
      </c>
      <c r="E467" t="s">
        <v>33</v>
      </c>
      <c r="F467" t="s">
        <v>39</v>
      </c>
      <c r="G467" t="s">
        <v>63</v>
      </c>
      <c r="H467">
        <v>39</v>
      </c>
      <c r="I467" s="1">
        <v>40784</v>
      </c>
      <c r="J467" s="1" t="str">
        <f>TEXT(Employee_Sample_Data_1[[#This Row],[Hire Date]], "dddd")</f>
        <v>Monday</v>
      </c>
      <c r="K467" s="1" t="str">
        <f>TEXT(Employee_Sample_Data_1[[#This Row],[Hire Date]], "mmmm")</f>
        <v>August</v>
      </c>
      <c r="L467" s="1" t="str">
        <f>TEXT(Employee_Sample_Data_1[[#This Row],[Hire Date]], "yyyy")</f>
        <v>2011</v>
      </c>
      <c r="M467" s="2">
        <v>189823</v>
      </c>
      <c r="N467" s="3">
        <v>0.38</v>
      </c>
      <c r="O467" s="9">
        <f>PRODUCT(Employee_Sample_Data_1[[#This Row],[Annual Salary]],Employee_Sample_Data_1[[#This Row],[Bonus %]])</f>
        <v>72132.740000000005</v>
      </c>
      <c r="P467" s="2">
        <f>ROUND(Employee_Sample_Data_1[[#This Row],[Annual Salary]]*(1+Employee_Sample_Data_1[[#This Row],[Bonus %]]), 0)</f>
        <v>261956</v>
      </c>
      <c r="Q467" t="s">
        <v>21</v>
      </c>
      <c r="R467" t="s">
        <v>22</v>
      </c>
      <c r="T467">
        <f ca="1">DATEDIF(Employee_Sample_Data_1[[#This Row],[Hire Date]], IF(Employee_Sample_Data_1[[#This Row],[Exit Date]] = "", TODAY(), Employee_Sample_Data_1[[#This Row],[Exit Date]]), "Y")</f>
        <v>14</v>
      </c>
    </row>
    <row r="468" spans="1:20" x14ac:dyDescent="0.25">
      <c r="A468" t="s">
        <v>1011</v>
      </c>
      <c r="B468" t="s">
        <v>1012</v>
      </c>
      <c r="C468" t="s">
        <v>170</v>
      </c>
      <c r="D468" t="s">
        <v>32</v>
      </c>
      <c r="E468" t="s">
        <v>27</v>
      </c>
      <c r="F468" t="s">
        <v>19</v>
      </c>
      <c r="G468" t="s">
        <v>81</v>
      </c>
      <c r="H468">
        <v>40</v>
      </c>
      <c r="I468" s="1">
        <v>44739</v>
      </c>
      <c r="J468" s="1" t="str">
        <f>TEXT(Employee_Sample_Data_1[[#This Row],[Hire Date]], "dddd")</f>
        <v>Monday</v>
      </c>
      <c r="K468" s="1" t="str">
        <f>TEXT(Employee_Sample_Data_1[[#This Row],[Hire Date]], "mmmm")</f>
        <v>June</v>
      </c>
      <c r="L468" s="1" t="str">
        <f>TEXT(Employee_Sample_Data_1[[#This Row],[Hire Date]], "yyyy")</f>
        <v>2022</v>
      </c>
      <c r="M468" s="2">
        <v>65075</v>
      </c>
      <c r="N468" s="3">
        <v>0</v>
      </c>
      <c r="O468" s="9">
        <f>PRODUCT(Employee_Sample_Data_1[[#This Row],[Annual Salary]],Employee_Sample_Data_1[[#This Row],[Bonus %]])</f>
        <v>0</v>
      </c>
      <c r="P468" s="2">
        <f>ROUND(Employee_Sample_Data_1[[#This Row],[Annual Salary]]*(1+Employee_Sample_Data_1[[#This Row],[Bonus %]]), 0)</f>
        <v>65075</v>
      </c>
      <c r="Q468" t="s">
        <v>21</v>
      </c>
      <c r="R468" t="s">
        <v>48</v>
      </c>
      <c r="T468">
        <f ca="1">DATEDIF(Employee_Sample_Data_1[[#This Row],[Hire Date]], IF(Employee_Sample_Data_1[[#This Row],[Exit Date]] = "", TODAY(), Employee_Sample_Data_1[[#This Row],[Exit Date]]), "Y")</f>
        <v>3</v>
      </c>
    </row>
    <row r="469" spans="1:20" x14ac:dyDescent="0.25">
      <c r="A469" t="s">
        <v>1013</v>
      </c>
      <c r="B469" t="s">
        <v>1014</v>
      </c>
      <c r="C469" t="s">
        <v>86</v>
      </c>
      <c r="D469" t="s">
        <v>123</v>
      </c>
      <c r="E469" t="s">
        <v>53</v>
      </c>
      <c r="F469" t="s">
        <v>19</v>
      </c>
      <c r="G469" t="s">
        <v>40</v>
      </c>
      <c r="H469">
        <v>33</v>
      </c>
      <c r="I469" s="1">
        <v>43229</v>
      </c>
      <c r="J469" s="1" t="str">
        <f>TEXT(Employee_Sample_Data_1[[#This Row],[Hire Date]], "dddd")</f>
        <v>Wednesday</v>
      </c>
      <c r="K469" s="1" t="str">
        <f>TEXT(Employee_Sample_Data_1[[#This Row],[Hire Date]], "mmmm")</f>
        <v>May</v>
      </c>
      <c r="L469" s="1" t="str">
        <f>TEXT(Employee_Sample_Data_1[[#This Row],[Hire Date]], "yyyy")</f>
        <v>2018</v>
      </c>
      <c r="M469" s="2">
        <v>187917</v>
      </c>
      <c r="N469" s="3">
        <v>0.35</v>
      </c>
      <c r="O469" s="9">
        <f>PRODUCT(Employee_Sample_Data_1[[#This Row],[Annual Salary]],Employee_Sample_Data_1[[#This Row],[Bonus %]])</f>
        <v>65770.95</v>
      </c>
      <c r="P469" s="2">
        <f>ROUND(Employee_Sample_Data_1[[#This Row],[Annual Salary]]*(1+Employee_Sample_Data_1[[#This Row],[Bonus %]]), 0)</f>
        <v>253688</v>
      </c>
      <c r="Q469" t="s">
        <v>21</v>
      </c>
      <c r="R469" t="s">
        <v>28</v>
      </c>
      <c r="T469">
        <f ca="1">DATEDIF(Employee_Sample_Data_1[[#This Row],[Hire Date]], IF(Employee_Sample_Data_1[[#This Row],[Exit Date]] = "", TODAY(), Employee_Sample_Data_1[[#This Row],[Exit Date]]), "Y")</f>
        <v>8</v>
      </c>
    </row>
    <row r="470" spans="1:20" x14ac:dyDescent="0.25">
      <c r="A470" t="s">
        <v>1015</v>
      </c>
      <c r="B470" t="s">
        <v>1016</v>
      </c>
      <c r="C470" t="s">
        <v>25</v>
      </c>
      <c r="D470" t="s">
        <v>26</v>
      </c>
      <c r="E470" t="s">
        <v>53</v>
      </c>
      <c r="F470" t="s">
        <v>39</v>
      </c>
      <c r="G470" t="s">
        <v>40</v>
      </c>
      <c r="H470">
        <v>49</v>
      </c>
      <c r="I470" s="1">
        <v>44124</v>
      </c>
      <c r="J470" s="1" t="str">
        <f>TEXT(Employee_Sample_Data_1[[#This Row],[Hire Date]], "dddd")</f>
        <v>Tuesday</v>
      </c>
      <c r="K470" s="1" t="str">
        <f>TEXT(Employee_Sample_Data_1[[#This Row],[Hire Date]], "mmmm")</f>
        <v>October</v>
      </c>
      <c r="L470" s="1" t="str">
        <f>TEXT(Employee_Sample_Data_1[[#This Row],[Hire Date]], "yyyy")</f>
        <v>2020</v>
      </c>
      <c r="M470" s="2">
        <v>42242</v>
      </c>
      <c r="N470" s="3">
        <v>0</v>
      </c>
      <c r="O470" s="9">
        <f>PRODUCT(Employee_Sample_Data_1[[#This Row],[Annual Salary]],Employee_Sample_Data_1[[#This Row],[Bonus %]])</f>
        <v>0</v>
      </c>
      <c r="P470" s="2">
        <f>ROUND(Employee_Sample_Data_1[[#This Row],[Annual Salary]]*(1+Employee_Sample_Data_1[[#This Row],[Bonus %]]), 0)</f>
        <v>42242</v>
      </c>
      <c r="Q470" t="s">
        <v>134</v>
      </c>
      <c r="R470" t="s">
        <v>180</v>
      </c>
      <c r="T470">
        <f ca="1">DATEDIF(Employee_Sample_Data_1[[#This Row],[Hire Date]], IF(Employee_Sample_Data_1[[#This Row],[Exit Date]] = "", TODAY(), Employee_Sample_Data_1[[#This Row],[Exit Date]]), "Y")</f>
        <v>5</v>
      </c>
    </row>
    <row r="471" spans="1:20" x14ac:dyDescent="0.25">
      <c r="A471" t="s">
        <v>1017</v>
      </c>
      <c r="B471" t="s">
        <v>1018</v>
      </c>
      <c r="C471" t="s">
        <v>25</v>
      </c>
      <c r="D471" t="s">
        <v>26</v>
      </c>
      <c r="E471" t="s">
        <v>33</v>
      </c>
      <c r="F471" t="s">
        <v>19</v>
      </c>
      <c r="G471" t="s">
        <v>20</v>
      </c>
      <c r="H471">
        <v>54</v>
      </c>
      <c r="I471" s="1">
        <v>35833</v>
      </c>
      <c r="J471" s="1" t="str">
        <f>TEXT(Employee_Sample_Data_1[[#This Row],[Hire Date]], "dddd")</f>
        <v>Saturday</v>
      </c>
      <c r="K471" s="1" t="str">
        <f>TEXT(Employee_Sample_Data_1[[#This Row],[Hire Date]], "mmmm")</f>
        <v>February</v>
      </c>
      <c r="L471" s="1" t="str">
        <f>TEXT(Employee_Sample_Data_1[[#This Row],[Hire Date]], "yyyy")</f>
        <v>1998</v>
      </c>
      <c r="M471" s="2">
        <v>53931</v>
      </c>
      <c r="N471" s="3">
        <v>0</v>
      </c>
      <c r="O471" s="9">
        <f>PRODUCT(Employee_Sample_Data_1[[#This Row],[Annual Salary]],Employee_Sample_Data_1[[#This Row],[Bonus %]])</f>
        <v>0</v>
      </c>
      <c r="P471" s="2">
        <f>ROUND(Employee_Sample_Data_1[[#This Row],[Annual Salary]]*(1+Employee_Sample_Data_1[[#This Row],[Bonus %]]), 0)</f>
        <v>53931</v>
      </c>
      <c r="Q471" t="s">
        <v>21</v>
      </c>
      <c r="R471" t="s">
        <v>22</v>
      </c>
      <c r="T471">
        <f ca="1">DATEDIF(Employee_Sample_Data_1[[#This Row],[Hire Date]], IF(Employee_Sample_Data_1[[#This Row],[Exit Date]] = "", TODAY(), Employee_Sample_Data_1[[#This Row],[Exit Date]]), "Y")</f>
        <v>28</v>
      </c>
    </row>
    <row r="472" spans="1:20" x14ac:dyDescent="0.25">
      <c r="A472" t="s">
        <v>1019</v>
      </c>
      <c r="B472" t="s">
        <v>1020</v>
      </c>
      <c r="C472" t="s">
        <v>80</v>
      </c>
      <c r="D472" t="s">
        <v>32</v>
      </c>
      <c r="E472" t="s">
        <v>27</v>
      </c>
      <c r="F472" t="s">
        <v>19</v>
      </c>
      <c r="G472" t="s">
        <v>20</v>
      </c>
      <c r="H472">
        <v>51</v>
      </c>
      <c r="I472" s="1">
        <v>38804</v>
      </c>
      <c r="J472" s="1" t="str">
        <f>TEXT(Employee_Sample_Data_1[[#This Row],[Hire Date]], "dddd")</f>
        <v>Tuesday</v>
      </c>
      <c r="K472" s="1" t="str">
        <f>TEXT(Employee_Sample_Data_1[[#This Row],[Hire Date]], "mmmm")</f>
        <v>March</v>
      </c>
      <c r="L472" s="1" t="str">
        <f>TEXT(Employee_Sample_Data_1[[#This Row],[Hire Date]], "yyyy")</f>
        <v>2006</v>
      </c>
      <c r="M472" s="2">
        <v>140668</v>
      </c>
      <c r="N472" s="3">
        <v>0.12</v>
      </c>
      <c r="O472" s="9">
        <f>PRODUCT(Employee_Sample_Data_1[[#This Row],[Annual Salary]],Employee_Sample_Data_1[[#This Row],[Bonus %]])</f>
        <v>16880.16</v>
      </c>
      <c r="P472" s="2">
        <f>ROUND(Employee_Sample_Data_1[[#This Row],[Annual Salary]]*(1+Employee_Sample_Data_1[[#This Row],[Bonus %]]), 0)</f>
        <v>157548</v>
      </c>
      <c r="Q472" t="s">
        <v>34</v>
      </c>
      <c r="R472" t="s">
        <v>59</v>
      </c>
      <c r="T472">
        <f ca="1">DATEDIF(Employee_Sample_Data_1[[#This Row],[Hire Date]], IF(Employee_Sample_Data_1[[#This Row],[Exit Date]] = "", TODAY(), Employee_Sample_Data_1[[#This Row],[Exit Date]]), "Y")</f>
        <v>20</v>
      </c>
    </row>
    <row r="473" spans="1:20" x14ac:dyDescent="0.25">
      <c r="A473" t="s">
        <v>1021</v>
      </c>
      <c r="B473" t="s">
        <v>1022</v>
      </c>
      <c r="C473" t="s">
        <v>25</v>
      </c>
      <c r="D473" t="s">
        <v>77</v>
      </c>
      <c r="E473" t="s">
        <v>33</v>
      </c>
      <c r="F473" t="s">
        <v>39</v>
      </c>
      <c r="G473" t="s">
        <v>63</v>
      </c>
      <c r="H473">
        <v>33</v>
      </c>
      <c r="I473" s="1">
        <v>43031</v>
      </c>
      <c r="J473" s="1" t="str">
        <f>TEXT(Employee_Sample_Data_1[[#This Row],[Hire Date]], "dddd")</f>
        <v>Monday</v>
      </c>
      <c r="K473" s="1" t="str">
        <f>TEXT(Employee_Sample_Data_1[[#This Row],[Hire Date]], "mmmm")</f>
        <v>October</v>
      </c>
      <c r="L473" s="1" t="str">
        <f>TEXT(Employee_Sample_Data_1[[#This Row],[Hire Date]], "yyyy")</f>
        <v>2017</v>
      </c>
      <c r="M473" s="2">
        <v>53948</v>
      </c>
      <c r="N473" s="3">
        <v>0</v>
      </c>
      <c r="O473" s="9">
        <f>PRODUCT(Employee_Sample_Data_1[[#This Row],[Annual Salary]],Employee_Sample_Data_1[[#This Row],[Bonus %]])</f>
        <v>0</v>
      </c>
      <c r="P473" s="2">
        <f>ROUND(Employee_Sample_Data_1[[#This Row],[Annual Salary]]*(1+Employee_Sample_Data_1[[#This Row],[Bonus %]]), 0)</f>
        <v>53948</v>
      </c>
      <c r="Q473" t="s">
        <v>21</v>
      </c>
      <c r="R473" t="s">
        <v>48</v>
      </c>
      <c r="T473">
        <f ca="1">DATEDIF(Employee_Sample_Data_1[[#This Row],[Hire Date]], IF(Employee_Sample_Data_1[[#This Row],[Exit Date]] = "", TODAY(), Employee_Sample_Data_1[[#This Row],[Exit Date]]), "Y")</f>
        <v>8</v>
      </c>
    </row>
    <row r="474" spans="1:20" x14ac:dyDescent="0.25">
      <c r="A474" t="s">
        <v>1023</v>
      </c>
      <c r="B474" t="s">
        <v>1024</v>
      </c>
      <c r="C474" t="s">
        <v>44</v>
      </c>
      <c r="D474" t="s">
        <v>32</v>
      </c>
      <c r="E474" t="s">
        <v>33</v>
      </c>
      <c r="F474" t="s">
        <v>19</v>
      </c>
      <c r="G474" t="s">
        <v>63</v>
      </c>
      <c r="H474">
        <v>34</v>
      </c>
      <c r="I474" s="1">
        <v>42837</v>
      </c>
      <c r="J474" s="1" t="str">
        <f>TEXT(Employee_Sample_Data_1[[#This Row],[Hire Date]], "dddd")</f>
        <v>Wednesday</v>
      </c>
      <c r="K474" s="1" t="str">
        <f>TEXT(Employee_Sample_Data_1[[#This Row],[Hire Date]], "mmmm")</f>
        <v>April</v>
      </c>
      <c r="L474" s="1" t="str">
        <f>TEXT(Employee_Sample_Data_1[[#This Row],[Hire Date]], "yyyy")</f>
        <v>2017</v>
      </c>
      <c r="M474" s="2">
        <v>174257</v>
      </c>
      <c r="N474" s="3">
        <v>0.3</v>
      </c>
      <c r="O474" s="9">
        <f>PRODUCT(Employee_Sample_Data_1[[#This Row],[Annual Salary]],Employee_Sample_Data_1[[#This Row],[Bonus %]])</f>
        <v>52277.1</v>
      </c>
      <c r="P474" s="2">
        <f>ROUND(Employee_Sample_Data_1[[#This Row],[Annual Salary]]*(1+Employee_Sample_Data_1[[#This Row],[Bonus %]]), 0)</f>
        <v>226534</v>
      </c>
      <c r="Q474" t="s">
        <v>21</v>
      </c>
      <c r="R474" t="s">
        <v>67</v>
      </c>
      <c r="T474">
        <f ca="1">DATEDIF(Employee_Sample_Data_1[[#This Row],[Hire Date]], IF(Employee_Sample_Data_1[[#This Row],[Exit Date]] = "", TODAY(), Employee_Sample_Data_1[[#This Row],[Exit Date]]), "Y")</f>
        <v>9</v>
      </c>
    </row>
    <row r="475" spans="1:20" x14ac:dyDescent="0.25">
      <c r="A475" t="s">
        <v>1025</v>
      </c>
      <c r="B475" t="s">
        <v>1026</v>
      </c>
      <c r="C475" t="s">
        <v>80</v>
      </c>
      <c r="D475" t="s">
        <v>26</v>
      </c>
      <c r="E475" t="s">
        <v>27</v>
      </c>
      <c r="F475" t="s">
        <v>39</v>
      </c>
      <c r="G475" t="s">
        <v>40</v>
      </c>
      <c r="H475">
        <v>28</v>
      </c>
      <c r="I475" s="1">
        <v>43817</v>
      </c>
      <c r="J475" s="1" t="str">
        <f>TEXT(Employee_Sample_Data_1[[#This Row],[Hire Date]], "dddd")</f>
        <v>Wednesday</v>
      </c>
      <c r="K475" s="1" t="str">
        <f>TEXT(Employee_Sample_Data_1[[#This Row],[Hire Date]], "mmmm")</f>
        <v>December</v>
      </c>
      <c r="L475" s="1" t="str">
        <f>TEXT(Employee_Sample_Data_1[[#This Row],[Hire Date]], "yyyy")</f>
        <v>2019</v>
      </c>
      <c r="M475" s="2">
        <v>132209</v>
      </c>
      <c r="N475" s="3">
        <v>0.14000000000000001</v>
      </c>
      <c r="O475" s="9">
        <f>PRODUCT(Employee_Sample_Data_1[[#This Row],[Annual Salary]],Employee_Sample_Data_1[[#This Row],[Bonus %]])</f>
        <v>18509.260000000002</v>
      </c>
      <c r="P475" s="2">
        <f>ROUND(Employee_Sample_Data_1[[#This Row],[Annual Salary]]*(1+Employee_Sample_Data_1[[#This Row],[Bonus %]]), 0)</f>
        <v>150718</v>
      </c>
      <c r="Q475" t="s">
        <v>134</v>
      </c>
      <c r="R475" t="s">
        <v>135</v>
      </c>
      <c r="T475">
        <f ca="1">DATEDIF(Employee_Sample_Data_1[[#This Row],[Hire Date]], IF(Employee_Sample_Data_1[[#This Row],[Exit Date]] = "", TODAY(), Employee_Sample_Data_1[[#This Row],[Exit Date]]), "Y")</f>
        <v>6</v>
      </c>
    </row>
    <row r="476" spans="1:20" x14ac:dyDescent="0.25">
      <c r="A476" t="s">
        <v>1027</v>
      </c>
      <c r="B476" t="s">
        <v>1028</v>
      </c>
      <c r="C476" t="s">
        <v>86</v>
      </c>
      <c r="D476" t="s">
        <v>77</v>
      </c>
      <c r="E476" t="s">
        <v>33</v>
      </c>
      <c r="F476" t="s">
        <v>39</v>
      </c>
      <c r="G476" t="s">
        <v>40</v>
      </c>
      <c r="H476">
        <v>34</v>
      </c>
      <c r="I476" s="1">
        <v>42932</v>
      </c>
      <c r="J476" s="1" t="str">
        <f>TEXT(Employee_Sample_Data_1[[#This Row],[Hire Date]], "dddd")</f>
        <v>Sunday</v>
      </c>
      <c r="K476" s="1" t="str">
        <f>TEXT(Employee_Sample_Data_1[[#This Row],[Hire Date]], "mmmm")</f>
        <v>July</v>
      </c>
      <c r="L476" s="1" t="str">
        <f>TEXT(Employee_Sample_Data_1[[#This Row],[Hire Date]], "yyyy")</f>
        <v>2017</v>
      </c>
      <c r="M476" s="2">
        <v>208883</v>
      </c>
      <c r="N476" s="3">
        <v>0.38</v>
      </c>
      <c r="O476" s="9">
        <f>PRODUCT(Employee_Sample_Data_1[[#This Row],[Annual Salary]],Employee_Sample_Data_1[[#This Row],[Bonus %]])</f>
        <v>79375.540000000008</v>
      </c>
      <c r="P476" s="2">
        <f>ROUND(Employee_Sample_Data_1[[#This Row],[Annual Salary]]*(1+Employee_Sample_Data_1[[#This Row],[Bonus %]]), 0)</f>
        <v>288259</v>
      </c>
      <c r="Q476" t="s">
        <v>21</v>
      </c>
      <c r="R476" t="s">
        <v>67</v>
      </c>
      <c r="T476">
        <f ca="1">DATEDIF(Employee_Sample_Data_1[[#This Row],[Hire Date]], IF(Employee_Sample_Data_1[[#This Row],[Exit Date]] = "", TODAY(), Employee_Sample_Data_1[[#This Row],[Exit Date]]), "Y")</f>
        <v>8</v>
      </c>
    </row>
    <row r="477" spans="1:20" x14ac:dyDescent="0.25">
      <c r="A477" t="s">
        <v>1029</v>
      </c>
      <c r="B477" t="s">
        <v>1030</v>
      </c>
      <c r="C477" t="s">
        <v>177</v>
      </c>
      <c r="D477" t="s">
        <v>32</v>
      </c>
      <c r="E477" t="s">
        <v>53</v>
      </c>
      <c r="F477" t="s">
        <v>39</v>
      </c>
      <c r="G477" t="s">
        <v>40</v>
      </c>
      <c r="H477">
        <v>39</v>
      </c>
      <c r="I477" s="1">
        <v>44686</v>
      </c>
      <c r="J477" s="1" t="str">
        <f>TEXT(Employee_Sample_Data_1[[#This Row],[Hire Date]], "dddd")</f>
        <v>Thursday</v>
      </c>
      <c r="K477" s="1" t="str">
        <f>TEXT(Employee_Sample_Data_1[[#This Row],[Hire Date]], "mmmm")</f>
        <v>May</v>
      </c>
      <c r="L477" s="1" t="str">
        <f>TEXT(Employee_Sample_Data_1[[#This Row],[Hire Date]], "yyyy")</f>
        <v>2022</v>
      </c>
      <c r="M477" s="2">
        <v>65957</v>
      </c>
      <c r="N477" s="3">
        <v>0.05</v>
      </c>
      <c r="O477" s="9">
        <f>PRODUCT(Employee_Sample_Data_1[[#This Row],[Annual Salary]],Employee_Sample_Data_1[[#This Row],[Bonus %]])</f>
        <v>3297.8500000000004</v>
      </c>
      <c r="P477" s="2">
        <f>ROUND(Employee_Sample_Data_1[[#This Row],[Annual Salary]]*(1+Employee_Sample_Data_1[[#This Row],[Bonus %]]), 0)</f>
        <v>69255</v>
      </c>
      <c r="Q477" t="s">
        <v>134</v>
      </c>
      <c r="R477" t="s">
        <v>135</v>
      </c>
      <c r="T477">
        <f ca="1">DATEDIF(Employee_Sample_Data_1[[#This Row],[Hire Date]], IF(Employee_Sample_Data_1[[#This Row],[Exit Date]] = "", TODAY(), Employee_Sample_Data_1[[#This Row],[Exit Date]]), "Y")</f>
        <v>4</v>
      </c>
    </row>
    <row r="478" spans="1:20" x14ac:dyDescent="0.25">
      <c r="A478" t="s">
        <v>1031</v>
      </c>
      <c r="B478" t="s">
        <v>1032</v>
      </c>
      <c r="C478" t="s">
        <v>66</v>
      </c>
      <c r="D478" t="s">
        <v>123</v>
      </c>
      <c r="E478" t="s">
        <v>53</v>
      </c>
      <c r="F478" t="s">
        <v>19</v>
      </c>
      <c r="G478" t="s">
        <v>20</v>
      </c>
      <c r="H478">
        <v>63</v>
      </c>
      <c r="I478" s="1">
        <v>38190</v>
      </c>
      <c r="J478" s="1" t="str">
        <f>TEXT(Employee_Sample_Data_1[[#This Row],[Hire Date]], "dddd")</f>
        <v>Thursday</v>
      </c>
      <c r="K478" s="1" t="str">
        <f>TEXT(Employee_Sample_Data_1[[#This Row],[Hire Date]], "mmmm")</f>
        <v>July</v>
      </c>
      <c r="L478" s="1" t="str">
        <f>TEXT(Employee_Sample_Data_1[[#This Row],[Hire Date]], "yyyy")</f>
        <v>2004</v>
      </c>
      <c r="M478" s="2">
        <v>106481</v>
      </c>
      <c r="N478" s="3">
        <v>0.05</v>
      </c>
      <c r="O478" s="9">
        <f>PRODUCT(Employee_Sample_Data_1[[#This Row],[Annual Salary]],Employee_Sample_Data_1[[#This Row],[Bonus %]])</f>
        <v>5324.05</v>
      </c>
      <c r="P478" s="2">
        <f>ROUND(Employee_Sample_Data_1[[#This Row],[Annual Salary]]*(1+Employee_Sample_Data_1[[#This Row],[Bonus %]]), 0)</f>
        <v>111805</v>
      </c>
      <c r="Q478" t="s">
        <v>34</v>
      </c>
      <c r="R478" t="s">
        <v>108</v>
      </c>
      <c r="T478">
        <f ca="1">DATEDIF(Employee_Sample_Data_1[[#This Row],[Hire Date]], IF(Employee_Sample_Data_1[[#This Row],[Exit Date]] = "", TODAY(), Employee_Sample_Data_1[[#This Row],[Exit Date]]), "Y")</f>
        <v>21</v>
      </c>
    </row>
    <row r="479" spans="1:20" x14ac:dyDescent="0.25">
      <c r="A479" t="s">
        <v>1033</v>
      </c>
      <c r="B479" t="s">
        <v>1034</v>
      </c>
      <c r="C479" t="s">
        <v>86</v>
      </c>
      <c r="D479" t="s">
        <v>52</v>
      </c>
      <c r="E479" t="s">
        <v>18</v>
      </c>
      <c r="F479" t="s">
        <v>39</v>
      </c>
      <c r="G479" t="s">
        <v>20</v>
      </c>
      <c r="H479">
        <v>35</v>
      </c>
      <c r="I479" s="1">
        <v>44048</v>
      </c>
      <c r="J479" s="1" t="str">
        <f>TEXT(Employee_Sample_Data_1[[#This Row],[Hire Date]], "dddd")</f>
        <v>Wednesday</v>
      </c>
      <c r="K479" s="1" t="str">
        <f>TEXT(Employee_Sample_Data_1[[#This Row],[Hire Date]], "mmmm")</f>
        <v>August</v>
      </c>
      <c r="L479" s="1" t="str">
        <f>TEXT(Employee_Sample_Data_1[[#This Row],[Hire Date]], "yyyy")</f>
        <v>2020</v>
      </c>
      <c r="M479" s="2">
        <v>218127</v>
      </c>
      <c r="N479" s="3">
        <v>0.37</v>
      </c>
      <c r="O479" s="9">
        <f>PRODUCT(Employee_Sample_Data_1[[#This Row],[Annual Salary]],Employee_Sample_Data_1[[#This Row],[Bonus %]])</f>
        <v>80706.990000000005</v>
      </c>
      <c r="P479" s="2">
        <f>ROUND(Employee_Sample_Data_1[[#This Row],[Annual Salary]]*(1+Employee_Sample_Data_1[[#This Row],[Bonus %]]), 0)</f>
        <v>298834</v>
      </c>
      <c r="Q479" t="s">
        <v>21</v>
      </c>
      <c r="R479" t="s">
        <v>28</v>
      </c>
      <c r="T479">
        <f ca="1">DATEDIF(Employee_Sample_Data_1[[#This Row],[Hire Date]], IF(Employee_Sample_Data_1[[#This Row],[Exit Date]] = "", TODAY(), Employee_Sample_Data_1[[#This Row],[Exit Date]]), "Y")</f>
        <v>5</v>
      </c>
    </row>
    <row r="480" spans="1:20" x14ac:dyDescent="0.25">
      <c r="A480" t="s">
        <v>1035</v>
      </c>
      <c r="B480" t="s">
        <v>1036</v>
      </c>
      <c r="C480" t="s">
        <v>80</v>
      </c>
      <c r="D480" t="s">
        <v>32</v>
      </c>
      <c r="E480" t="s">
        <v>53</v>
      </c>
      <c r="F480" t="s">
        <v>19</v>
      </c>
      <c r="G480" t="s">
        <v>63</v>
      </c>
      <c r="H480">
        <v>44</v>
      </c>
      <c r="I480" s="1">
        <v>43693</v>
      </c>
      <c r="J480" s="1" t="str">
        <f>TEXT(Employee_Sample_Data_1[[#This Row],[Hire Date]], "dddd")</f>
        <v>Friday</v>
      </c>
      <c r="K480" s="1" t="str">
        <f>TEXT(Employee_Sample_Data_1[[#This Row],[Hire Date]], "mmmm")</f>
        <v>August</v>
      </c>
      <c r="L480" s="1" t="str">
        <f>TEXT(Employee_Sample_Data_1[[#This Row],[Hire Date]], "yyyy")</f>
        <v>2019</v>
      </c>
      <c r="M480" s="2">
        <v>151481</v>
      </c>
      <c r="N480" s="3">
        <v>0.11</v>
      </c>
      <c r="O480" s="9">
        <f>PRODUCT(Employee_Sample_Data_1[[#This Row],[Annual Salary]],Employee_Sample_Data_1[[#This Row],[Bonus %]])</f>
        <v>16662.91</v>
      </c>
      <c r="P480" s="2">
        <f>ROUND(Employee_Sample_Data_1[[#This Row],[Annual Salary]]*(1+Employee_Sample_Data_1[[#This Row],[Bonus %]]), 0)</f>
        <v>168144</v>
      </c>
      <c r="Q480" t="s">
        <v>21</v>
      </c>
      <c r="R480" t="s">
        <v>28</v>
      </c>
      <c r="T480">
        <f ca="1">DATEDIF(Employee_Sample_Data_1[[#This Row],[Hire Date]], IF(Employee_Sample_Data_1[[#This Row],[Exit Date]] = "", TODAY(), Employee_Sample_Data_1[[#This Row],[Exit Date]]), "Y")</f>
        <v>6</v>
      </c>
    </row>
    <row r="481" spans="1:20" x14ac:dyDescent="0.25">
      <c r="A481" t="s">
        <v>1037</v>
      </c>
      <c r="B481" t="s">
        <v>1038</v>
      </c>
      <c r="C481" t="s">
        <v>25</v>
      </c>
      <c r="D481" t="s">
        <v>26</v>
      </c>
      <c r="E481" t="s">
        <v>33</v>
      </c>
      <c r="F481" t="s">
        <v>39</v>
      </c>
      <c r="G481" t="s">
        <v>20</v>
      </c>
      <c r="H481">
        <v>37</v>
      </c>
      <c r="I481" s="1">
        <v>42802</v>
      </c>
      <c r="J481" s="1" t="str">
        <f>TEXT(Employee_Sample_Data_1[[#This Row],[Hire Date]], "dddd")</f>
        <v>Wednesday</v>
      </c>
      <c r="K481" s="1" t="str">
        <f>TEXT(Employee_Sample_Data_1[[#This Row],[Hire Date]], "mmmm")</f>
        <v>March</v>
      </c>
      <c r="L481" s="1" t="str">
        <f>TEXT(Employee_Sample_Data_1[[#This Row],[Hire Date]], "yyyy")</f>
        <v>2017</v>
      </c>
      <c r="M481" s="2">
        <v>40508</v>
      </c>
      <c r="N481" s="3">
        <v>0</v>
      </c>
      <c r="O481" s="9">
        <f>PRODUCT(Employee_Sample_Data_1[[#This Row],[Annual Salary]],Employee_Sample_Data_1[[#This Row],[Bonus %]])</f>
        <v>0</v>
      </c>
      <c r="P481" s="2">
        <f>ROUND(Employee_Sample_Data_1[[#This Row],[Annual Salary]]*(1+Employee_Sample_Data_1[[#This Row],[Bonus %]]), 0)</f>
        <v>40508</v>
      </c>
      <c r="Q481" t="s">
        <v>34</v>
      </c>
      <c r="R481" t="s">
        <v>108</v>
      </c>
      <c r="T481">
        <f ca="1">DATEDIF(Employee_Sample_Data_1[[#This Row],[Hire Date]], IF(Employee_Sample_Data_1[[#This Row],[Exit Date]] = "", TODAY(), Employee_Sample_Data_1[[#This Row],[Exit Date]]), "Y")</f>
        <v>9</v>
      </c>
    </row>
    <row r="482" spans="1:20" x14ac:dyDescent="0.25">
      <c r="A482" t="s">
        <v>1039</v>
      </c>
      <c r="B482" t="s">
        <v>1040</v>
      </c>
      <c r="C482" t="s">
        <v>86</v>
      </c>
      <c r="D482" t="s">
        <v>52</v>
      </c>
      <c r="E482" t="s">
        <v>33</v>
      </c>
      <c r="F482" t="s">
        <v>39</v>
      </c>
      <c r="G482" t="s">
        <v>20</v>
      </c>
      <c r="H482">
        <v>45</v>
      </c>
      <c r="I482" s="1">
        <v>37457</v>
      </c>
      <c r="J482" s="1" t="str">
        <f>TEXT(Employee_Sample_Data_1[[#This Row],[Hire Date]], "dddd")</f>
        <v>Saturday</v>
      </c>
      <c r="K482" s="1" t="str">
        <f>TEXT(Employee_Sample_Data_1[[#This Row],[Hire Date]], "mmmm")</f>
        <v>July</v>
      </c>
      <c r="L482" s="1" t="str">
        <f>TEXT(Employee_Sample_Data_1[[#This Row],[Hire Date]], "yyyy")</f>
        <v>2002</v>
      </c>
      <c r="M482" s="2">
        <v>200481</v>
      </c>
      <c r="N482" s="3">
        <v>0.3</v>
      </c>
      <c r="O482" s="9">
        <f>PRODUCT(Employee_Sample_Data_1[[#This Row],[Annual Salary]],Employee_Sample_Data_1[[#This Row],[Bonus %]])</f>
        <v>60144.299999999996</v>
      </c>
      <c r="P482" s="2">
        <f>ROUND(Employee_Sample_Data_1[[#This Row],[Annual Salary]]*(1+Employee_Sample_Data_1[[#This Row],[Bonus %]]), 0)</f>
        <v>260625</v>
      </c>
      <c r="Q482" t="s">
        <v>21</v>
      </c>
      <c r="R482" t="s">
        <v>22</v>
      </c>
      <c r="T482">
        <f ca="1">DATEDIF(Employee_Sample_Data_1[[#This Row],[Hire Date]], IF(Employee_Sample_Data_1[[#This Row],[Exit Date]] = "", TODAY(), Employee_Sample_Data_1[[#This Row],[Exit Date]]), "Y")</f>
        <v>23</v>
      </c>
    </row>
    <row r="483" spans="1:20" x14ac:dyDescent="0.25">
      <c r="A483" t="s">
        <v>1041</v>
      </c>
      <c r="B483" t="s">
        <v>1042</v>
      </c>
      <c r="C483" t="s">
        <v>86</v>
      </c>
      <c r="D483" t="s">
        <v>58</v>
      </c>
      <c r="E483" t="s">
        <v>18</v>
      </c>
      <c r="F483" t="s">
        <v>39</v>
      </c>
      <c r="G483" t="s">
        <v>40</v>
      </c>
      <c r="H483">
        <v>65</v>
      </c>
      <c r="I483" s="1">
        <v>37610</v>
      </c>
      <c r="J483" s="1" t="str">
        <f>TEXT(Employee_Sample_Data_1[[#This Row],[Hire Date]], "dddd")</f>
        <v>Friday</v>
      </c>
      <c r="K483" s="1" t="str">
        <f>TEXT(Employee_Sample_Data_1[[#This Row],[Hire Date]], "mmmm")</f>
        <v>December</v>
      </c>
      <c r="L483" s="1" t="str">
        <f>TEXT(Employee_Sample_Data_1[[#This Row],[Hire Date]], "yyyy")</f>
        <v>2002</v>
      </c>
      <c r="M483" s="2">
        <v>224872</v>
      </c>
      <c r="N483" s="3">
        <v>0.39</v>
      </c>
      <c r="O483" s="9">
        <f>PRODUCT(Employee_Sample_Data_1[[#This Row],[Annual Salary]],Employee_Sample_Data_1[[#This Row],[Bonus %]])</f>
        <v>87700.08</v>
      </c>
      <c r="P483" s="2">
        <f>ROUND(Employee_Sample_Data_1[[#This Row],[Annual Salary]]*(1+Employee_Sample_Data_1[[#This Row],[Bonus %]]), 0)</f>
        <v>312572</v>
      </c>
      <c r="Q483" t="s">
        <v>134</v>
      </c>
      <c r="R483" t="s">
        <v>180</v>
      </c>
      <c r="T483">
        <f ca="1">DATEDIF(Employee_Sample_Data_1[[#This Row],[Hire Date]], IF(Employee_Sample_Data_1[[#This Row],[Exit Date]] = "", TODAY(), Employee_Sample_Data_1[[#This Row],[Exit Date]]), "Y")</f>
        <v>23</v>
      </c>
    </row>
    <row r="484" spans="1:20" x14ac:dyDescent="0.25">
      <c r="A484" t="s">
        <v>1043</v>
      </c>
      <c r="B484" t="s">
        <v>1044</v>
      </c>
      <c r="C484" t="s">
        <v>80</v>
      </c>
      <c r="D484" t="s">
        <v>123</v>
      </c>
      <c r="E484" t="s">
        <v>33</v>
      </c>
      <c r="F484" t="s">
        <v>19</v>
      </c>
      <c r="G484" t="s">
        <v>81</v>
      </c>
      <c r="H484">
        <v>65</v>
      </c>
      <c r="I484" s="1">
        <v>39391</v>
      </c>
      <c r="J484" s="1" t="str">
        <f>TEXT(Employee_Sample_Data_1[[#This Row],[Hire Date]], "dddd")</f>
        <v>Monday</v>
      </c>
      <c r="K484" s="1" t="str">
        <f>TEXT(Employee_Sample_Data_1[[#This Row],[Hire Date]], "mmmm")</f>
        <v>November</v>
      </c>
      <c r="L484" s="1" t="str">
        <f>TEXT(Employee_Sample_Data_1[[#This Row],[Hire Date]], "yyyy")</f>
        <v>2007</v>
      </c>
      <c r="M484" s="2">
        <v>149474</v>
      </c>
      <c r="N484" s="3">
        <v>0.14000000000000001</v>
      </c>
      <c r="O484" s="9">
        <f>PRODUCT(Employee_Sample_Data_1[[#This Row],[Annual Salary]],Employee_Sample_Data_1[[#This Row],[Bonus %]])</f>
        <v>20926.36</v>
      </c>
      <c r="P484" s="2">
        <f>ROUND(Employee_Sample_Data_1[[#This Row],[Annual Salary]]*(1+Employee_Sample_Data_1[[#This Row],[Bonus %]]), 0)</f>
        <v>170400</v>
      </c>
      <c r="Q484" t="s">
        <v>21</v>
      </c>
      <c r="R484" t="s">
        <v>48</v>
      </c>
      <c r="T484">
        <f ca="1">DATEDIF(Employee_Sample_Data_1[[#This Row],[Hire Date]], IF(Employee_Sample_Data_1[[#This Row],[Exit Date]] = "", TODAY(), Employee_Sample_Data_1[[#This Row],[Exit Date]]), "Y")</f>
        <v>18</v>
      </c>
    </row>
    <row r="485" spans="1:20" x14ac:dyDescent="0.25">
      <c r="A485" t="s">
        <v>1045</v>
      </c>
      <c r="B485" t="s">
        <v>1046</v>
      </c>
      <c r="C485" t="s">
        <v>131</v>
      </c>
      <c r="D485" t="s">
        <v>17</v>
      </c>
      <c r="E485" t="s">
        <v>33</v>
      </c>
      <c r="F485" t="s">
        <v>39</v>
      </c>
      <c r="G485" t="s">
        <v>40</v>
      </c>
      <c r="H485">
        <v>63</v>
      </c>
      <c r="I485" s="1">
        <v>37305</v>
      </c>
      <c r="J485" s="1" t="str">
        <f>TEXT(Employee_Sample_Data_1[[#This Row],[Hire Date]], "dddd")</f>
        <v>Monday</v>
      </c>
      <c r="K485" s="1" t="str">
        <f>TEXT(Employee_Sample_Data_1[[#This Row],[Hire Date]], "mmmm")</f>
        <v>February</v>
      </c>
      <c r="L485" s="1" t="str">
        <f>TEXT(Employee_Sample_Data_1[[#This Row],[Hire Date]], "yyyy")</f>
        <v>2002</v>
      </c>
      <c r="M485" s="2">
        <v>86820</v>
      </c>
      <c r="N485" s="3">
        <v>0</v>
      </c>
      <c r="O485" s="9">
        <f>PRODUCT(Employee_Sample_Data_1[[#This Row],[Annual Salary]],Employee_Sample_Data_1[[#This Row],[Bonus %]])</f>
        <v>0</v>
      </c>
      <c r="P485" s="2">
        <f>ROUND(Employee_Sample_Data_1[[#This Row],[Annual Salary]]*(1+Employee_Sample_Data_1[[#This Row],[Bonus %]]), 0)</f>
        <v>86820</v>
      </c>
      <c r="Q485" t="s">
        <v>21</v>
      </c>
      <c r="R485" t="s">
        <v>28</v>
      </c>
      <c r="T485">
        <f ca="1">DATEDIF(Employee_Sample_Data_1[[#This Row],[Hire Date]], IF(Employee_Sample_Data_1[[#This Row],[Exit Date]] = "", TODAY(), Employee_Sample_Data_1[[#This Row],[Exit Date]]), "Y")</f>
        <v>24</v>
      </c>
    </row>
    <row r="486" spans="1:20" x14ac:dyDescent="0.25">
      <c r="A486" t="s">
        <v>1047</v>
      </c>
      <c r="B486" t="s">
        <v>1048</v>
      </c>
      <c r="C486" t="s">
        <v>44</v>
      </c>
      <c r="D486" t="s">
        <v>58</v>
      </c>
      <c r="E486" t="s">
        <v>18</v>
      </c>
      <c r="F486" t="s">
        <v>39</v>
      </c>
      <c r="G486" t="s">
        <v>20</v>
      </c>
      <c r="H486">
        <v>55</v>
      </c>
      <c r="I486" s="1">
        <v>34646</v>
      </c>
      <c r="J486" s="1" t="str">
        <f>TEXT(Employee_Sample_Data_1[[#This Row],[Hire Date]], "dddd")</f>
        <v>Tuesday</v>
      </c>
      <c r="K486" s="1" t="str">
        <f>TEXT(Employee_Sample_Data_1[[#This Row],[Hire Date]], "mmmm")</f>
        <v>November</v>
      </c>
      <c r="L486" s="1" t="str">
        <f>TEXT(Employee_Sample_Data_1[[#This Row],[Hire Date]], "yyyy")</f>
        <v>1994</v>
      </c>
      <c r="M486" s="2">
        <v>184078</v>
      </c>
      <c r="N486" s="3">
        <v>0.28000000000000003</v>
      </c>
      <c r="O486" s="9">
        <f>PRODUCT(Employee_Sample_Data_1[[#This Row],[Annual Salary]],Employee_Sample_Data_1[[#This Row],[Bonus %]])</f>
        <v>51541.840000000004</v>
      </c>
      <c r="P486" s="2">
        <f>ROUND(Employee_Sample_Data_1[[#This Row],[Annual Salary]]*(1+Employee_Sample_Data_1[[#This Row],[Bonus %]]), 0)</f>
        <v>235620</v>
      </c>
      <c r="Q486" t="s">
        <v>34</v>
      </c>
      <c r="R486" t="s">
        <v>35</v>
      </c>
      <c r="T486">
        <f ca="1">DATEDIF(Employee_Sample_Data_1[[#This Row],[Hire Date]], IF(Employee_Sample_Data_1[[#This Row],[Exit Date]] = "", TODAY(), Employee_Sample_Data_1[[#This Row],[Exit Date]]), "Y")</f>
        <v>31</v>
      </c>
    </row>
    <row r="487" spans="1:20" x14ac:dyDescent="0.25">
      <c r="A487" t="s">
        <v>1049</v>
      </c>
      <c r="B487" t="s">
        <v>1050</v>
      </c>
      <c r="C487" t="s">
        <v>25</v>
      </c>
      <c r="D487" t="s">
        <v>52</v>
      </c>
      <c r="E487" t="s">
        <v>27</v>
      </c>
      <c r="F487" t="s">
        <v>39</v>
      </c>
      <c r="G487" t="s">
        <v>20</v>
      </c>
      <c r="H487">
        <v>58</v>
      </c>
      <c r="I487" s="1">
        <v>41626</v>
      </c>
      <c r="J487" s="1" t="str">
        <f>TEXT(Employee_Sample_Data_1[[#This Row],[Hire Date]], "dddd")</f>
        <v>Wednesday</v>
      </c>
      <c r="K487" s="1" t="str">
        <f>TEXT(Employee_Sample_Data_1[[#This Row],[Hire Date]], "mmmm")</f>
        <v>December</v>
      </c>
      <c r="L487" s="1" t="str">
        <f>TEXT(Employee_Sample_Data_1[[#This Row],[Hire Date]], "yyyy")</f>
        <v>2013</v>
      </c>
      <c r="M487" s="2">
        <v>55174</v>
      </c>
      <c r="N487" s="3">
        <v>0</v>
      </c>
      <c r="O487" s="9">
        <f>PRODUCT(Employee_Sample_Data_1[[#This Row],[Annual Salary]],Employee_Sample_Data_1[[#This Row],[Bonus %]])</f>
        <v>0</v>
      </c>
      <c r="P487" s="2">
        <f>ROUND(Employee_Sample_Data_1[[#This Row],[Annual Salary]]*(1+Employee_Sample_Data_1[[#This Row],[Bonus %]]), 0)</f>
        <v>55174</v>
      </c>
      <c r="Q487" t="s">
        <v>21</v>
      </c>
      <c r="R487" t="s">
        <v>45</v>
      </c>
      <c r="T487">
        <f ca="1">DATEDIF(Employee_Sample_Data_1[[#This Row],[Hire Date]], IF(Employee_Sample_Data_1[[#This Row],[Exit Date]] = "", TODAY(), Employee_Sample_Data_1[[#This Row],[Exit Date]]), "Y")</f>
        <v>12</v>
      </c>
    </row>
    <row r="488" spans="1:20" x14ac:dyDescent="0.25">
      <c r="A488" t="s">
        <v>1051</v>
      </c>
      <c r="B488" t="s">
        <v>1052</v>
      </c>
      <c r="C488" t="s">
        <v>44</v>
      </c>
      <c r="D488" t="s">
        <v>58</v>
      </c>
      <c r="E488" t="s">
        <v>27</v>
      </c>
      <c r="F488" t="s">
        <v>39</v>
      </c>
      <c r="G488" t="s">
        <v>20</v>
      </c>
      <c r="H488">
        <v>31</v>
      </c>
      <c r="I488" s="1">
        <v>44578</v>
      </c>
      <c r="J488" s="1" t="str">
        <f>TEXT(Employee_Sample_Data_1[[#This Row],[Hire Date]], "dddd")</f>
        <v>Monday</v>
      </c>
      <c r="K488" s="1" t="str">
        <f>TEXT(Employee_Sample_Data_1[[#This Row],[Hire Date]], "mmmm")</f>
        <v>January</v>
      </c>
      <c r="L488" s="1" t="str">
        <f>TEXT(Employee_Sample_Data_1[[#This Row],[Hire Date]], "yyyy")</f>
        <v>2022</v>
      </c>
      <c r="M488" s="2">
        <v>152474</v>
      </c>
      <c r="N488" s="3">
        <v>0.27</v>
      </c>
      <c r="O488" s="9">
        <f>PRODUCT(Employee_Sample_Data_1[[#This Row],[Annual Salary]],Employee_Sample_Data_1[[#This Row],[Bonus %]])</f>
        <v>41167.980000000003</v>
      </c>
      <c r="P488" s="2">
        <f>ROUND(Employee_Sample_Data_1[[#This Row],[Annual Salary]]*(1+Employee_Sample_Data_1[[#This Row],[Bonus %]]), 0)</f>
        <v>193642</v>
      </c>
      <c r="Q488" t="s">
        <v>21</v>
      </c>
      <c r="R488" t="s">
        <v>45</v>
      </c>
      <c r="T488">
        <f ca="1">DATEDIF(Employee_Sample_Data_1[[#This Row],[Hire Date]], IF(Employee_Sample_Data_1[[#This Row],[Exit Date]] = "", TODAY(), Employee_Sample_Data_1[[#This Row],[Exit Date]]), "Y")</f>
        <v>4</v>
      </c>
    </row>
    <row r="489" spans="1:20" x14ac:dyDescent="0.25">
      <c r="A489" t="s">
        <v>1053</v>
      </c>
      <c r="B489" t="s">
        <v>1054</v>
      </c>
      <c r="C489" t="s">
        <v>31</v>
      </c>
      <c r="D489" t="s">
        <v>32</v>
      </c>
      <c r="E489" t="s">
        <v>53</v>
      </c>
      <c r="F489" t="s">
        <v>39</v>
      </c>
      <c r="G489" t="s">
        <v>20</v>
      </c>
      <c r="H489">
        <v>28</v>
      </c>
      <c r="I489" s="1">
        <v>43874</v>
      </c>
      <c r="J489" s="1" t="str">
        <f>TEXT(Employee_Sample_Data_1[[#This Row],[Hire Date]], "dddd")</f>
        <v>Thursday</v>
      </c>
      <c r="K489" s="1" t="str">
        <f>TEXT(Employee_Sample_Data_1[[#This Row],[Hire Date]], "mmmm")</f>
        <v>February</v>
      </c>
      <c r="L489" s="1" t="str">
        <f>TEXT(Employee_Sample_Data_1[[#This Row],[Hire Date]], "yyyy")</f>
        <v>2020</v>
      </c>
      <c r="M489" s="2">
        <v>75172</v>
      </c>
      <c r="N489" s="3">
        <v>0</v>
      </c>
      <c r="O489" s="9">
        <f>PRODUCT(Employee_Sample_Data_1[[#This Row],[Annual Salary]],Employee_Sample_Data_1[[#This Row],[Bonus %]])</f>
        <v>0</v>
      </c>
      <c r="P489" s="2">
        <f>ROUND(Employee_Sample_Data_1[[#This Row],[Annual Salary]]*(1+Employee_Sample_Data_1[[#This Row],[Bonus %]]), 0)</f>
        <v>75172</v>
      </c>
      <c r="Q489" t="s">
        <v>34</v>
      </c>
      <c r="R489" t="s">
        <v>35</v>
      </c>
      <c r="T489">
        <f ca="1">DATEDIF(Employee_Sample_Data_1[[#This Row],[Hire Date]], IF(Employee_Sample_Data_1[[#This Row],[Exit Date]] = "", TODAY(), Employee_Sample_Data_1[[#This Row],[Exit Date]]), "Y")</f>
        <v>6</v>
      </c>
    </row>
    <row r="490" spans="1:20" x14ac:dyDescent="0.25">
      <c r="A490" t="s">
        <v>1055</v>
      </c>
      <c r="B490" t="s">
        <v>1056</v>
      </c>
      <c r="C490" t="s">
        <v>128</v>
      </c>
      <c r="D490" t="s">
        <v>123</v>
      </c>
      <c r="E490" t="s">
        <v>18</v>
      </c>
      <c r="F490" t="s">
        <v>39</v>
      </c>
      <c r="G490" t="s">
        <v>40</v>
      </c>
      <c r="H490">
        <v>50</v>
      </c>
      <c r="I490" s="1">
        <v>39670</v>
      </c>
      <c r="J490" s="1" t="str">
        <f>TEXT(Employee_Sample_Data_1[[#This Row],[Hire Date]], "dddd")</f>
        <v>Sunday</v>
      </c>
      <c r="K490" s="1" t="str">
        <f>TEXT(Employee_Sample_Data_1[[#This Row],[Hire Date]], "mmmm")</f>
        <v>August</v>
      </c>
      <c r="L490" s="1" t="str">
        <f>TEXT(Employee_Sample_Data_1[[#This Row],[Hire Date]], "yyyy")</f>
        <v>2008</v>
      </c>
      <c r="M490" s="2">
        <v>56002</v>
      </c>
      <c r="N490" s="3">
        <v>0</v>
      </c>
      <c r="O490" s="9">
        <f>PRODUCT(Employee_Sample_Data_1[[#This Row],[Annual Salary]],Employee_Sample_Data_1[[#This Row],[Bonus %]])</f>
        <v>0</v>
      </c>
      <c r="P490" s="2">
        <f>ROUND(Employee_Sample_Data_1[[#This Row],[Annual Salary]]*(1+Employee_Sample_Data_1[[#This Row],[Bonus %]]), 0)</f>
        <v>56002</v>
      </c>
      <c r="Q490" t="s">
        <v>21</v>
      </c>
      <c r="R490" t="s">
        <v>45</v>
      </c>
      <c r="T490">
        <f ca="1">DATEDIF(Employee_Sample_Data_1[[#This Row],[Hire Date]], IF(Employee_Sample_Data_1[[#This Row],[Exit Date]] = "", TODAY(), Employee_Sample_Data_1[[#This Row],[Exit Date]]), "Y")</f>
        <v>17</v>
      </c>
    </row>
    <row r="491" spans="1:20" x14ac:dyDescent="0.25">
      <c r="A491" t="s">
        <v>1057</v>
      </c>
      <c r="B491" t="s">
        <v>1058</v>
      </c>
      <c r="C491" t="s">
        <v>44</v>
      </c>
      <c r="D491" t="s">
        <v>26</v>
      </c>
      <c r="E491" t="s">
        <v>33</v>
      </c>
      <c r="F491" t="s">
        <v>39</v>
      </c>
      <c r="G491" t="s">
        <v>40</v>
      </c>
      <c r="H491">
        <v>61</v>
      </c>
      <c r="I491" s="1">
        <v>41377</v>
      </c>
      <c r="J491" s="1" t="str">
        <f>TEXT(Employee_Sample_Data_1[[#This Row],[Hire Date]], "dddd")</f>
        <v>Saturday</v>
      </c>
      <c r="K491" s="1" t="str">
        <f>TEXT(Employee_Sample_Data_1[[#This Row],[Hire Date]], "mmmm")</f>
        <v>April</v>
      </c>
      <c r="L491" s="1" t="str">
        <f>TEXT(Employee_Sample_Data_1[[#This Row],[Hire Date]], "yyyy")</f>
        <v>2013</v>
      </c>
      <c r="M491" s="2">
        <v>195636</v>
      </c>
      <c r="N491" s="3">
        <v>0.21</v>
      </c>
      <c r="O491" s="9">
        <f>PRODUCT(Employee_Sample_Data_1[[#This Row],[Annual Salary]],Employee_Sample_Data_1[[#This Row],[Bonus %]])</f>
        <v>41083.56</v>
      </c>
      <c r="P491" s="2">
        <f>ROUND(Employee_Sample_Data_1[[#This Row],[Annual Salary]]*(1+Employee_Sample_Data_1[[#This Row],[Bonus %]]), 0)</f>
        <v>236720</v>
      </c>
      <c r="Q491" t="s">
        <v>134</v>
      </c>
      <c r="R491" t="s">
        <v>135</v>
      </c>
      <c r="T491">
        <f ca="1">DATEDIF(Employee_Sample_Data_1[[#This Row],[Hire Date]], IF(Employee_Sample_Data_1[[#This Row],[Exit Date]] = "", TODAY(), Employee_Sample_Data_1[[#This Row],[Exit Date]]), "Y")</f>
        <v>13</v>
      </c>
    </row>
    <row r="492" spans="1:20" x14ac:dyDescent="0.25">
      <c r="A492" t="s">
        <v>1059</v>
      </c>
      <c r="B492" t="s">
        <v>1060</v>
      </c>
      <c r="C492" t="s">
        <v>170</v>
      </c>
      <c r="D492" t="s">
        <v>32</v>
      </c>
      <c r="E492" t="s">
        <v>53</v>
      </c>
      <c r="F492" t="s">
        <v>19</v>
      </c>
      <c r="G492" t="s">
        <v>63</v>
      </c>
      <c r="H492">
        <v>53</v>
      </c>
      <c r="I492" s="1">
        <v>35490</v>
      </c>
      <c r="J492" s="1" t="str">
        <f>TEXT(Employee_Sample_Data_1[[#This Row],[Hire Date]], "dddd")</f>
        <v>Saturday</v>
      </c>
      <c r="K492" s="1" t="str">
        <f>TEXT(Employee_Sample_Data_1[[#This Row],[Hire Date]], "mmmm")</f>
        <v>March</v>
      </c>
      <c r="L492" s="1" t="str">
        <f>TEXT(Employee_Sample_Data_1[[#This Row],[Hire Date]], "yyyy")</f>
        <v>1997</v>
      </c>
      <c r="M492" s="2">
        <v>63165</v>
      </c>
      <c r="N492" s="3">
        <v>0</v>
      </c>
      <c r="O492" s="9">
        <f>PRODUCT(Employee_Sample_Data_1[[#This Row],[Annual Salary]],Employee_Sample_Data_1[[#This Row],[Bonus %]])</f>
        <v>0</v>
      </c>
      <c r="P492" s="2">
        <f>ROUND(Employee_Sample_Data_1[[#This Row],[Annual Salary]]*(1+Employee_Sample_Data_1[[#This Row],[Bonus %]]), 0)</f>
        <v>63165</v>
      </c>
      <c r="Q492" t="s">
        <v>21</v>
      </c>
      <c r="R492" t="s">
        <v>41</v>
      </c>
      <c r="T492">
        <f ca="1">DATEDIF(Employee_Sample_Data_1[[#This Row],[Hire Date]], IF(Employee_Sample_Data_1[[#This Row],[Exit Date]] = "", TODAY(), Employee_Sample_Data_1[[#This Row],[Exit Date]]), "Y")</f>
        <v>29</v>
      </c>
    </row>
    <row r="493" spans="1:20" x14ac:dyDescent="0.25">
      <c r="A493" t="s">
        <v>1061</v>
      </c>
      <c r="B493" t="s">
        <v>1062</v>
      </c>
      <c r="C493" t="s">
        <v>25</v>
      </c>
      <c r="D493" t="s">
        <v>26</v>
      </c>
      <c r="E493" t="s">
        <v>33</v>
      </c>
      <c r="F493" t="s">
        <v>39</v>
      </c>
      <c r="G493" t="s">
        <v>20</v>
      </c>
      <c r="H493">
        <v>51</v>
      </c>
      <c r="I493" s="1">
        <v>35997</v>
      </c>
      <c r="J493" s="1" t="str">
        <f>TEXT(Employee_Sample_Data_1[[#This Row],[Hire Date]], "dddd")</f>
        <v>Tuesday</v>
      </c>
      <c r="K493" s="1" t="str">
        <f>TEXT(Employee_Sample_Data_1[[#This Row],[Hire Date]], "mmmm")</f>
        <v>July</v>
      </c>
      <c r="L493" s="1" t="str">
        <f>TEXT(Employee_Sample_Data_1[[#This Row],[Hire Date]], "yyyy")</f>
        <v>1998</v>
      </c>
      <c r="M493" s="2">
        <v>57277</v>
      </c>
      <c r="N493" s="3">
        <v>0</v>
      </c>
      <c r="O493" s="9">
        <f>PRODUCT(Employee_Sample_Data_1[[#This Row],[Annual Salary]],Employee_Sample_Data_1[[#This Row],[Bonus %]])</f>
        <v>0</v>
      </c>
      <c r="P493" s="2">
        <f>ROUND(Employee_Sample_Data_1[[#This Row],[Annual Salary]]*(1+Employee_Sample_Data_1[[#This Row],[Bonus %]]), 0)</f>
        <v>57277</v>
      </c>
      <c r="Q493" t="s">
        <v>34</v>
      </c>
      <c r="R493" t="s">
        <v>35</v>
      </c>
      <c r="T493">
        <f ca="1">DATEDIF(Employee_Sample_Data_1[[#This Row],[Hire Date]], IF(Employee_Sample_Data_1[[#This Row],[Exit Date]] = "", TODAY(), Employee_Sample_Data_1[[#This Row],[Exit Date]]), "Y")</f>
        <v>27</v>
      </c>
    </row>
    <row r="494" spans="1:20" x14ac:dyDescent="0.25">
      <c r="A494" t="s">
        <v>1063</v>
      </c>
      <c r="B494" t="s">
        <v>1064</v>
      </c>
      <c r="C494" t="s">
        <v>25</v>
      </c>
      <c r="D494" t="s">
        <v>58</v>
      </c>
      <c r="E494" t="s">
        <v>53</v>
      </c>
      <c r="F494" t="s">
        <v>39</v>
      </c>
      <c r="G494" t="s">
        <v>40</v>
      </c>
      <c r="H494">
        <v>56</v>
      </c>
      <c r="I494" s="1">
        <v>43844</v>
      </c>
      <c r="J494" s="1" t="str">
        <f>TEXT(Employee_Sample_Data_1[[#This Row],[Hire Date]], "dddd")</f>
        <v>Tuesday</v>
      </c>
      <c r="K494" s="1" t="str">
        <f>TEXT(Employee_Sample_Data_1[[#This Row],[Hire Date]], "mmmm")</f>
        <v>January</v>
      </c>
      <c r="L494" s="1" t="str">
        <f>TEXT(Employee_Sample_Data_1[[#This Row],[Hire Date]], "yyyy")</f>
        <v>2020</v>
      </c>
      <c r="M494" s="2">
        <v>42950</v>
      </c>
      <c r="N494" s="3">
        <v>0</v>
      </c>
      <c r="O494" s="9">
        <f>PRODUCT(Employee_Sample_Data_1[[#This Row],[Annual Salary]],Employee_Sample_Data_1[[#This Row],[Bonus %]])</f>
        <v>0</v>
      </c>
      <c r="P494" s="2">
        <f>ROUND(Employee_Sample_Data_1[[#This Row],[Annual Salary]]*(1+Employee_Sample_Data_1[[#This Row],[Bonus %]]), 0)</f>
        <v>42950</v>
      </c>
      <c r="Q494" t="s">
        <v>134</v>
      </c>
      <c r="R494" t="s">
        <v>135</v>
      </c>
      <c r="T494">
        <f ca="1">DATEDIF(Employee_Sample_Data_1[[#This Row],[Hire Date]], IF(Employee_Sample_Data_1[[#This Row],[Exit Date]] = "", TODAY(), Employee_Sample_Data_1[[#This Row],[Exit Date]]), "Y")</f>
        <v>6</v>
      </c>
    </row>
    <row r="495" spans="1:20" x14ac:dyDescent="0.25">
      <c r="A495" t="s">
        <v>1065</v>
      </c>
      <c r="B495" t="s">
        <v>1066</v>
      </c>
      <c r="C495" t="s">
        <v>44</v>
      </c>
      <c r="D495" t="s">
        <v>32</v>
      </c>
      <c r="E495" t="s">
        <v>33</v>
      </c>
      <c r="F495" t="s">
        <v>19</v>
      </c>
      <c r="G495" t="s">
        <v>40</v>
      </c>
      <c r="H495">
        <v>38</v>
      </c>
      <c r="I495" s="1">
        <v>43382</v>
      </c>
      <c r="J495" s="1" t="str">
        <f>TEXT(Employee_Sample_Data_1[[#This Row],[Hire Date]], "dddd")</f>
        <v>Tuesday</v>
      </c>
      <c r="K495" s="1" t="str">
        <f>TEXT(Employee_Sample_Data_1[[#This Row],[Hire Date]], "mmmm")</f>
        <v>October</v>
      </c>
      <c r="L495" s="1" t="str">
        <f>TEXT(Employee_Sample_Data_1[[#This Row],[Hire Date]], "yyyy")</f>
        <v>2018</v>
      </c>
      <c r="M495" s="2">
        <v>168410</v>
      </c>
      <c r="N495" s="3">
        <v>0.3</v>
      </c>
      <c r="O495" s="9">
        <f>PRODUCT(Employee_Sample_Data_1[[#This Row],[Annual Salary]],Employee_Sample_Data_1[[#This Row],[Bonus %]])</f>
        <v>50523</v>
      </c>
      <c r="P495" s="2">
        <f>ROUND(Employee_Sample_Data_1[[#This Row],[Annual Salary]]*(1+Employee_Sample_Data_1[[#This Row],[Bonus %]]), 0)</f>
        <v>218933</v>
      </c>
      <c r="Q495" t="s">
        <v>21</v>
      </c>
      <c r="R495" t="s">
        <v>28</v>
      </c>
      <c r="T495">
        <f ca="1">DATEDIF(Employee_Sample_Data_1[[#This Row],[Hire Date]], IF(Employee_Sample_Data_1[[#This Row],[Exit Date]] = "", TODAY(), Employee_Sample_Data_1[[#This Row],[Exit Date]]), "Y")</f>
        <v>7</v>
      </c>
    </row>
    <row r="496" spans="1:20" x14ac:dyDescent="0.25">
      <c r="A496" t="s">
        <v>1067</v>
      </c>
      <c r="B496" t="s">
        <v>1068</v>
      </c>
      <c r="C496" t="s">
        <v>66</v>
      </c>
      <c r="D496" t="s">
        <v>32</v>
      </c>
      <c r="E496" t="s">
        <v>27</v>
      </c>
      <c r="F496" t="s">
        <v>39</v>
      </c>
      <c r="G496" t="s">
        <v>63</v>
      </c>
      <c r="H496">
        <v>41</v>
      </c>
      <c r="I496" s="1">
        <v>39550</v>
      </c>
      <c r="J496" s="1" t="str">
        <f>TEXT(Employee_Sample_Data_1[[#This Row],[Hire Date]], "dddd")</f>
        <v>Saturday</v>
      </c>
      <c r="K496" s="1" t="str">
        <f>TEXT(Employee_Sample_Data_1[[#This Row],[Hire Date]], "mmmm")</f>
        <v>April</v>
      </c>
      <c r="L496" s="1" t="str">
        <f>TEXT(Employee_Sample_Data_1[[#This Row],[Hire Date]], "yyyy")</f>
        <v>2008</v>
      </c>
      <c r="M496" s="2">
        <v>114588</v>
      </c>
      <c r="N496" s="3">
        <v>0.05</v>
      </c>
      <c r="O496" s="9">
        <f>PRODUCT(Employee_Sample_Data_1[[#This Row],[Annual Salary]],Employee_Sample_Data_1[[#This Row],[Bonus %]])</f>
        <v>5729.4000000000005</v>
      </c>
      <c r="P496" s="2">
        <f>ROUND(Employee_Sample_Data_1[[#This Row],[Annual Salary]]*(1+Employee_Sample_Data_1[[#This Row],[Bonus %]]), 0)</f>
        <v>120317</v>
      </c>
      <c r="Q496" t="s">
        <v>21</v>
      </c>
      <c r="R496" t="s">
        <v>67</v>
      </c>
      <c r="T496">
        <f ca="1">DATEDIF(Employee_Sample_Data_1[[#This Row],[Hire Date]], IF(Employee_Sample_Data_1[[#This Row],[Exit Date]] = "", TODAY(), Employee_Sample_Data_1[[#This Row],[Exit Date]]), "Y")</f>
        <v>18</v>
      </c>
    </row>
    <row r="497" spans="1:20" x14ac:dyDescent="0.25">
      <c r="A497" t="s">
        <v>1069</v>
      </c>
      <c r="B497" t="s">
        <v>1070</v>
      </c>
      <c r="C497" t="s">
        <v>51</v>
      </c>
      <c r="D497" t="s">
        <v>26</v>
      </c>
      <c r="E497" t="s">
        <v>53</v>
      </c>
      <c r="F497" t="s">
        <v>39</v>
      </c>
      <c r="G497" t="s">
        <v>20</v>
      </c>
      <c r="H497">
        <v>61</v>
      </c>
      <c r="I497" s="1">
        <v>35562</v>
      </c>
      <c r="J497" s="1" t="str">
        <f>TEXT(Employee_Sample_Data_1[[#This Row],[Hire Date]], "dddd")</f>
        <v>Monday</v>
      </c>
      <c r="K497" s="1" t="str">
        <f>TEXT(Employee_Sample_Data_1[[#This Row],[Hire Date]], "mmmm")</f>
        <v>May</v>
      </c>
      <c r="L497" s="1" t="str">
        <f>TEXT(Employee_Sample_Data_1[[#This Row],[Hire Date]], "yyyy")</f>
        <v>1997</v>
      </c>
      <c r="M497" s="2">
        <v>72546</v>
      </c>
      <c r="N497" s="3">
        <v>0</v>
      </c>
      <c r="O497" s="9">
        <f>PRODUCT(Employee_Sample_Data_1[[#This Row],[Annual Salary]],Employee_Sample_Data_1[[#This Row],[Bonus %]])</f>
        <v>0</v>
      </c>
      <c r="P497" s="2">
        <f>ROUND(Employee_Sample_Data_1[[#This Row],[Annual Salary]]*(1+Employee_Sample_Data_1[[#This Row],[Bonus %]]), 0)</f>
        <v>72546</v>
      </c>
      <c r="Q497" t="s">
        <v>34</v>
      </c>
      <c r="R497" t="s">
        <v>108</v>
      </c>
      <c r="S497" s="1">
        <v>44284</v>
      </c>
      <c r="T497">
        <f ca="1">DATEDIF(Employee_Sample_Data_1[[#This Row],[Hire Date]], IF(Employee_Sample_Data_1[[#This Row],[Exit Date]] = "", TODAY(), Employee_Sample_Data_1[[#This Row],[Exit Date]]), "Y")</f>
        <v>23</v>
      </c>
    </row>
    <row r="498" spans="1:20" x14ac:dyDescent="0.25">
      <c r="A498" t="s">
        <v>1071</v>
      </c>
      <c r="B498" t="s">
        <v>1072</v>
      </c>
      <c r="C498" t="s">
        <v>25</v>
      </c>
      <c r="D498" t="s">
        <v>26</v>
      </c>
      <c r="E498" t="s">
        <v>27</v>
      </c>
      <c r="F498" t="s">
        <v>19</v>
      </c>
      <c r="G498" t="s">
        <v>20</v>
      </c>
      <c r="H498">
        <v>33</v>
      </c>
      <c r="I498" s="1">
        <v>44205</v>
      </c>
      <c r="J498" s="1" t="str">
        <f>TEXT(Employee_Sample_Data_1[[#This Row],[Hire Date]], "dddd")</f>
        <v>Saturday</v>
      </c>
      <c r="K498" s="1" t="str">
        <f>TEXT(Employee_Sample_Data_1[[#This Row],[Hire Date]], "mmmm")</f>
        <v>January</v>
      </c>
      <c r="L498" s="1" t="str">
        <f>TEXT(Employee_Sample_Data_1[[#This Row],[Hire Date]], "yyyy")</f>
        <v>2021</v>
      </c>
      <c r="M498" s="2">
        <v>55397</v>
      </c>
      <c r="N498" s="3">
        <v>0</v>
      </c>
      <c r="O498" s="9">
        <f>PRODUCT(Employee_Sample_Data_1[[#This Row],[Annual Salary]],Employee_Sample_Data_1[[#This Row],[Bonus %]])</f>
        <v>0</v>
      </c>
      <c r="P498" s="2">
        <f>ROUND(Employee_Sample_Data_1[[#This Row],[Annual Salary]]*(1+Employee_Sample_Data_1[[#This Row],[Bonus %]]), 0)</f>
        <v>55397</v>
      </c>
      <c r="Q498" t="s">
        <v>34</v>
      </c>
      <c r="R498" t="s">
        <v>35</v>
      </c>
      <c r="T498">
        <f ca="1">DATEDIF(Employee_Sample_Data_1[[#This Row],[Hire Date]], IF(Employee_Sample_Data_1[[#This Row],[Exit Date]] = "", TODAY(), Employee_Sample_Data_1[[#This Row],[Exit Date]]), "Y")</f>
        <v>5</v>
      </c>
    </row>
    <row r="499" spans="1:20" x14ac:dyDescent="0.25">
      <c r="A499" t="s">
        <v>1073</v>
      </c>
      <c r="B499" t="s">
        <v>1074</v>
      </c>
      <c r="C499" t="s">
        <v>44</v>
      </c>
      <c r="D499" t="s">
        <v>77</v>
      </c>
      <c r="E499" t="s">
        <v>27</v>
      </c>
      <c r="F499" t="s">
        <v>39</v>
      </c>
      <c r="G499" t="s">
        <v>20</v>
      </c>
      <c r="H499">
        <v>41</v>
      </c>
      <c r="I499" s="1">
        <v>44444</v>
      </c>
      <c r="J499" s="1" t="str">
        <f>TEXT(Employee_Sample_Data_1[[#This Row],[Hire Date]], "dddd")</f>
        <v>Sunday</v>
      </c>
      <c r="K499" s="1" t="str">
        <f>TEXT(Employee_Sample_Data_1[[#This Row],[Hire Date]], "mmmm")</f>
        <v>September</v>
      </c>
      <c r="L499" s="1" t="str">
        <f>TEXT(Employee_Sample_Data_1[[#This Row],[Hire Date]], "yyyy")</f>
        <v>2021</v>
      </c>
      <c r="M499" s="2">
        <v>192266</v>
      </c>
      <c r="N499" s="3">
        <v>0.23</v>
      </c>
      <c r="O499" s="9">
        <f>PRODUCT(Employee_Sample_Data_1[[#This Row],[Annual Salary]],Employee_Sample_Data_1[[#This Row],[Bonus %]])</f>
        <v>44221.18</v>
      </c>
      <c r="P499" s="2">
        <f>ROUND(Employee_Sample_Data_1[[#This Row],[Annual Salary]]*(1+Employee_Sample_Data_1[[#This Row],[Bonus %]]), 0)</f>
        <v>236487</v>
      </c>
      <c r="Q499" t="s">
        <v>34</v>
      </c>
      <c r="R499" t="s">
        <v>59</v>
      </c>
      <c r="T499">
        <f ca="1">DATEDIF(Employee_Sample_Data_1[[#This Row],[Hire Date]], IF(Employee_Sample_Data_1[[#This Row],[Exit Date]] = "", TODAY(), Employee_Sample_Data_1[[#This Row],[Exit Date]]), "Y")</f>
        <v>4</v>
      </c>
    </row>
    <row r="500" spans="1:20" x14ac:dyDescent="0.25">
      <c r="A500" t="s">
        <v>1075</v>
      </c>
      <c r="B500" t="s">
        <v>1076</v>
      </c>
      <c r="C500" t="s">
        <v>62</v>
      </c>
      <c r="D500" t="s">
        <v>32</v>
      </c>
      <c r="E500" t="s">
        <v>18</v>
      </c>
      <c r="F500" t="s">
        <v>39</v>
      </c>
      <c r="G500" t="s">
        <v>20</v>
      </c>
      <c r="H500">
        <v>36</v>
      </c>
      <c r="I500" s="1">
        <v>41628</v>
      </c>
      <c r="J500" s="1" t="str">
        <f>TEXT(Employee_Sample_Data_1[[#This Row],[Hire Date]], "dddd")</f>
        <v>Friday</v>
      </c>
      <c r="K500" s="1" t="str">
        <f>TEXT(Employee_Sample_Data_1[[#This Row],[Hire Date]], "mmmm")</f>
        <v>December</v>
      </c>
      <c r="L500" s="1" t="str">
        <f>TEXT(Employee_Sample_Data_1[[#This Row],[Hire Date]], "yyyy")</f>
        <v>2013</v>
      </c>
      <c r="M500" s="2">
        <v>79876</v>
      </c>
      <c r="N500" s="3">
        <v>0</v>
      </c>
      <c r="O500" s="9">
        <f>PRODUCT(Employee_Sample_Data_1[[#This Row],[Annual Salary]],Employee_Sample_Data_1[[#This Row],[Bonus %]])</f>
        <v>0</v>
      </c>
      <c r="P500" s="2">
        <f>ROUND(Employee_Sample_Data_1[[#This Row],[Annual Salary]]*(1+Employee_Sample_Data_1[[#This Row],[Bonus %]]), 0)</f>
        <v>79876</v>
      </c>
      <c r="Q500" t="s">
        <v>21</v>
      </c>
      <c r="R500" t="s">
        <v>41</v>
      </c>
      <c r="S500" s="1">
        <v>44959</v>
      </c>
      <c r="T500">
        <f ca="1">DATEDIF(Employee_Sample_Data_1[[#This Row],[Hire Date]], IF(Employee_Sample_Data_1[[#This Row],[Exit Date]] = "", TODAY(), Employee_Sample_Data_1[[#This Row],[Exit Date]]), "Y")</f>
        <v>9</v>
      </c>
    </row>
    <row r="501" spans="1:20" x14ac:dyDescent="0.25">
      <c r="A501" t="s">
        <v>1077</v>
      </c>
      <c r="B501" t="s">
        <v>1078</v>
      </c>
      <c r="C501" t="s">
        <v>66</v>
      </c>
      <c r="D501" t="s">
        <v>26</v>
      </c>
      <c r="E501" t="s">
        <v>27</v>
      </c>
      <c r="F501" t="s">
        <v>39</v>
      </c>
      <c r="G501" t="s">
        <v>20</v>
      </c>
      <c r="H501">
        <v>42</v>
      </c>
      <c r="I501" s="1">
        <v>43165</v>
      </c>
      <c r="J501" s="1" t="str">
        <f>TEXT(Employee_Sample_Data_1[[#This Row],[Hire Date]], "dddd")</f>
        <v>Tuesday</v>
      </c>
      <c r="K501" s="1" t="str">
        <f>TEXT(Employee_Sample_Data_1[[#This Row],[Hire Date]], "mmmm")</f>
        <v>March</v>
      </c>
      <c r="L501" s="1" t="str">
        <f>TEXT(Employee_Sample_Data_1[[#This Row],[Hire Date]], "yyyy")</f>
        <v>2018</v>
      </c>
      <c r="M501" s="2">
        <v>112593</v>
      </c>
      <c r="N501" s="3">
        <v>0.05</v>
      </c>
      <c r="O501" s="9">
        <f>PRODUCT(Employee_Sample_Data_1[[#This Row],[Annual Salary]],Employee_Sample_Data_1[[#This Row],[Bonus %]])</f>
        <v>5629.6500000000005</v>
      </c>
      <c r="P501" s="2">
        <f>ROUND(Employee_Sample_Data_1[[#This Row],[Annual Salary]]*(1+Employee_Sample_Data_1[[#This Row],[Bonus %]]), 0)</f>
        <v>118223</v>
      </c>
      <c r="Q501" t="s">
        <v>21</v>
      </c>
      <c r="R501" t="s">
        <v>41</v>
      </c>
      <c r="T501">
        <f ca="1">DATEDIF(Employee_Sample_Data_1[[#This Row],[Hire Date]], IF(Employee_Sample_Data_1[[#This Row],[Exit Date]] = "", TODAY(), Employee_Sample_Data_1[[#This Row],[Exit Date]]), "Y")</f>
        <v>8</v>
      </c>
    </row>
    <row r="502" spans="1:20" x14ac:dyDescent="0.25">
      <c r="A502" t="s">
        <v>1079</v>
      </c>
      <c r="B502" t="s">
        <v>1080</v>
      </c>
      <c r="C502" t="s">
        <v>62</v>
      </c>
      <c r="D502" t="s">
        <v>32</v>
      </c>
      <c r="E502" t="s">
        <v>18</v>
      </c>
      <c r="F502" t="s">
        <v>39</v>
      </c>
      <c r="G502" t="s">
        <v>63</v>
      </c>
      <c r="H502">
        <v>36</v>
      </c>
      <c r="I502" s="1">
        <v>42677</v>
      </c>
      <c r="J502" s="1" t="str">
        <f>TEXT(Employee_Sample_Data_1[[#This Row],[Hire Date]], "dddd")</f>
        <v>Thursday</v>
      </c>
      <c r="K502" s="1" t="str">
        <f>TEXT(Employee_Sample_Data_1[[#This Row],[Hire Date]], "mmmm")</f>
        <v>November</v>
      </c>
      <c r="L502" s="1" t="str">
        <f>TEXT(Employee_Sample_Data_1[[#This Row],[Hire Date]], "yyyy")</f>
        <v>2016</v>
      </c>
      <c r="M502" s="2">
        <v>99249</v>
      </c>
      <c r="N502" s="3">
        <v>0</v>
      </c>
      <c r="O502" s="9">
        <f>PRODUCT(Employee_Sample_Data_1[[#This Row],[Annual Salary]],Employee_Sample_Data_1[[#This Row],[Bonus %]])</f>
        <v>0</v>
      </c>
      <c r="P502" s="2">
        <f>ROUND(Employee_Sample_Data_1[[#This Row],[Annual Salary]]*(1+Employee_Sample_Data_1[[#This Row],[Bonus %]]), 0)</f>
        <v>99249</v>
      </c>
      <c r="Q502" t="s">
        <v>21</v>
      </c>
      <c r="R502" t="s">
        <v>67</v>
      </c>
      <c r="T502">
        <f ca="1">DATEDIF(Employee_Sample_Data_1[[#This Row],[Hire Date]], IF(Employee_Sample_Data_1[[#This Row],[Exit Date]] = "", TODAY(), Employee_Sample_Data_1[[#This Row],[Exit Date]]), "Y")</f>
        <v>9</v>
      </c>
    </row>
    <row r="503" spans="1:20" x14ac:dyDescent="0.25">
      <c r="A503" t="s">
        <v>1081</v>
      </c>
      <c r="B503" t="s">
        <v>1082</v>
      </c>
      <c r="C503" t="s">
        <v>66</v>
      </c>
      <c r="D503" t="s">
        <v>58</v>
      </c>
      <c r="E503" t="s">
        <v>18</v>
      </c>
      <c r="F503" t="s">
        <v>39</v>
      </c>
      <c r="G503" t="s">
        <v>63</v>
      </c>
      <c r="H503">
        <v>55</v>
      </c>
      <c r="I503" s="1">
        <v>41133</v>
      </c>
      <c r="J503" s="1" t="str">
        <f>TEXT(Employee_Sample_Data_1[[#This Row],[Hire Date]], "dddd")</f>
        <v>Sunday</v>
      </c>
      <c r="K503" s="1" t="str">
        <f>TEXT(Employee_Sample_Data_1[[#This Row],[Hire Date]], "mmmm")</f>
        <v>August</v>
      </c>
      <c r="L503" s="1" t="str">
        <f>TEXT(Employee_Sample_Data_1[[#This Row],[Hire Date]], "yyyy")</f>
        <v>2012</v>
      </c>
      <c r="M503" s="2">
        <v>117421</v>
      </c>
      <c r="N503" s="3">
        <v>0.05</v>
      </c>
      <c r="O503" s="9">
        <f>PRODUCT(Employee_Sample_Data_1[[#This Row],[Annual Salary]],Employee_Sample_Data_1[[#This Row],[Bonus %]])</f>
        <v>5871.05</v>
      </c>
      <c r="P503" s="2">
        <f>ROUND(Employee_Sample_Data_1[[#This Row],[Annual Salary]]*(1+Employee_Sample_Data_1[[#This Row],[Bonus %]]), 0)</f>
        <v>123292</v>
      </c>
      <c r="Q503" t="s">
        <v>21</v>
      </c>
      <c r="R503" t="s">
        <v>45</v>
      </c>
      <c r="S503" s="1">
        <v>42975</v>
      </c>
      <c r="T503">
        <f ca="1">DATEDIF(Employee_Sample_Data_1[[#This Row],[Hire Date]], IF(Employee_Sample_Data_1[[#This Row],[Exit Date]] = "", TODAY(), Employee_Sample_Data_1[[#This Row],[Exit Date]]), "Y")</f>
        <v>5</v>
      </c>
    </row>
    <row r="504" spans="1:20" x14ac:dyDescent="0.25">
      <c r="A504" t="s">
        <v>1083</v>
      </c>
      <c r="B504" t="s">
        <v>1084</v>
      </c>
      <c r="C504" t="s">
        <v>289</v>
      </c>
      <c r="D504" t="s">
        <v>17</v>
      </c>
      <c r="E504" t="s">
        <v>27</v>
      </c>
      <c r="F504" t="s">
        <v>39</v>
      </c>
      <c r="G504" t="s">
        <v>20</v>
      </c>
      <c r="H504">
        <v>44</v>
      </c>
      <c r="I504" s="1">
        <v>43087</v>
      </c>
      <c r="J504" s="1" t="str">
        <f>TEXT(Employee_Sample_Data_1[[#This Row],[Hire Date]], "dddd")</f>
        <v>Monday</v>
      </c>
      <c r="K504" s="1" t="str">
        <f>TEXT(Employee_Sample_Data_1[[#This Row],[Hire Date]], "mmmm")</f>
        <v>December</v>
      </c>
      <c r="L504" s="1" t="str">
        <f>TEXT(Employee_Sample_Data_1[[#This Row],[Hire Date]], "yyyy")</f>
        <v>2017</v>
      </c>
      <c r="M504" s="2">
        <v>82241</v>
      </c>
      <c r="N504" s="3">
        <v>0</v>
      </c>
      <c r="O504" s="9">
        <f>PRODUCT(Employee_Sample_Data_1[[#This Row],[Annual Salary]],Employee_Sample_Data_1[[#This Row],[Bonus %]])</f>
        <v>0</v>
      </c>
      <c r="P504" s="2">
        <f>ROUND(Employee_Sample_Data_1[[#This Row],[Annual Salary]]*(1+Employee_Sample_Data_1[[#This Row],[Bonus %]]), 0)</f>
        <v>82241</v>
      </c>
      <c r="Q504" t="s">
        <v>34</v>
      </c>
      <c r="R504" t="s">
        <v>35</v>
      </c>
      <c r="T504">
        <f ca="1">DATEDIF(Employee_Sample_Data_1[[#This Row],[Hire Date]], IF(Employee_Sample_Data_1[[#This Row],[Exit Date]] = "", TODAY(), Employee_Sample_Data_1[[#This Row],[Exit Date]]), "Y")</f>
        <v>8</v>
      </c>
    </row>
    <row r="505" spans="1:20" x14ac:dyDescent="0.25">
      <c r="A505" t="s">
        <v>1085</v>
      </c>
      <c r="B505" t="s">
        <v>1086</v>
      </c>
      <c r="C505" t="s">
        <v>66</v>
      </c>
      <c r="D505" t="s">
        <v>77</v>
      </c>
      <c r="E505" t="s">
        <v>33</v>
      </c>
      <c r="F505" t="s">
        <v>19</v>
      </c>
      <c r="G505" t="s">
        <v>40</v>
      </c>
      <c r="H505">
        <v>31</v>
      </c>
      <c r="I505" s="1">
        <v>44696</v>
      </c>
      <c r="J505" s="1" t="str">
        <f>TEXT(Employee_Sample_Data_1[[#This Row],[Hire Date]], "dddd")</f>
        <v>Sunday</v>
      </c>
      <c r="K505" s="1" t="str">
        <f>TEXT(Employee_Sample_Data_1[[#This Row],[Hire Date]], "mmmm")</f>
        <v>May</v>
      </c>
      <c r="L505" s="1" t="str">
        <f>TEXT(Employee_Sample_Data_1[[#This Row],[Hire Date]], "yyyy")</f>
        <v>2022</v>
      </c>
      <c r="M505" s="2">
        <v>125664</v>
      </c>
      <c r="N505" s="3">
        <v>0.05</v>
      </c>
      <c r="O505" s="9">
        <f>PRODUCT(Employee_Sample_Data_1[[#This Row],[Annual Salary]],Employee_Sample_Data_1[[#This Row],[Bonus %]])</f>
        <v>6283.2000000000007</v>
      </c>
      <c r="P505" s="2">
        <f>ROUND(Employee_Sample_Data_1[[#This Row],[Annual Salary]]*(1+Employee_Sample_Data_1[[#This Row],[Bonus %]]), 0)</f>
        <v>131947</v>
      </c>
      <c r="Q505" t="s">
        <v>134</v>
      </c>
      <c r="R505" t="s">
        <v>286</v>
      </c>
      <c r="T505">
        <f ca="1">DATEDIF(Employee_Sample_Data_1[[#This Row],[Hire Date]], IF(Employee_Sample_Data_1[[#This Row],[Exit Date]] = "", TODAY(), Employee_Sample_Data_1[[#This Row],[Exit Date]]), "Y")</f>
        <v>4</v>
      </c>
    </row>
    <row r="506" spans="1:20" x14ac:dyDescent="0.25">
      <c r="A506" t="s">
        <v>1087</v>
      </c>
      <c r="B506" t="s">
        <v>1088</v>
      </c>
      <c r="C506" t="s">
        <v>101</v>
      </c>
      <c r="D506" t="s">
        <v>26</v>
      </c>
      <c r="E506" t="s">
        <v>33</v>
      </c>
      <c r="F506" t="s">
        <v>19</v>
      </c>
      <c r="G506" t="s">
        <v>20</v>
      </c>
      <c r="H506">
        <v>47</v>
      </c>
      <c r="I506" s="1">
        <v>41525</v>
      </c>
      <c r="J506" s="1" t="str">
        <f>TEXT(Employee_Sample_Data_1[[#This Row],[Hire Date]], "dddd")</f>
        <v>Sunday</v>
      </c>
      <c r="K506" s="1" t="str">
        <f>TEXT(Employee_Sample_Data_1[[#This Row],[Hire Date]], "mmmm")</f>
        <v>September</v>
      </c>
      <c r="L506" s="1" t="str">
        <f>TEXT(Employee_Sample_Data_1[[#This Row],[Hire Date]], "yyyy")</f>
        <v>2013</v>
      </c>
      <c r="M506" s="2">
        <v>57386</v>
      </c>
      <c r="N506" s="3">
        <v>0</v>
      </c>
      <c r="O506" s="9">
        <f>PRODUCT(Employee_Sample_Data_1[[#This Row],[Annual Salary]],Employee_Sample_Data_1[[#This Row],[Bonus %]])</f>
        <v>0</v>
      </c>
      <c r="P506" s="2">
        <f>ROUND(Employee_Sample_Data_1[[#This Row],[Annual Salary]]*(1+Employee_Sample_Data_1[[#This Row],[Bonus %]]), 0)</f>
        <v>57386</v>
      </c>
      <c r="Q506" t="s">
        <v>34</v>
      </c>
      <c r="R506" t="s">
        <v>108</v>
      </c>
      <c r="T506">
        <f ca="1">DATEDIF(Employee_Sample_Data_1[[#This Row],[Hire Date]], IF(Employee_Sample_Data_1[[#This Row],[Exit Date]] = "", TODAY(), Employee_Sample_Data_1[[#This Row],[Exit Date]]), "Y")</f>
        <v>12</v>
      </c>
    </row>
    <row r="507" spans="1:20" x14ac:dyDescent="0.25">
      <c r="A507" t="s">
        <v>1089</v>
      </c>
      <c r="B507" t="s">
        <v>1090</v>
      </c>
      <c r="C507" t="s">
        <v>86</v>
      </c>
      <c r="D507" t="s">
        <v>17</v>
      </c>
      <c r="E507" t="s">
        <v>27</v>
      </c>
      <c r="F507" t="s">
        <v>39</v>
      </c>
      <c r="G507" t="s">
        <v>81</v>
      </c>
      <c r="H507">
        <v>59</v>
      </c>
      <c r="I507" s="1">
        <v>37022</v>
      </c>
      <c r="J507" s="1" t="str">
        <f>TEXT(Employee_Sample_Data_1[[#This Row],[Hire Date]], "dddd")</f>
        <v>Friday</v>
      </c>
      <c r="K507" s="1" t="str">
        <f>TEXT(Employee_Sample_Data_1[[#This Row],[Hire Date]], "mmmm")</f>
        <v>May</v>
      </c>
      <c r="L507" s="1" t="str">
        <f>TEXT(Employee_Sample_Data_1[[#This Row],[Hire Date]], "yyyy")</f>
        <v>2001</v>
      </c>
      <c r="M507" s="2">
        <v>196740</v>
      </c>
      <c r="N507" s="3">
        <v>0.31</v>
      </c>
      <c r="O507" s="9">
        <f>PRODUCT(Employee_Sample_Data_1[[#This Row],[Annual Salary]],Employee_Sample_Data_1[[#This Row],[Bonus %]])</f>
        <v>60989.4</v>
      </c>
      <c r="P507" s="2">
        <f>ROUND(Employee_Sample_Data_1[[#This Row],[Annual Salary]]*(1+Employee_Sample_Data_1[[#This Row],[Bonus %]]), 0)</f>
        <v>257729</v>
      </c>
      <c r="Q507" t="s">
        <v>21</v>
      </c>
      <c r="R507" t="s">
        <v>67</v>
      </c>
      <c r="T507">
        <f ca="1">DATEDIF(Employee_Sample_Data_1[[#This Row],[Hire Date]], IF(Employee_Sample_Data_1[[#This Row],[Exit Date]] = "", TODAY(), Employee_Sample_Data_1[[#This Row],[Exit Date]]), "Y")</f>
        <v>25</v>
      </c>
    </row>
    <row r="508" spans="1:20" x14ac:dyDescent="0.25">
      <c r="A508" t="s">
        <v>1091</v>
      </c>
      <c r="B508" t="s">
        <v>1092</v>
      </c>
      <c r="C508" t="s">
        <v>44</v>
      </c>
      <c r="D508" t="s">
        <v>123</v>
      </c>
      <c r="E508" t="s">
        <v>53</v>
      </c>
      <c r="F508" t="s">
        <v>39</v>
      </c>
      <c r="G508" t="s">
        <v>20</v>
      </c>
      <c r="H508">
        <v>48</v>
      </c>
      <c r="I508" s="1">
        <v>40047</v>
      </c>
      <c r="J508" s="1" t="str">
        <f>TEXT(Employee_Sample_Data_1[[#This Row],[Hire Date]], "dddd")</f>
        <v>Saturday</v>
      </c>
      <c r="K508" s="1" t="str">
        <f>TEXT(Employee_Sample_Data_1[[#This Row],[Hire Date]], "mmmm")</f>
        <v>August</v>
      </c>
      <c r="L508" s="1" t="str">
        <f>TEXT(Employee_Sample_Data_1[[#This Row],[Hire Date]], "yyyy")</f>
        <v>2009</v>
      </c>
      <c r="M508" s="2">
        <v>168202</v>
      </c>
      <c r="N508" s="3">
        <v>0.22</v>
      </c>
      <c r="O508" s="9">
        <f>PRODUCT(Employee_Sample_Data_1[[#This Row],[Annual Salary]],Employee_Sample_Data_1[[#This Row],[Bonus %]])</f>
        <v>37004.44</v>
      </c>
      <c r="P508" s="2">
        <f>ROUND(Employee_Sample_Data_1[[#This Row],[Annual Salary]]*(1+Employee_Sample_Data_1[[#This Row],[Bonus %]]), 0)</f>
        <v>205206</v>
      </c>
      <c r="Q508" t="s">
        <v>34</v>
      </c>
      <c r="R508" t="s">
        <v>59</v>
      </c>
      <c r="T508">
        <f ca="1">DATEDIF(Employee_Sample_Data_1[[#This Row],[Hire Date]], IF(Employee_Sample_Data_1[[#This Row],[Exit Date]] = "", TODAY(), Employee_Sample_Data_1[[#This Row],[Exit Date]]), "Y")</f>
        <v>16</v>
      </c>
    </row>
    <row r="509" spans="1:20" x14ac:dyDescent="0.25">
      <c r="A509" t="s">
        <v>1093</v>
      </c>
      <c r="B509" t="s">
        <v>1094</v>
      </c>
      <c r="C509" t="s">
        <v>86</v>
      </c>
      <c r="D509" t="s">
        <v>123</v>
      </c>
      <c r="E509" t="s">
        <v>53</v>
      </c>
      <c r="F509" t="s">
        <v>39</v>
      </c>
      <c r="G509" t="s">
        <v>20</v>
      </c>
      <c r="H509">
        <v>44</v>
      </c>
      <c r="I509" s="1">
        <v>38909</v>
      </c>
      <c r="J509" s="1" t="str">
        <f>TEXT(Employee_Sample_Data_1[[#This Row],[Hire Date]], "dddd")</f>
        <v>Tuesday</v>
      </c>
      <c r="K509" s="1" t="str">
        <f>TEXT(Employee_Sample_Data_1[[#This Row],[Hire Date]], "mmmm")</f>
        <v>July</v>
      </c>
      <c r="L509" s="1" t="str">
        <f>TEXT(Employee_Sample_Data_1[[#This Row],[Hire Date]], "yyyy")</f>
        <v>2006</v>
      </c>
      <c r="M509" s="2">
        <v>242004</v>
      </c>
      <c r="N509" s="3">
        <v>0.38</v>
      </c>
      <c r="O509" s="9">
        <f>PRODUCT(Employee_Sample_Data_1[[#This Row],[Annual Salary]],Employee_Sample_Data_1[[#This Row],[Bonus %]])</f>
        <v>91961.52</v>
      </c>
      <c r="P509" s="2">
        <f>ROUND(Employee_Sample_Data_1[[#This Row],[Annual Salary]]*(1+Employee_Sample_Data_1[[#This Row],[Bonus %]]), 0)</f>
        <v>333966</v>
      </c>
      <c r="Q509" t="s">
        <v>34</v>
      </c>
      <c r="R509" t="s">
        <v>54</v>
      </c>
      <c r="T509">
        <f ca="1">DATEDIF(Employee_Sample_Data_1[[#This Row],[Hire Date]], IF(Employee_Sample_Data_1[[#This Row],[Exit Date]] = "", TODAY(), Employee_Sample_Data_1[[#This Row],[Exit Date]]), "Y")</f>
        <v>19</v>
      </c>
    </row>
    <row r="510" spans="1:20" x14ac:dyDescent="0.25">
      <c r="A510" t="s">
        <v>1095</v>
      </c>
      <c r="B510" t="s">
        <v>1096</v>
      </c>
      <c r="C510" t="s">
        <v>101</v>
      </c>
      <c r="D510" t="s">
        <v>26</v>
      </c>
      <c r="E510" t="s">
        <v>18</v>
      </c>
      <c r="F510" t="s">
        <v>39</v>
      </c>
      <c r="G510" t="s">
        <v>20</v>
      </c>
      <c r="H510">
        <v>52</v>
      </c>
      <c r="I510" s="1">
        <v>35854</v>
      </c>
      <c r="J510" s="1" t="str">
        <f>TEXT(Employee_Sample_Data_1[[#This Row],[Hire Date]], "dddd")</f>
        <v>Saturday</v>
      </c>
      <c r="K510" s="1" t="str">
        <f>TEXT(Employee_Sample_Data_1[[#This Row],[Hire Date]], "mmmm")</f>
        <v>February</v>
      </c>
      <c r="L510" s="1" t="str">
        <f>TEXT(Employee_Sample_Data_1[[#This Row],[Hire Date]], "yyyy")</f>
        <v>1998</v>
      </c>
      <c r="M510" s="2">
        <v>57433</v>
      </c>
      <c r="N510" s="3">
        <v>0</v>
      </c>
      <c r="O510" s="9">
        <f>PRODUCT(Employee_Sample_Data_1[[#This Row],[Annual Salary]],Employee_Sample_Data_1[[#This Row],[Bonus %]])</f>
        <v>0</v>
      </c>
      <c r="P510" s="2">
        <f>ROUND(Employee_Sample_Data_1[[#This Row],[Annual Salary]]*(1+Employee_Sample_Data_1[[#This Row],[Bonus %]]), 0)</f>
        <v>57433</v>
      </c>
      <c r="Q510" t="s">
        <v>34</v>
      </c>
      <c r="R510" t="s">
        <v>35</v>
      </c>
      <c r="T510">
        <f ca="1">DATEDIF(Employee_Sample_Data_1[[#This Row],[Hire Date]], IF(Employee_Sample_Data_1[[#This Row],[Exit Date]] = "", TODAY(), Employee_Sample_Data_1[[#This Row],[Exit Date]]), "Y")</f>
        <v>28</v>
      </c>
    </row>
    <row r="511" spans="1:20" x14ac:dyDescent="0.25">
      <c r="A511" t="s">
        <v>1097</v>
      </c>
      <c r="B511" t="s">
        <v>1098</v>
      </c>
      <c r="C511" t="s">
        <v>51</v>
      </c>
      <c r="D511" t="s">
        <v>52</v>
      </c>
      <c r="E511" t="s">
        <v>53</v>
      </c>
      <c r="F511" t="s">
        <v>19</v>
      </c>
      <c r="G511" t="s">
        <v>40</v>
      </c>
      <c r="H511">
        <v>54</v>
      </c>
      <c r="I511" s="1">
        <v>40005</v>
      </c>
      <c r="J511" s="1" t="str">
        <f>TEXT(Employee_Sample_Data_1[[#This Row],[Hire Date]], "dddd")</f>
        <v>Saturday</v>
      </c>
      <c r="K511" s="1" t="str">
        <f>TEXT(Employee_Sample_Data_1[[#This Row],[Hire Date]], "mmmm")</f>
        <v>July</v>
      </c>
      <c r="L511" s="1" t="str">
        <f>TEXT(Employee_Sample_Data_1[[#This Row],[Hire Date]], "yyyy")</f>
        <v>2009</v>
      </c>
      <c r="M511" s="2">
        <v>74656</v>
      </c>
      <c r="N511" s="3">
        <v>0</v>
      </c>
      <c r="O511" s="9">
        <f>PRODUCT(Employee_Sample_Data_1[[#This Row],[Annual Salary]],Employee_Sample_Data_1[[#This Row],[Bonus %]])</f>
        <v>0</v>
      </c>
      <c r="P511" s="2">
        <f>ROUND(Employee_Sample_Data_1[[#This Row],[Annual Salary]]*(1+Employee_Sample_Data_1[[#This Row],[Bonus %]]), 0)</f>
        <v>74656</v>
      </c>
      <c r="Q511" t="s">
        <v>21</v>
      </c>
      <c r="R511" t="s">
        <v>41</v>
      </c>
      <c r="T511">
        <f ca="1">DATEDIF(Employee_Sample_Data_1[[#This Row],[Hire Date]], IF(Employee_Sample_Data_1[[#This Row],[Exit Date]] = "", TODAY(), Employee_Sample_Data_1[[#This Row],[Exit Date]]), "Y")</f>
        <v>16</v>
      </c>
    </row>
    <row r="512" spans="1:20" x14ac:dyDescent="0.25">
      <c r="A512" t="s">
        <v>1099</v>
      </c>
      <c r="B512" t="s">
        <v>1100</v>
      </c>
      <c r="C512" t="s">
        <v>244</v>
      </c>
      <c r="D512" t="s">
        <v>123</v>
      </c>
      <c r="E512" t="s">
        <v>33</v>
      </c>
      <c r="F512" t="s">
        <v>39</v>
      </c>
      <c r="G512" t="s">
        <v>20</v>
      </c>
      <c r="H512">
        <v>31</v>
      </c>
      <c r="I512" s="1">
        <v>42605</v>
      </c>
      <c r="J512" s="1" t="str">
        <f>TEXT(Employee_Sample_Data_1[[#This Row],[Hire Date]], "dddd")</f>
        <v>Tuesday</v>
      </c>
      <c r="K512" s="1" t="str">
        <f>TEXT(Employee_Sample_Data_1[[#This Row],[Hire Date]], "mmmm")</f>
        <v>August</v>
      </c>
      <c r="L512" s="1" t="str">
        <f>TEXT(Employee_Sample_Data_1[[#This Row],[Hire Date]], "yyyy")</f>
        <v>2016</v>
      </c>
      <c r="M512" s="2">
        <v>62848</v>
      </c>
      <c r="N512" s="3">
        <v>0</v>
      </c>
      <c r="O512" s="9">
        <f>PRODUCT(Employee_Sample_Data_1[[#This Row],[Annual Salary]],Employee_Sample_Data_1[[#This Row],[Bonus %]])</f>
        <v>0</v>
      </c>
      <c r="P512" s="2">
        <f>ROUND(Employee_Sample_Data_1[[#This Row],[Annual Salary]]*(1+Employee_Sample_Data_1[[#This Row],[Bonus %]]), 0)</f>
        <v>62848</v>
      </c>
      <c r="Q512" t="s">
        <v>34</v>
      </c>
      <c r="R512" t="s">
        <v>59</v>
      </c>
      <c r="T512">
        <f ca="1">DATEDIF(Employee_Sample_Data_1[[#This Row],[Hire Date]], IF(Employee_Sample_Data_1[[#This Row],[Exit Date]] = "", TODAY(), Employee_Sample_Data_1[[#This Row],[Exit Date]]), "Y")</f>
        <v>9</v>
      </c>
    </row>
    <row r="513" spans="1:20" x14ac:dyDescent="0.25">
      <c r="A513" t="s">
        <v>1101</v>
      </c>
      <c r="B513" t="s">
        <v>1102</v>
      </c>
      <c r="C513" t="s">
        <v>170</v>
      </c>
      <c r="D513" t="s">
        <v>32</v>
      </c>
      <c r="E513" t="s">
        <v>33</v>
      </c>
      <c r="F513" t="s">
        <v>19</v>
      </c>
      <c r="G513" t="s">
        <v>20</v>
      </c>
      <c r="H513">
        <v>39</v>
      </c>
      <c r="I513" s="1">
        <v>40644</v>
      </c>
      <c r="J513" s="1" t="str">
        <f>TEXT(Employee_Sample_Data_1[[#This Row],[Hire Date]], "dddd")</f>
        <v>Monday</v>
      </c>
      <c r="K513" s="1" t="str">
        <f>TEXT(Employee_Sample_Data_1[[#This Row],[Hire Date]], "mmmm")</f>
        <v>April</v>
      </c>
      <c r="L513" s="1" t="str">
        <f>TEXT(Employee_Sample_Data_1[[#This Row],[Hire Date]], "yyyy")</f>
        <v>2011</v>
      </c>
      <c r="M513" s="2">
        <v>92523</v>
      </c>
      <c r="N513" s="3">
        <v>0</v>
      </c>
      <c r="O513" s="9">
        <f>PRODUCT(Employee_Sample_Data_1[[#This Row],[Annual Salary]],Employee_Sample_Data_1[[#This Row],[Bonus %]])</f>
        <v>0</v>
      </c>
      <c r="P513" s="2">
        <f>ROUND(Employee_Sample_Data_1[[#This Row],[Annual Salary]]*(1+Employee_Sample_Data_1[[#This Row],[Bonus %]]), 0)</f>
        <v>92523</v>
      </c>
      <c r="Q513" t="s">
        <v>21</v>
      </c>
      <c r="R513" t="s">
        <v>67</v>
      </c>
      <c r="T513">
        <f ca="1">DATEDIF(Employee_Sample_Data_1[[#This Row],[Hire Date]], IF(Employee_Sample_Data_1[[#This Row],[Exit Date]] = "", TODAY(), Employee_Sample_Data_1[[#This Row],[Exit Date]]), "Y")</f>
        <v>15</v>
      </c>
    </row>
    <row r="514" spans="1:20" x14ac:dyDescent="0.25">
      <c r="A514" t="s">
        <v>1103</v>
      </c>
      <c r="B514" t="s">
        <v>1104</v>
      </c>
      <c r="C514" t="s">
        <v>80</v>
      </c>
      <c r="D514" t="s">
        <v>32</v>
      </c>
      <c r="E514" t="s">
        <v>53</v>
      </c>
      <c r="F514" t="s">
        <v>19</v>
      </c>
      <c r="G514" t="s">
        <v>20</v>
      </c>
      <c r="H514">
        <v>40</v>
      </c>
      <c r="I514" s="1">
        <v>41259</v>
      </c>
      <c r="J514" s="1" t="str">
        <f>TEXT(Employee_Sample_Data_1[[#This Row],[Hire Date]], "dddd")</f>
        <v>Sunday</v>
      </c>
      <c r="K514" s="1" t="str">
        <f>TEXT(Employee_Sample_Data_1[[#This Row],[Hire Date]], "mmmm")</f>
        <v>December</v>
      </c>
      <c r="L514" s="1" t="str">
        <f>TEXT(Employee_Sample_Data_1[[#This Row],[Hire Date]], "yyyy")</f>
        <v>2012</v>
      </c>
      <c r="M514" s="2">
        <v>142844</v>
      </c>
      <c r="N514" s="3">
        <v>0.11</v>
      </c>
      <c r="O514" s="9">
        <f>PRODUCT(Employee_Sample_Data_1[[#This Row],[Annual Salary]],Employee_Sample_Data_1[[#This Row],[Bonus %]])</f>
        <v>15712.84</v>
      </c>
      <c r="P514" s="2">
        <f>ROUND(Employee_Sample_Data_1[[#This Row],[Annual Salary]]*(1+Employee_Sample_Data_1[[#This Row],[Bonus %]]), 0)</f>
        <v>158557</v>
      </c>
      <c r="Q514" t="s">
        <v>21</v>
      </c>
      <c r="R514" t="s">
        <v>67</v>
      </c>
      <c r="T514">
        <f ca="1">DATEDIF(Employee_Sample_Data_1[[#This Row],[Hire Date]], IF(Employee_Sample_Data_1[[#This Row],[Exit Date]] = "", TODAY(), Employee_Sample_Data_1[[#This Row],[Exit Date]]), "Y")</f>
        <v>13</v>
      </c>
    </row>
    <row r="515" spans="1:20" x14ac:dyDescent="0.25">
      <c r="A515" t="s">
        <v>1105</v>
      </c>
      <c r="B515" t="s">
        <v>1106</v>
      </c>
      <c r="C515" t="s">
        <v>66</v>
      </c>
      <c r="D515" t="s">
        <v>26</v>
      </c>
      <c r="E515" t="s">
        <v>27</v>
      </c>
      <c r="F515" t="s">
        <v>19</v>
      </c>
      <c r="G515" t="s">
        <v>63</v>
      </c>
      <c r="H515">
        <v>39</v>
      </c>
      <c r="I515" s="1">
        <v>39836</v>
      </c>
      <c r="J515" s="1" t="str">
        <f>TEXT(Employee_Sample_Data_1[[#This Row],[Hire Date]], "dddd")</f>
        <v>Friday</v>
      </c>
      <c r="K515" s="1" t="str">
        <f>TEXT(Employee_Sample_Data_1[[#This Row],[Hire Date]], "mmmm")</f>
        <v>January</v>
      </c>
      <c r="L515" s="1" t="str">
        <f>TEXT(Employee_Sample_Data_1[[#This Row],[Hire Date]], "yyyy")</f>
        <v>2009</v>
      </c>
      <c r="M515" s="2">
        <v>100718</v>
      </c>
      <c r="N515" s="3">
        <v>0.05</v>
      </c>
      <c r="O515" s="9">
        <f>PRODUCT(Employee_Sample_Data_1[[#This Row],[Annual Salary]],Employee_Sample_Data_1[[#This Row],[Bonus %]])</f>
        <v>5035.9000000000005</v>
      </c>
      <c r="P515" s="2">
        <f>ROUND(Employee_Sample_Data_1[[#This Row],[Annual Salary]]*(1+Employee_Sample_Data_1[[#This Row],[Bonus %]]), 0)</f>
        <v>105754</v>
      </c>
      <c r="Q515" t="s">
        <v>21</v>
      </c>
      <c r="R515" t="s">
        <v>45</v>
      </c>
      <c r="T515">
        <f ca="1">DATEDIF(Employee_Sample_Data_1[[#This Row],[Hire Date]], IF(Employee_Sample_Data_1[[#This Row],[Exit Date]] = "", TODAY(), Employee_Sample_Data_1[[#This Row],[Exit Date]]), "Y")</f>
        <v>17</v>
      </c>
    </row>
    <row r="516" spans="1:20" x14ac:dyDescent="0.25">
      <c r="A516" t="s">
        <v>1107</v>
      </c>
      <c r="B516" t="s">
        <v>1108</v>
      </c>
      <c r="C516" t="s">
        <v>44</v>
      </c>
      <c r="D516" t="s">
        <v>32</v>
      </c>
      <c r="E516" t="s">
        <v>33</v>
      </c>
      <c r="F516" t="s">
        <v>19</v>
      </c>
      <c r="G516" t="s">
        <v>63</v>
      </c>
      <c r="H516">
        <v>25</v>
      </c>
      <c r="I516" s="1">
        <v>44847</v>
      </c>
      <c r="J516" s="1" t="str">
        <f>TEXT(Employee_Sample_Data_1[[#This Row],[Hire Date]], "dddd")</f>
        <v>Thursday</v>
      </c>
      <c r="K516" s="1" t="str">
        <f>TEXT(Employee_Sample_Data_1[[#This Row],[Hire Date]], "mmmm")</f>
        <v>October</v>
      </c>
      <c r="L516" s="1" t="str">
        <f>TEXT(Employee_Sample_Data_1[[#This Row],[Hire Date]], "yyyy")</f>
        <v>2022</v>
      </c>
      <c r="M516" s="2">
        <v>154186</v>
      </c>
      <c r="N516" s="3">
        <v>0.26</v>
      </c>
      <c r="O516" s="9">
        <f>PRODUCT(Employee_Sample_Data_1[[#This Row],[Annual Salary]],Employee_Sample_Data_1[[#This Row],[Bonus %]])</f>
        <v>40088.36</v>
      </c>
      <c r="P516" s="2">
        <f>ROUND(Employee_Sample_Data_1[[#This Row],[Annual Salary]]*(1+Employee_Sample_Data_1[[#This Row],[Bonus %]]), 0)</f>
        <v>194274</v>
      </c>
      <c r="Q516" t="s">
        <v>21</v>
      </c>
      <c r="R516" t="s">
        <v>45</v>
      </c>
      <c r="T516">
        <f ca="1">DATEDIF(Employee_Sample_Data_1[[#This Row],[Hire Date]], IF(Employee_Sample_Data_1[[#This Row],[Exit Date]] = "", TODAY(), Employee_Sample_Data_1[[#This Row],[Exit Date]]), "Y")</f>
        <v>3</v>
      </c>
    </row>
    <row r="517" spans="1:20" x14ac:dyDescent="0.25">
      <c r="A517" t="s">
        <v>1109</v>
      </c>
      <c r="B517" t="s">
        <v>1110</v>
      </c>
      <c r="C517" t="s">
        <v>433</v>
      </c>
      <c r="D517" t="s">
        <v>17</v>
      </c>
      <c r="E517" t="s">
        <v>33</v>
      </c>
      <c r="F517" t="s">
        <v>19</v>
      </c>
      <c r="G517" t="s">
        <v>20</v>
      </c>
      <c r="H517">
        <v>48</v>
      </c>
      <c r="I517" s="1">
        <v>37796</v>
      </c>
      <c r="J517" s="1" t="str">
        <f>TEXT(Employee_Sample_Data_1[[#This Row],[Hire Date]], "dddd")</f>
        <v>Tuesday</v>
      </c>
      <c r="K517" s="1" t="str">
        <f>TEXT(Employee_Sample_Data_1[[#This Row],[Hire Date]], "mmmm")</f>
        <v>June</v>
      </c>
      <c r="L517" s="1" t="str">
        <f>TEXT(Employee_Sample_Data_1[[#This Row],[Hire Date]], "yyyy")</f>
        <v>2003</v>
      </c>
      <c r="M517" s="2">
        <v>107586</v>
      </c>
      <c r="N517" s="3">
        <v>0</v>
      </c>
      <c r="O517" s="9">
        <f>PRODUCT(Employee_Sample_Data_1[[#This Row],[Annual Salary]],Employee_Sample_Data_1[[#This Row],[Bonus %]])</f>
        <v>0</v>
      </c>
      <c r="P517" s="2">
        <f>ROUND(Employee_Sample_Data_1[[#This Row],[Annual Salary]]*(1+Employee_Sample_Data_1[[#This Row],[Bonus %]]), 0)</f>
        <v>107586</v>
      </c>
      <c r="Q517" t="s">
        <v>34</v>
      </c>
      <c r="R517" t="s">
        <v>35</v>
      </c>
      <c r="T517">
        <f ca="1">DATEDIF(Employee_Sample_Data_1[[#This Row],[Hire Date]], IF(Employee_Sample_Data_1[[#This Row],[Exit Date]] = "", TODAY(), Employee_Sample_Data_1[[#This Row],[Exit Date]]), "Y")</f>
        <v>22</v>
      </c>
    </row>
    <row r="518" spans="1:20" x14ac:dyDescent="0.25">
      <c r="A518" t="s">
        <v>1111</v>
      </c>
      <c r="B518" t="s">
        <v>1112</v>
      </c>
      <c r="C518" t="s">
        <v>377</v>
      </c>
      <c r="D518" t="s">
        <v>32</v>
      </c>
      <c r="E518" t="s">
        <v>33</v>
      </c>
      <c r="F518" t="s">
        <v>39</v>
      </c>
      <c r="G518" t="s">
        <v>40</v>
      </c>
      <c r="H518">
        <v>54</v>
      </c>
      <c r="I518" s="1">
        <v>37922</v>
      </c>
      <c r="J518" s="1" t="str">
        <f>TEXT(Employee_Sample_Data_1[[#This Row],[Hire Date]], "dddd")</f>
        <v>Tuesday</v>
      </c>
      <c r="K518" s="1" t="str">
        <f>TEXT(Employee_Sample_Data_1[[#This Row],[Hire Date]], "mmmm")</f>
        <v>October</v>
      </c>
      <c r="L518" s="1" t="str">
        <f>TEXT(Employee_Sample_Data_1[[#This Row],[Hire Date]], "yyyy")</f>
        <v>2003</v>
      </c>
      <c r="M518" s="2">
        <v>88906</v>
      </c>
      <c r="N518" s="3">
        <v>0</v>
      </c>
      <c r="O518" s="9">
        <f>PRODUCT(Employee_Sample_Data_1[[#This Row],[Annual Salary]],Employee_Sample_Data_1[[#This Row],[Bonus %]])</f>
        <v>0</v>
      </c>
      <c r="P518" s="2">
        <f>ROUND(Employee_Sample_Data_1[[#This Row],[Annual Salary]]*(1+Employee_Sample_Data_1[[#This Row],[Bonus %]]), 0)</f>
        <v>88906</v>
      </c>
      <c r="Q518" t="s">
        <v>21</v>
      </c>
      <c r="R518" t="s">
        <v>48</v>
      </c>
      <c r="T518">
        <f ca="1">DATEDIF(Employee_Sample_Data_1[[#This Row],[Hire Date]], IF(Employee_Sample_Data_1[[#This Row],[Exit Date]] = "", TODAY(), Employee_Sample_Data_1[[#This Row],[Exit Date]]), "Y")</f>
        <v>22</v>
      </c>
    </row>
    <row r="519" spans="1:20" x14ac:dyDescent="0.25">
      <c r="A519" t="s">
        <v>1113</v>
      </c>
      <c r="B519" t="s">
        <v>1114</v>
      </c>
      <c r="C519" t="s">
        <v>289</v>
      </c>
      <c r="D519" t="s">
        <v>17</v>
      </c>
      <c r="E519" t="s">
        <v>18</v>
      </c>
      <c r="F519" t="s">
        <v>39</v>
      </c>
      <c r="G519" t="s">
        <v>63</v>
      </c>
      <c r="H519">
        <v>40</v>
      </c>
      <c r="I519" s="1">
        <v>43229</v>
      </c>
      <c r="J519" s="1" t="str">
        <f>TEXT(Employee_Sample_Data_1[[#This Row],[Hire Date]], "dddd")</f>
        <v>Wednesday</v>
      </c>
      <c r="K519" s="1" t="str">
        <f>TEXT(Employee_Sample_Data_1[[#This Row],[Hire Date]], "mmmm")</f>
        <v>May</v>
      </c>
      <c r="L519" s="1" t="str">
        <f>TEXT(Employee_Sample_Data_1[[#This Row],[Hire Date]], "yyyy")</f>
        <v>2018</v>
      </c>
      <c r="M519" s="2">
        <v>74329</v>
      </c>
      <c r="N519" s="3">
        <v>0</v>
      </c>
      <c r="O519" s="9">
        <f>PRODUCT(Employee_Sample_Data_1[[#This Row],[Annual Salary]],Employee_Sample_Data_1[[#This Row],[Bonus %]])</f>
        <v>0</v>
      </c>
      <c r="P519" s="2">
        <f>ROUND(Employee_Sample_Data_1[[#This Row],[Annual Salary]]*(1+Employee_Sample_Data_1[[#This Row],[Bonus %]]), 0)</f>
        <v>74329</v>
      </c>
      <c r="Q519" t="s">
        <v>21</v>
      </c>
      <c r="R519" t="s">
        <v>28</v>
      </c>
      <c r="T519">
        <f ca="1">DATEDIF(Employee_Sample_Data_1[[#This Row],[Hire Date]], IF(Employee_Sample_Data_1[[#This Row],[Exit Date]] = "", TODAY(), Employee_Sample_Data_1[[#This Row],[Exit Date]]), "Y")</f>
        <v>8</v>
      </c>
    </row>
    <row r="520" spans="1:20" x14ac:dyDescent="0.25">
      <c r="A520" t="s">
        <v>1115</v>
      </c>
      <c r="B520" t="s">
        <v>1116</v>
      </c>
      <c r="C520" t="s">
        <v>352</v>
      </c>
      <c r="D520" t="s">
        <v>32</v>
      </c>
      <c r="E520" t="s">
        <v>18</v>
      </c>
      <c r="F520" t="s">
        <v>19</v>
      </c>
      <c r="G520" t="s">
        <v>63</v>
      </c>
      <c r="H520">
        <v>32</v>
      </c>
      <c r="I520" s="1">
        <v>44301</v>
      </c>
      <c r="J520" s="1" t="str">
        <f>TEXT(Employee_Sample_Data_1[[#This Row],[Hire Date]], "dddd")</f>
        <v>Thursday</v>
      </c>
      <c r="K520" s="1" t="str">
        <f>TEXT(Employee_Sample_Data_1[[#This Row],[Hire Date]], "mmmm")</f>
        <v>April</v>
      </c>
      <c r="L520" s="1" t="str">
        <f>TEXT(Employee_Sample_Data_1[[#This Row],[Hire Date]], "yyyy")</f>
        <v>2021</v>
      </c>
      <c r="M520" s="2">
        <v>86523</v>
      </c>
      <c r="N520" s="3">
        <v>0</v>
      </c>
      <c r="O520" s="9">
        <f>PRODUCT(Employee_Sample_Data_1[[#This Row],[Annual Salary]],Employee_Sample_Data_1[[#This Row],[Bonus %]])</f>
        <v>0</v>
      </c>
      <c r="P520" s="2">
        <f>ROUND(Employee_Sample_Data_1[[#This Row],[Annual Salary]]*(1+Employee_Sample_Data_1[[#This Row],[Bonus %]]), 0)</f>
        <v>86523</v>
      </c>
      <c r="Q520" t="s">
        <v>21</v>
      </c>
      <c r="R520" t="s">
        <v>22</v>
      </c>
      <c r="S520" s="1">
        <v>44507</v>
      </c>
      <c r="T520">
        <f ca="1">DATEDIF(Employee_Sample_Data_1[[#This Row],[Hire Date]], IF(Employee_Sample_Data_1[[#This Row],[Exit Date]] = "", TODAY(), Employee_Sample_Data_1[[#This Row],[Exit Date]]), "Y")</f>
        <v>0</v>
      </c>
    </row>
    <row r="521" spans="1:20" x14ac:dyDescent="0.25">
      <c r="A521" t="s">
        <v>1117</v>
      </c>
      <c r="B521" t="s">
        <v>1118</v>
      </c>
      <c r="C521" t="s">
        <v>86</v>
      </c>
      <c r="D521" t="s">
        <v>32</v>
      </c>
      <c r="E521" t="s">
        <v>18</v>
      </c>
      <c r="F521" t="s">
        <v>19</v>
      </c>
      <c r="G521" t="s">
        <v>40</v>
      </c>
      <c r="H521">
        <v>60</v>
      </c>
      <c r="I521" s="1">
        <v>41948</v>
      </c>
      <c r="J521" s="1" t="str">
        <f>TEXT(Employee_Sample_Data_1[[#This Row],[Hire Date]], "dddd")</f>
        <v>Wednesday</v>
      </c>
      <c r="K521" s="1" t="str">
        <f>TEXT(Employee_Sample_Data_1[[#This Row],[Hire Date]], "mmmm")</f>
        <v>November</v>
      </c>
      <c r="L521" s="1" t="str">
        <f>TEXT(Employee_Sample_Data_1[[#This Row],[Hire Date]], "yyyy")</f>
        <v>2014</v>
      </c>
      <c r="M521" s="2">
        <v>239868</v>
      </c>
      <c r="N521" s="3">
        <v>0.4</v>
      </c>
      <c r="O521" s="9">
        <f>PRODUCT(Employee_Sample_Data_1[[#This Row],[Annual Salary]],Employee_Sample_Data_1[[#This Row],[Bonus %]])</f>
        <v>95947.200000000012</v>
      </c>
      <c r="P521" s="2">
        <f>ROUND(Employee_Sample_Data_1[[#This Row],[Annual Salary]]*(1+Employee_Sample_Data_1[[#This Row],[Bonus %]]), 0)</f>
        <v>335815</v>
      </c>
      <c r="Q521" t="s">
        <v>21</v>
      </c>
      <c r="R521" t="s">
        <v>67</v>
      </c>
      <c r="T521">
        <f ca="1">DATEDIF(Employee_Sample_Data_1[[#This Row],[Hire Date]], IF(Employee_Sample_Data_1[[#This Row],[Exit Date]] = "", TODAY(), Employee_Sample_Data_1[[#This Row],[Exit Date]]), "Y")</f>
        <v>11</v>
      </c>
    </row>
    <row r="522" spans="1:20" x14ac:dyDescent="0.25">
      <c r="A522" t="s">
        <v>1119</v>
      </c>
      <c r="B522" t="s">
        <v>1120</v>
      </c>
      <c r="C522" t="s">
        <v>57</v>
      </c>
      <c r="D522" t="s">
        <v>58</v>
      </c>
      <c r="E522" t="s">
        <v>53</v>
      </c>
      <c r="F522" t="s">
        <v>39</v>
      </c>
      <c r="G522" t="s">
        <v>40</v>
      </c>
      <c r="H522">
        <v>29</v>
      </c>
      <c r="I522" s="1">
        <v>43241</v>
      </c>
      <c r="J522" s="1" t="str">
        <f>TEXT(Employee_Sample_Data_1[[#This Row],[Hire Date]], "dddd")</f>
        <v>Monday</v>
      </c>
      <c r="K522" s="1" t="str">
        <f>TEXT(Employee_Sample_Data_1[[#This Row],[Hire Date]], "mmmm")</f>
        <v>May</v>
      </c>
      <c r="L522" s="1" t="str">
        <f>TEXT(Employee_Sample_Data_1[[#This Row],[Hire Date]], "yyyy")</f>
        <v>2018</v>
      </c>
      <c r="M522" s="2">
        <v>65010</v>
      </c>
      <c r="N522" s="3">
        <v>0</v>
      </c>
      <c r="O522" s="9">
        <f>PRODUCT(Employee_Sample_Data_1[[#This Row],[Annual Salary]],Employee_Sample_Data_1[[#This Row],[Bonus %]])</f>
        <v>0</v>
      </c>
      <c r="P522" s="2">
        <f>ROUND(Employee_Sample_Data_1[[#This Row],[Annual Salary]]*(1+Employee_Sample_Data_1[[#This Row],[Bonus %]]), 0)</f>
        <v>65010</v>
      </c>
      <c r="Q522" t="s">
        <v>21</v>
      </c>
      <c r="R522" t="s">
        <v>41</v>
      </c>
      <c r="T522">
        <f ca="1">DATEDIF(Employee_Sample_Data_1[[#This Row],[Hire Date]], IF(Employee_Sample_Data_1[[#This Row],[Exit Date]] = "", TODAY(), Employee_Sample_Data_1[[#This Row],[Exit Date]]), "Y")</f>
        <v>8</v>
      </c>
    </row>
    <row r="523" spans="1:20" x14ac:dyDescent="0.25">
      <c r="A523" t="s">
        <v>1121</v>
      </c>
      <c r="B523" t="s">
        <v>1122</v>
      </c>
      <c r="C523" t="s">
        <v>31</v>
      </c>
      <c r="D523" t="s">
        <v>32</v>
      </c>
      <c r="E523" t="s">
        <v>27</v>
      </c>
      <c r="F523" t="s">
        <v>39</v>
      </c>
      <c r="G523" t="s">
        <v>63</v>
      </c>
      <c r="H523">
        <v>25</v>
      </c>
      <c r="I523" s="1">
        <v>44250</v>
      </c>
      <c r="J523" s="1" t="str">
        <f>TEXT(Employee_Sample_Data_1[[#This Row],[Hire Date]], "dddd")</f>
        <v>Tuesday</v>
      </c>
      <c r="K523" s="1" t="str">
        <f>TEXT(Employee_Sample_Data_1[[#This Row],[Hire Date]], "mmmm")</f>
        <v>February</v>
      </c>
      <c r="L523" s="1" t="str">
        <f>TEXT(Employee_Sample_Data_1[[#This Row],[Hire Date]], "yyyy")</f>
        <v>2021</v>
      </c>
      <c r="M523" s="2">
        <v>82140</v>
      </c>
      <c r="N523" s="3">
        <v>0</v>
      </c>
      <c r="O523" s="9">
        <f>PRODUCT(Employee_Sample_Data_1[[#This Row],[Annual Salary]],Employee_Sample_Data_1[[#This Row],[Bonus %]])</f>
        <v>0</v>
      </c>
      <c r="P523" s="2">
        <f>ROUND(Employee_Sample_Data_1[[#This Row],[Annual Salary]]*(1+Employee_Sample_Data_1[[#This Row],[Bonus %]]), 0)</f>
        <v>82140</v>
      </c>
      <c r="Q523" t="s">
        <v>21</v>
      </c>
      <c r="R523" t="s">
        <v>67</v>
      </c>
      <c r="T523">
        <f ca="1">DATEDIF(Employee_Sample_Data_1[[#This Row],[Hire Date]], IF(Employee_Sample_Data_1[[#This Row],[Exit Date]] = "", TODAY(), Employee_Sample_Data_1[[#This Row],[Exit Date]]), "Y")</f>
        <v>5</v>
      </c>
    </row>
    <row r="524" spans="1:20" x14ac:dyDescent="0.25">
      <c r="A524" t="s">
        <v>1123</v>
      </c>
      <c r="B524" t="s">
        <v>1124</v>
      </c>
      <c r="C524" t="s">
        <v>224</v>
      </c>
      <c r="D524" t="s">
        <v>32</v>
      </c>
      <c r="E524" t="s">
        <v>18</v>
      </c>
      <c r="F524" t="s">
        <v>19</v>
      </c>
      <c r="G524" t="s">
        <v>40</v>
      </c>
      <c r="H524">
        <v>34</v>
      </c>
      <c r="I524" s="1">
        <v>42532</v>
      </c>
      <c r="J524" s="1" t="str">
        <f>TEXT(Employee_Sample_Data_1[[#This Row],[Hire Date]], "dddd")</f>
        <v>Saturday</v>
      </c>
      <c r="K524" s="1" t="str">
        <f>TEXT(Employee_Sample_Data_1[[#This Row],[Hire Date]], "mmmm")</f>
        <v>June</v>
      </c>
      <c r="L524" s="1" t="str">
        <f>TEXT(Employee_Sample_Data_1[[#This Row],[Hire Date]], "yyyy")</f>
        <v>2016</v>
      </c>
      <c r="M524" s="2">
        <v>75511</v>
      </c>
      <c r="N524" s="3">
        <v>0</v>
      </c>
      <c r="O524" s="9">
        <f>PRODUCT(Employee_Sample_Data_1[[#This Row],[Annual Salary]],Employee_Sample_Data_1[[#This Row],[Bonus %]])</f>
        <v>0</v>
      </c>
      <c r="P524" s="2">
        <f>ROUND(Employee_Sample_Data_1[[#This Row],[Annual Salary]]*(1+Employee_Sample_Data_1[[#This Row],[Bonus %]]), 0)</f>
        <v>75511</v>
      </c>
      <c r="Q524" t="s">
        <v>134</v>
      </c>
      <c r="R524" t="s">
        <v>286</v>
      </c>
      <c r="T524">
        <f ca="1">DATEDIF(Employee_Sample_Data_1[[#This Row],[Hire Date]], IF(Employee_Sample_Data_1[[#This Row],[Exit Date]] = "", TODAY(), Employee_Sample_Data_1[[#This Row],[Exit Date]]), "Y")</f>
        <v>9</v>
      </c>
    </row>
    <row r="525" spans="1:20" x14ac:dyDescent="0.25">
      <c r="A525" t="s">
        <v>1125</v>
      </c>
      <c r="B525" t="s">
        <v>1126</v>
      </c>
      <c r="C525" t="s">
        <v>86</v>
      </c>
      <c r="D525" t="s">
        <v>32</v>
      </c>
      <c r="E525" t="s">
        <v>33</v>
      </c>
      <c r="F525" t="s">
        <v>39</v>
      </c>
      <c r="G525" t="s">
        <v>81</v>
      </c>
      <c r="H525">
        <v>26</v>
      </c>
      <c r="I525" s="1">
        <v>44687</v>
      </c>
      <c r="J525" s="1" t="str">
        <f>TEXT(Employee_Sample_Data_1[[#This Row],[Hire Date]], "dddd")</f>
        <v>Friday</v>
      </c>
      <c r="K525" s="1" t="str">
        <f>TEXT(Employee_Sample_Data_1[[#This Row],[Hire Date]], "mmmm")</f>
        <v>May</v>
      </c>
      <c r="L525" s="1" t="str">
        <f>TEXT(Employee_Sample_Data_1[[#This Row],[Hire Date]], "yyyy")</f>
        <v>2022</v>
      </c>
      <c r="M525" s="2">
        <v>188880</v>
      </c>
      <c r="N525" s="3">
        <v>0.36</v>
      </c>
      <c r="O525" s="9">
        <f>PRODUCT(Employee_Sample_Data_1[[#This Row],[Annual Salary]],Employee_Sample_Data_1[[#This Row],[Bonus %]])</f>
        <v>67996.800000000003</v>
      </c>
      <c r="P525" s="2">
        <f>ROUND(Employee_Sample_Data_1[[#This Row],[Annual Salary]]*(1+Employee_Sample_Data_1[[#This Row],[Bonus %]]), 0)</f>
        <v>256877</v>
      </c>
      <c r="Q525" t="s">
        <v>21</v>
      </c>
      <c r="R525" t="s">
        <v>48</v>
      </c>
      <c r="T525">
        <f ca="1">DATEDIF(Employee_Sample_Data_1[[#This Row],[Hire Date]], IF(Employee_Sample_Data_1[[#This Row],[Exit Date]] = "", TODAY(), Employee_Sample_Data_1[[#This Row],[Exit Date]]), "Y")</f>
        <v>4</v>
      </c>
    </row>
    <row r="526" spans="1:20" x14ac:dyDescent="0.25">
      <c r="A526" t="s">
        <v>1127</v>
      </c>
      <c r="B526" t="s">
        <v>1128</v>
      </c>
      <c r="C526" t="s">
        <v>402</v>
      </c>
      <c r="D526" t="s">
        <v>26</v>
      </c>
      <c r="E526" t="s">
        <v>18</v>
      </c>
      <c r="F526" t="s">
        <v>19</v>
      </c>
      <c r="G526" t="s">
        <v>40</v>
      </c>
      <c r="H526">
        <v>39</v>
      </c>
      <c r="I526" s="1">
        <v>43058</v>
      </c>
      <c r="J526" s="1" t="str">
        <f>TEXT(Employee_Sample_Data_1[[#This Row],[Hire Date]], "dddd")</f>
        <v>Sunday</v>
      </c>
      <c r="K526" s="1" t="str">
        <f>TEXT(Employee_Sample_Data_1[[#This Row],[Hire Date]], "mmmm")</f>
        <v>November</v>
      </c>
      <c r="L526" s="1" t="str">
        <f>TEXT(Employee_Sample_Data_1[[#This Row],[Hire Date]], "yyyy")</f>
        <v>2017</v>
      </c>
      <c r="M526" s="2">
        <v>87155</v>
      </c>
      <c r="N526" s="3">
        <v>0</v>
      </c>
      <c r="O526" s="9">
        <f>PRODUCT(Employee_Sample_Data_1[[#This Row],[Annual Salary]],Employee_Sample_Data_1[[#This Row],[Bonus %]])</f>
        <v>0</v>
      </c>
      <c r="P526" s="2">
        <f>ROUND(Employee_Sample_Data_1[[#This Row],[Annual Salary]]*(1+Employee_Sample_Data_1[[#This Row],[Bonus %]]), 0)</f>
        <v>87155</v>
      </c>
      <c r="Q526" t="s">
        <v>21</v>
      </c>
      <c r="R526" t="s">
        <v>28</v>
      </c>
      <c r="T526">
        <f ca="1">DATEDIF(Employee_Sample_Data_1[[#This Row],[Hire Date]], IF(Employee_Sample_Data_1[[#This Row],[Exit Date]] = "", TODAY(), Employee_Sample_Data_1[[#This Row],[Exit Date]]), "Y")</f>
        <v>8</v>
      </c>
    </row>
    <row r="527" spans="1:20" x14ac:dyDescent="0.25">
      <c r="A527" t="s">
        <v>1129</v>
      </c>
      <c r="B527" t="s">
        <v>1130</v>
      </c>
      <c r="C527" t="s">
        <v>170</v>
      </c>
      <c r="D527" t="s">
        <v>32</v>
      </c>
      <c r="E527" t="s">
        <v>33</v>
      </c>
      <c r="F527" t="s">
        <v>39</v>
      </c>
      <c r="G527" t="s">
        <v>63</v>
      </c>
      <c r="H527">
        <v>34</v>
      </c>
      <c r="I527" s="1">
        <v>43401</v>
      </c>
      <c r="J527" s="1" t="str">
        <f>TEXT(Employee_Sample_Data_1[[#This Row],[Hire Date]], "dddd")</f>
        <v>Sunday</v>
      </c>
      <c r="K527" s="1" t="str">
        <f>TEXT(Employee_Sample_Data_1[[#This Row],[Hire Date]], "mmmm")</f>
        <v>October</v>
      </c>
      <c r="L527" s="1" t="str">
        <f>TEXT(Employee_Sample_Data_1[[#This Row],[Hire Date]], "yyyy")</f>
        <v>2018</v>
      </c>
      <c r="M527" s="2">
        <v>75518</v>
      </c>
      <c r="N527" s="3">
        <v>0</v>
      </c>
      <c r="O527" s="9">
        <f>PRODUCT(Employee_Sample_Data_1[[#This Row],[Annual Salary]],Employee_Sample_Data_1[[#This Row],[Bonus %]])</f>
        <v>0</v>
      </c>
      <c r="P527" s="2">
        <f>ROUND(Employee_Sample_Data_1[[#This Row],[Annual Salary]]*(1+Employee_Sample_Data_1[[#This Row],[Bonus %]]), 0)</f>
        <v>75518</v>
      </c>
      <c r="Q527" t="s">
        <v>21</v>
      </c>
      <c r="R527" t="s">
        <v>41</v>
      </c>
      <c r="T527">
        <f ca="1">DATEDIF(Employee_Sample_Data_1[[#This Row],[Hire Date]], IF(Employee_Sample_Data_1[[#This Row],[Exit Date]] = "", TODAY(), Employee_Sample_Data_1[[#This Row],[Exit Date]]), "Y")</f>
        <v>7</v>
      </c>
    </row>
    <row r="528" spans="1:20" x14ac:dyDescent="0.25">
      <c r="A528" t="s">
        <v>1131</v>
      </c>
      <c r="B528" t="s">
        <v>1132</v>
      </c>
      <c r="C528" t="s">
        <v>80</v>
      </c>
      <c r="D528" t="s">
        <v>32</v>
      </c>
      <c r="E528" t="s">
        <v>33</v>
      </c>
      <c r="F528" t="s">
        <v>19</v>
      </c>
      <c r="G528" t="s">
        <v>40</v>
      </c>
      <c r="H528">
        <v>54</v>
      </c>
      <c r="I528" s="1">
        <v>35701</v>
      </c>
      <c r="J528" s="1" t="str">
        <f>TEXT(Employee_Sample_Data_1[[#This Row],[Hire Date]], "dddd")</f>
        <v>Sunday</v>
      </c>
      <c r="K528" s="1" t="str">
        <f>TEXT(Employee_Sample_Data_1[[#This Row],[Hire Date]], "mmmm")</f>
        <v>September</v>
      </c>
      <c r="L528" s="1" t="str">
        <f>TEXT(Employee_Sample_Data_1[[#This Row],[Hire Date]], "yyyy")</f>
        <v>1997</v>
      </c>
      <c r="M528" s="2">
        <v>129311</v>
      </c>
      <c r="N528" s="3">
        <v>0.13</v>
      </c>
      <c r="O528" s="9">
        <f>PRODUCT(Employee_Sample_Data_1[[#This Row],[Annual Salary]],Employee_Sample_Data_1[[#This Row],[Bonus %]])</f>
        <v>16810.43</v>
      </c>
      <c r="P528" s="2">
        <f>ROUND(Employee_Sample_Data_1[[#This Row],[Annual Salary]]*(1+Employee_Sample_Data_1[[#This Row],[Bonus %]]), 0)</f>
        <v>146121</v>
      </c>
      <c r="Q528" t="s">
        <v>134</v>
      </c>
      <c r="R528" t="s">
        <v>286</v>
      </c>
      <c r="T528">
        <f ca="1">DATEDIF(Employee_Sample_Data_1[[#This Row],[Hire Date]], IF(Employee_Sample_Data_1[[#This Row],[Exit Date]] = "", TODAY(), Employee_Sample_Data_1[[#This Row],[Exit Date]]), "Y")</f>
        <v>28</v>
      </c>
    </row>
    <row r="529" spans="1:20" x14ac:dyDescent="0.25">
      <c r="A529" t="s">
        <v>1133</v>
      </c>
      <c r="B529" t="s">
        <v>1134</v>
      </c>
      <c r="C529" t="s">
        <v>25</v>
      </c>
      <c r="D529" t="s">
        <v>26</v>
      </c>
      <c r="E529" t="s">
        <v>18</v>
      </c>
      <c r="F529" t="s">
        <v>19</v>
      </c>
      <c r="G529" t="s">
        <v>63</v>
      </c>
      <c r="H529">
        <v>27</v>
      </c>
      <c r="I529" s="1">
        <v>44754</v>
      </c>
      <c r="J529" s="1" t="str">
        <f>TEXT(Employee_Sample_Data_1[[#This Row],[Hire Date]], "dddd")</f>
        <v>Tuesday</v>
      </c>
      <c r="K529" s="1" t="str">
        <f>TEXT(Employee_Sample_Data_1[[#This Row],[Hire Date]], "mmmm")</f>
        <v>July</v>
      </c>
      <c r="L529" s="1" t="str">
        <f>TEXT(Employee_Sample_Data_1[[#This Row],[Hire Date]], "yyyy")</f>
        <v>2022</v>
      </c>
      <c r="M529" s="2">
        <v>56919</v>
      </c>
      <c r="N529" s="3">
        <v>0</v>
      </c>
      <c r="O529" s="9">
        <f>PRODUCT(Employee_Sample_Data_1[[#This Row],[Annual Salary]],Employee_Sample_Data_1[[#This Row],[Bonus %]])</f>
        <v>0</v>
      </c>
      <c r="P529" s="2">
        <f>ROUND(Employee_Sample_Data_1[[#This Row],[Annual Salary]]*(1+Employee_Sample_Data_1[[#This Row],[Bonus %]]), 0)</f>
        <v>56919</v>
      </c>
      <c r="Q529" t="s">
        <v>21</v>
      </c>
      <c r="R529" t="s">
        <v>67</v>
      </c>
      <c r="S529" s="1">
        <v>44936</v>
      </c>
      <c r="T529">
        <f ca="1">DATEDIF(Employee_Sample_Data_1[[#This Row],[Hire Date]], IF(Employee_Sample_Data_1[[#This Row],[Exit Date]] = "", TODAY(), Employee_Sample_Data_1[[#This Row],[Exit Date]]), "Y")</f>
        <v>0</v>
      </c>
    </row>
    <row r="530" spans="1:20" x14ac:dyDescent="0.25">
      <c r="A530" t="s">
        <v>1135</v>
      </c>
      <c r="B530" t="s">
        <v>1136</v>
      </c>
      <c r="C530" t="s">
        <v>80</v>
      </c>
      <c r="D530" t="s">
        <v>58</v>
      </c>
      <c r="E530" t="s">
        <v>18</v>
      </c>
      <c r="F530" t="s">
        <v>39</v>
      </c>
      <c r="G530" t="s">
        <v>63</v>
      </c>
      <c r="H530">
        <v>26</v>
      </c>
      <c r="I530" s="1">
        <v>44150</v>
      </c>
      <c r="J530" s="1" t="str">
        <f>TEXT(Employee_Sample_Data_1[[#This Row],[Hire Date]], "dddd")</f>
        <v>Sunday</v>
      </c>
      <c r="K530" s="1" t="str">
        <f>TEXT(Employee_Sample_Data_1[[#This Row],[Hire Date]], "mmmm")</f>
        <v>November</v>
      </c>
      <c r="L530" s="1" t="str">
        <f>TEXT(Employee_Sample_Data_1[[#This Row],[Hire Date]], "yyyy")</f>
        <v>2020</v>
      </c>
      <c r="M530" s="2">
        <v>153832</v>
      </c>
      <c r="N530" s="3">
        <v>0.14000000000000001</v>
      </c>
      <c r="O530" s="9">
        <f>PRODUCT(Employee_Sample_Data_1[[#This Row],[Annual Salary]],Employee_Sample_Data_1[[#This Row],[Bonus %]])</f>
        <v>21536.480000000003</v>
      </c>
      <c r="P530" s="2">
        <f>ROUND(Employee_Sample_Data_1[[#This Row],[Annual Salary]]*(1+Employee_Sample_Data_1[[#This Row],[Bonus %]]), 0)</f>
        <v>175368</v>
      </c>
      <c r="Q530" t="s">
        <v>21</v>
      </c>
      <c r="R530" t="s">
        <v>48</v>
      </c>
      <c r="T530">
        <f ca="1">DATEDIF(Employee_Sample_Data_1[[#This Row],[Hire Date]], IF(Employee_Sample_Data_1[[#This Row],[Exit Date]] = "", TODAY(), Employee_Sample_Data_1[[#This Row],[Exit Date]]), "Y")</f>
        <v>5</v>
      </c>
    </row>
    <row r="531" spans="1:20" x14ac:dyDescent="0.25">
      <c r="A531" t="s">
        <v>1137</v>
      </c>
      <c r="B531" t="s">
        <v>1138</v>
      </c>
      <c r="C531" t="s">
        <v>86</v>
      </c>
      <c r="D531" t="s">
        <v>17</v>
      </c>
      <c r="E531" t="s">
        <v>53</v>
      </c>
      <c r="F531" t="s">
        <v>39</v>
      </c>
      <c r="G531" t="s">
        <v>63</v>
      </c>
      <c r="H531">
        <v>26</v>
      </c>
      <c r="I531" s="1">
        <v>44778</v>
      </c>
      <c r="J531" s="1" t="str">
        <f>TEXT(Employee_Sample_Data_1[[#This Row],[Hire Date]], "dddd")</f>
        <v>Friday</v>
      </c>
      <c r="K531" s="1" t="str">
        <f>TEXT(Employee_Sample_Data_1[[#This Row],[Hire Date]], "mmmm")</f>
        <v>August</v>
      </c>
      <c r="L531" s="1" t="str">
        <f>TEXT(Employee_Sample_Data_1[[#This Row],[Hire Date]], "yyyy")</f>
        <v>2022</v>
      </c>
      <c r="M531" s="2">
        <v>211121</v>
      </c>
      <c r="N531" s="3">
        <v>0.35</v>
      </c>
      <c r="O531" s="9">
        <f>PRODUCT(Employee_Sample_Data_1[[#This Row],[Annual Salary]],Employee_Sample_Data_1[[#This Row],[Bonus %]])</f>
        <v>73892.349999999991</v>
      </c>
      <c r="P531" s="2">
        <f>ROUND(Employee_Sample_Data_1[[#This Row],[Annual Salary]]*(1+Employee_Sample_Data_1[[#This Row],[Bonus %]]), 0)</f>
        <v>285013</v>
      </c>
      <c r="Q531" t="s">
        <v>21</v>
      </c>
      <c r="R531" t="s">
        <v>48</v>
      </c>
      <c r="T531">
        <f ca="1">DATEDIF(Employee_Sample_Data_1[[#This Row],[Hire Date]], IF(Employee_Sample_Data_1[[#This Row],[Exit Date]] = "", TODAY(), Employee_Sample_Data_1[[#This Row],[Exit Date]]), "Y")</f>
        <v>3</v>
      </c>
    </row>
    <row r="532" spans="1:20" x14ac:dyDescent="0.25">
      <c r="A532" t="s">
        <v>1139</v>
      </c>
      <c r="B532" t="s">
        <v>1140</v>
      </c>
      <c r="C532" t="s">
        <v>66</v>
      </c>
      <c r="D532" t="s">
        <v>26</v>
      </c>
      <c r="E532" t="s">
        <v>27</v>
      </c>
      <c r="F532" t="s">
        <v>39</v>
      </c>
      <c r="G532" t="s">
        <v>40</v>
      </c>
      <c r="H532">
        <v>29</v>
      </c>
      <c r="I532" s="1">
        <v>43648</v>
      </c>
      <c r="J532" s="1" t="str">
        <f>TEXT(Employee_Sample_Data_1[[#This Row],[Hire Date]], "dddd")</f>
        <v>Tuesday</v>
      </c>
      <c r="K532" s="1" t="str">
        <f>TEXT(Employee_Sample_Data_1[[#This Row],[Hire Date]], "mmmm")</f>
        <v>July</v>
      </c>
      <c r="L532" s="1" t="str">
        <f>TEXT(Employee_Sample_Data_1[[#This Row],[Hire Date]], "yyyy")</f>
        <v>2019</v>
      </c>
      <c r="M532" s="2">
        <v>106456</v>
      </c>
      <c r="N532" s="3">
        <v>0.1</v>
      </c>
      <c r="O532" s="9">
        <f>PRODUCT(Employee_Sample_Data_1[[#This Row],[Annual Salary]],Employee_Sample_Data_1[[#This Row],[Bonus %]])</f>
        <v>10645.6</v>
      </c>
      <c r="P532" s="2">
        <f>ROUND(Employee_Sample_Data_1[[#This Row],[Annual Salary]]*(1+Employee_Sample_Data_1[[#This Row],[Bonus %]]), 0)</f>
        <v>117102</v>
      </c>
      <c r="Q532" t="s">
        <v>21</v>
      </c>
      <c r="R532" t="s">
        <v>22</v>
      </c>
      <c r="T532">
        <f ca="1">DATEDIF(Employee_Sample_Data_1[[#This Row],[Hire Date]], IF(Employee_Sample_Data_1[[#This Row],[Exit Date]] = "", TODAY(), Employee_Sample_Data_1[[#This Row],[Exit Date]]), "Y")</f>
        <v>6</v>
      </c>
    </row>
    <row r="533" spans="1:20" x14ac:dyDescent="0.25">
      <c r="A533" t="s">
        <v>1141</v>
      </c>
      <c r="B533" t="s">
        <v>1142</v>
      </c>
      <c r="C533" t="s">
        <v>377</v>
      </c>
      <c r="D533" t="s">
        <v>32</v>
      </c>
      <c r="E533" t="s">
        <v>27</v>
      </c>
      <c r="F533" t="s">
        <v>19</v>
      </c>
      <c r="G533" t="s">
        <v>40</v>
      </c>
      <c r="H533">
        <v>64</v>
      </c>
      <c r="I533" s="1">
        <v>35626</v>
      </c>
      <c r="J533" s="1" t="str">
        <f>TEXT(Employee_Sample_Data_1[[#This Row],[Hire Date]], "dddd")</f>
        <v>Tuesday</v>
      </c>
      <c r="K533" s="1" t="str">
        <f>TEXT(Employee_Sample_Data_1[[#This Row],[Hire Date]], "mmmm")</f>
        <v>July</v>
      </c>
      <c r="L533" s="1" t="str">
        <f>TEXT(Employee_Sample_Data_1[[#This Row],[Hire Date]], "yyyy")</f>
        <v>1997</v>
      </c>
      <c r="M533" s="2">
        <v>72772</v>
      </c>
      <c r="N533" s="3">
        <v>0</v>
      </c>
      <c r="O533" s="9">
        <f>PRODUCT(Employee_Sample_Data_1[[#This Row],[Annual Salary]],Employee_Sample_Data_1[[#This Row],[Bonus %]])</f>
        <v>0</v>
      </c>
      <c r="P533" s="2">
        <f>ROUND(Employee_Sample_Data_1[[#This Row],[Annual Salary]]*(1+Employee_Sample_Data_1[[#This Row],[Bonus %]]), 0)</f>
        <v>72772</v>
      </c>
      <c r="Q533" t="s">
        <v>134</v>
      </c>
      <c r="R533" t="s">
        <v>286</v>
      </c>
      <c r="T533">
        <f ca="1">DATEDIF(Employee_Sample_Data_1[[#This Row],[Hire Date]], IF(Employee_Sample_Data_1[[#This Row],[Exit Date]] = "", TODAY(), Employee_Sample_Data_1[[#This Row],[Exit Date]]), "Y")</f>
        <v>28</v>
      </c>
    </row>
    <row r="534" spans="1:20" x14ac:dyDescent="0.25">
      <c r="A534" t="s">
        <v>1143</v>
      </c>
      <c r="B534" t="s">
        <v>1144</v>
      </c>
      <c r="C534" t="s">
        <v>80</v>
      </c>
      <c r="D534" t="s">
        <v>52</v>
      </c>
      <c r="E534" t="s">
        <v>33</v>
      </c>
      <c r="F534" t="s">
        <v>19</v>
      </c>
      <c r="G534" t="s">
        <v>40</v>
      </c>
      <c r="H534">
        <v>45</v>
      </c>
      <c r="I534" s="1">
        <v>37113</v>
      </c>
      <c r="J534" s="1" t="str">
        <f>TEXT(Employee_Sample_Data_1[[#This Row],[Hire Date]], "dddd")</f>
        <v>Friday</v>
      </c>
      <c r="K534" s="1" t="str">
        <f>TEXT(Employee_Sample_Data_1[[#This Row],[Hire Date]], "mmmm")</f>
        <v>August</v>
      </c>
      <c r="L534" s="1" t="str">
        <f>TEXT(Employee_Sample_Data_1[[#This Row],[Hire Date]], "yyyy")</f>
        <v>2001</v>
      </c>
      <c r="M534" s="2">
        <v>143146</v>
      </c>
      <c r="N534" s="3">
        <v>0.14000000000000001</v>
      </c>
      <c r="O534" s="9">
        <f>PRODUCT(Employee_Sample_Data_1[[#This Row],[Annual Salary]],Employee_Sample_Data_1[[#This Row],[Bonus %]])</f>
        <v>20040.440000000002</v>
      </c>
      <c r="P534" s="2">
        <f>ROUND(Employee_Sample_Data_1[[#This Row],[Annual Salary]]*(1+Employee_Sample_Data_1[[#This Row],[Bonus %]]), 0)</f>
        <v>163186</v>
      </c>
      <c r="Q534" t="s">
        <v>21</v>
      </c>
      <c r="R534" t="s">
        <v>28</v>
      </c>
      <c r="T534">
        <f ca="1">DATEDIF(Employee_Sample_Data_1[[#This Row],[Hire Date]], IF(Employee_Sample_Data_1[[#This Row],[Exit Date]] = "", TODAY(), Employee_Sample_Data_1[[#This Row],[Exit Date]]), "Y")</f>
        <v>24</v>
      </c>
    </row>
    <row r="535" spans="1:20" x14ac:dyDescent="0.25">
      <c r="A535" t="s">
        <v>1145</v>
      </c>
      <c r="B535" t="s">
        <v>1146</v>
      </c>
      <c r="C535" t="s">
        <v>57</v>
      </c>
      <c r="D535" t="s">
        <v>77</v>
      </c>
      <c r="E535" t="s">
        <v>18</v>
      </c>
      <c r="F535" t="s">
        <v>39</v>
      </c>
      <c r="G535" t="s">
        <v>20</v>
      </c>
      <c r="H535">
        <v>45</v>
      </c>
      <c r="I535" s="1">
        <v>43458</v>
      </c>
      <c r="J535" s="1" t="str">
        <f>TEXT(Employee_Sample_Data_1[[#This Row],[Hire Date]], "dddd")</f>
        <v>Monday</v>
      </c>
      <c r="K535" s="1" t="str">
        <f>TEXT(Employee_Sample_Data_1[[#This Row],[Hire Date]], "mmmm")</f>
        <v>December</v>
      </c>
      <c r="L535" s="1" t="str">
        <f>TEXT(Employee_Sample_Data_1[[#This Row],[Hire Date]], "yyyy")</f>
        <v>2018</v>
      </c>
      <c r="M535" s="2">
        <v>74776</v>
      </c>
      <c r="N535" s="3">
        <v>0</v>
      </c>
      <c r="O535" s="9">
        <f>PRODUCT(Employee_Sample_Data_1[[#This Row],[Annual Salary]],Employee_Sample_Data_1[[#This Row],[Bonus %]])</f>
        <v>0</v>
      </c>
      <c r="P535" s="2">
        <f>ROUND(Employee_Sample_Data_1[[#This Row],[Annual Salary]]*(1+Employee_Sample_Data_1[[#This Row],[Bonus %]]), 0)</f>
        <v>74776</v>
      </c>
      <c r="Q535" t="s">
        <v>21</v>
      </c>
      <c r="R535" t="s">
        <v>41</v>
      </c>
      <c r="T535">
        <f ca="1">DATEDIF(Employee_Sample_Data_1[[#This Row],[Hire Date]], IF(Employee_Sample_Data_1[[#This Row],[Exit Date]] = "", TODAY(), Employee_Sample_Data_1[[#This Row],[Exit Date]]), "Y")</f>
        <v>7</v>
      </c>
    </row>
    <row r="536" spans="1:20" x14ac:dyDescent="0.25">
      <c r="A536" t="s">
        <v>1147</v>
      </c>
      <c r="B536" t="s">
        <v>1148</v>
      </c>
      <c r="C536" t="s">
        <v>402</v>
      </c>
      <c r="D536" t="s">
        <v>26</v>
      </c>
      <c r="E536" t="s">
        <v>53</v>
      </c>
      <c r="F536" t="s">
        <v>19</v>
      </c>
      <c r="G536" t="s">
        <v>40</v>
      </c>
      <c r="H536">
        <v>51</v>
      </c>
      <c r="I536" s="1">
        <v>44452</v>
      </c>
      <c r="J536" s="1" t="str">
        <f>TEXT(Employee_Sample_Data_1[[#This Row],[Hire Date]], "dddd")</f>
        <v>Monday</v>
      </c>
      <c r="K536" s="1" t="str">
        <f>TEXT(Employee_Sample_Data_1[[#This Row],[Hire Date]], "mmmm")</f>
        <v>September</v>
      </c>
      <c r="L536" s="1" t="str">
        <f>TEXT(Employee_Sample_Data_1[[#This Row],[Hire Date]], "yyyy")</f>
        <v>2021</v>
      </c>
      <c r="M536" s="2">
        <v>92305</v>
      </c>
      <c r="N536" s="3">
        <v>0</v>
      </c>
      <c r="O536" s="9">
        <f>PRODUCT(Employee_Sample_Data_1[[#This Row],[Annual Salary]],Employee_Sample_Data_1[[#This Row],[Bonus %]])</f>
        <v>0</v>
      </c>
      <c r="P536" s="2">
        <f>ROUND(Employee_Sample_Data_1[[#This Row],[Annual Salary]]*(1+Employee_Sample_Data_1[[#This Row],[Bonus %]]), 0)</f>
        <v>92305</v>
      </c>
      <c r="Q536" t="s">
        <v>21</v>
      </c>
      <c r="R536" t="s">
        <v>28</v>
      </c>
      <c r="T536">
        <f ca="1">DATEDIF(Employee_Sample_Data_1[[#This Row],[Hire Date]], IF(Employee_Sample_Data_1[[#This Row],[Exit Date]] = "", TODAY(), Employee_Sample_Data_1[[#This Row],[Exit Date]]), "Y")</f>
        <v>4</v>
      </c>
    </row>
    <row r="537" spans="1:20" x14ac:dyDescent="0.25">
      <c r="A537" t="s">
        <v>1149</v>
      </c>
      <c r="B537" t="s">
        <v>1150</v>
      </c>
      <c r="C537" t="s">
        <v>38</v>
      </c>
      <c r="D537" t="s">
        <v>32</v>
      </c>
      <c r="E537" t="s">
        <v>18</v>
      </c>
      <c r="F537" t="s">
        <v>19</v>
      </c>
      <c r="G537" t="s">
        <v>40</v>
      </c>
      <c r="H537">
        <v>56</v>
      </c>
      <c r="I537" s="1">
        <v>38443</v>
      </c>
      <c r="J537" s="1" t="str">
        <f>TEXT(Employee_Sample_Data_1[[#This Row],[Hire Date]], "dddd")</f>
        <v>Friday</v>
      </c>
      <c r="K537" s="1" t="str">
        <f>TEXT(Employee_Sample_Data_1[[#This Row],[Hire Date]], "mmmm")</f>
        <v>April</v>
      </c>
      <c r="L537" s="1" t="str">
        <f>TEXT(Employee_Sample_Data_1[[#This Row],[Hire Date]], "yyyy")</f>
        <v>2005</v>
      </c>
      <c r="M537" s="2">
        <v>94724</v>
      </c>
      <c r="N537" s="3">
        <v>0</v>
      </c>
      <c r="O537" s="9">
        <f>PRODUCT(Employee_Sample_Data_1[[#This Row],[Annual Salary]],Employee_Sample_Data_1[[#This Row],[Bonus %]])</f>
        <v>0</v>
      </c>
      <c r="P537" s="2">
        <f>ROUND(Employee_Sample_Data_1[[#This Row],[Annual Salary]]*(1+Employee_Sample_Data_1[[#This Row],[Bonus %]]), 0)</f>
        <v>94724</v>
      </c>
      <c r="Q537" t="s">
        <v>21</v>
      </c>
      <c r="R537" t="s">
        <v>28</v>
      </c>
      <c r="T537">
        <f ca="1">DATEDIF(Employee_Sample_Data_1[[#This Row],[Hire Date]], IF(Employee_Sample_Data_1[[#This Row],[Exit Date]] = "", TODAY(), Employee_Sample_Data_1[[#This Row],[Exit Date]]), "Y")</f>
        <v>21</v>
      </c>
    </row>
    <row r="538" spans="1:20" x14ac:dyDescent="0.25">
      <c r="A538" t="s">
        <v>1151</v>
      </c>
      <c r="B538" t="s">
        <v>1152</v>
      </c>
      <c r="C538" t="s">
        <v>98</v>
      </c>
      <c r="D538" t="s">
        <v>32</v>
      </c>
      <c r="E538" t="s">
        <v>53</v>
      </c>
      <c r="F538" t="s">
        <v>19</v>
      </c>
      <c r="G538" t="s">
        <v>20</v>
      </c>
      <c r="H538">
        <v>58</v>
      </c>
      <c r="I538" s="1">
        <v>35016</v>
      </c>
      <c r="J538" s="1" t="str">
        <f>TEXT(Employee_Sample_Data_1[[#This Row],[Hire Date]], "dddd")</f>
        <v>Monday</v>
      </c>
      <c r="K538" s="1" t="str">
        <f>TEXT(Employee_Sample_Data_1[[#This Row],[Hire Date]], "mmmm")</f>
        <v>November</v>
      </c>
      <c r="L538" s="1" t="str">
        <f>TEXT(Employee_Sample_Data_1[[#This Row],[Hire Date]], "yyyy")</f>
        <v>1995</v>
      </c>
      <c r="M538" s="2">
        <v>88019</v>
      </c>
      <c r="N538" s="3">
        <v>0</v>
      </c>
      <c r="O538" s="9">
        <f>PRODUCT(Employee_Sample_Data_1[[#This Row],[Annual Salary]],Employee_Sample_Data_1[[#This Row],[Bonus %]])</f>
        <v>0</v>
      </c>
      <c r="P538" s="2">
        <f>ROUND(Employee_Sample_Data_1[[#This Row],[Annual Salary]]*(1+Employee_Sample_Data_1[[#This Row],[Bonus %]]), 0)</f>
        <v>88019</v>
      </c>
      <c r="Q538" t="s">
        <v>21</v>
      </c>
      <c r="R538" t="s">
        <v>45</v>
      </c>
      <c r="T538">
        <f ca="1">DATEDIF(Employee_Sample_Data_1[[#This Row],[Hire Date]], IF(Employee_Sample_Data_1[[#This Row],[Exit Date]] = "", TODAY(), Employee_Sample_Data_1[[#This Row],[Exit Date]]), "Y")</f>
        <v>30</v>
      </c>
    </row>
    <row r="539" spans="1:20" x14ac:dyDescent="0.25">
      <c r="A539" t="s">
        <v>1153</v>
      </c>
      <c r="B539" t="s">
        <v>1154</v>
      </c>
      <c r="C539" t="s">
        <v>66</v>
      </c>
      <c r="D539" t="s">
        <v>123</v>
      </c>
      <c r="E539" t="s">
        <v>27</v>
      </c>
      <c r="F539" t="s">
        <v>19</v>
      </c>
      <c r="G539" t="s">
        <v>81</v>
      </c>
      <c r="H539">
        <v>43</v>
      </c>
      <c r="I539" s="1">
        <v>42632</v>
      </c>
      <c r="J539" s="1" t="str">
        <f>TEXT(Employee_Sample_Data_1[[#This Row],[Hire Date]], "dddd")</f>
        <v>Monday</v>
      </c>
      <c r="K539" s="1" t="str">
        <f>TEXT(Employee_Sample_Data_1[[#This Row],[Hire Date]], "mmmm")</f>
        <v>September</v>
      </c>
      <c r="L539" s="1" t="str">
        <f>TEXT(Employee_Sample_Data_1[[#This Row],[Hire Date]], "yyyy")</f>
        <v>2016</v>
      </c>
      <c r="M539" s="2">
        <v>108000</v>
      </c>
      <c r="N539" s="3">
        <v>0.1</v>
      </c>
      <c r="O539" s="9">
        <f>PRODUCT(Employee_Sample_Data_1[[#This Row],[Annual Salary]],Employee_Sample_Data_1[[#This Row],[Bonus %]])</f>
        <v>10800</v>
      </c>
      <c r="P539" s="2">
        <f>ROUND(Employee_Sample_Data_1[[#This Row],[Annual Salary]]*(1+Employee_Sample_Data_1[[#This Row],[Bonus %]]), 0)</f>
        <v>118800</v>
      </c>
      <c r="Q539" t="s">
        <v>21</v>
      </c>
      <c r="R539" t="s">
        <v>22</v>
      </c>
      <c r="T539">
        <f ca="1">DATEDIF(Employee_Sample_Data_1[[#This Row],[Hire Date]], IF(Employee_Sample_Data_1[[#This Row],[Exit Date]] = "", TODAY(), Employee_Sample_Data_1[[#This Row],[Exit Date]]), "Y")</f>
        <v>9</v>
      </c>
    </row>
    <row r="540" spans="1:20" x14ac:dyDescent="0.25">
      <c r="A540" t="s">
        <v>1155</v>
      </c>
      <c r="B540" t="s">
        <v>1156</v>
      </c>
      <c r="C540" t="s">
        <v>377</v>
      </c>
      <c r="D540" t="s">
        <v>32</v>
      </c>
      <c r="E540" t="s">
        <v>27</v>
      </c>
      <c r="F540" t="s">
        <v>19</v>
      </c>
      <c r="G540" t="s">
        <v>20</v>
      </c>
      <c r="H540">
        <v>52</v>
      </c>
      <c r="I540" s="1">
        <v>43308</v>
      </c>
      <c r="J540" s="1" t="str">
        <f>TEXT(Employee_Sample_Data_1[[#This Row],[Hire Date]], "dddd")</f>
        <v>Friday</v>
      </c>
      <c r="K540" s="1" t="str">
        <f>TEXT(Employee_Sample_Data_1[[#This Row],[Hire Date]], "mmmm")</f>
        <v>July</v>
      </c>
      <c r="L540" s="1" t="str">
        <f>TEXT(Employee_Sample_Data_1[[#This Row],[Hire Date]], "yyyy")</f>
        <v>2018</v>
      </c>
      <c r="M540" s="2">
        <v>81438</v>
      </c>
      <c r="N540" s="3">
        <v>0</v>
      </c>
      <c r="O540" s="9">
        <f>PRODUCT(Employee_Sample_Data_1[[#This Row],[Annual Salary]],Employee_Sample_Data_1[[#This Row],[Bonus %]])</f>
        <v>0</v>
      </c>
      <c r="P540" s="2">
        <f>ROUND(Employee_Sample_Data_1[[#This Row],[Annual Salary]]*(1+Employee_Sample_Data_1[[#This Row],[Bonus %]]), 0)</f>
        <v>81438</v>
      </c>
      <c r="Q540" t="s">
        <v>34</v>
      </c>
      <c r="R540" t="s">
        <v>108</v>
      </c>
      <c r="T540">
        <f ca="1">DATEDIF(Employee_Sample_Data_1[[#This Row],[Hire Date]], IF(Employee_Sample_Data_1[[#This Row],[Exit Date]] = "", TODAY(), Employee_Sample_Data_1[[#This Row],[Exit Date]]), "Y")</f>
        <v>7</v>
      </c>
    </row>
    <row r="541" spans="1:20" x14ac:dyDescent="0.25">
      <c r="A541" t="s">
        <v>1157</v>
      </c>
      <c r="B541" t="s">
        <v>1158</v>
      </c>
      <c r="C541" t="s">
        <v>177</v>
      </c>
      <c r="D541" t="s">
        <v>32</v>
      </c>
      <c r="E541" t="s">
        <v>27</v>
      </c>
      <c r="F541" t="s">
        <v>19</v>
      </c>
      <c r="G541" t="s">
        <v>20</v>
      </c>
      <c r="H541">
        <v>41</v>
      </c>
      <c r="I541" s="1">
        <v>43243</v>
      </c>
      <c r="J541" s="1" t="str">
        <f>TEXT(Employee_Sample_Data_1[[#This Row],[Hire Date]], "dddd")</f>
        <v>Wednesday</v>
      </c>
      <c r="K541" s="1" t="str">
        <f>TEXT(Employee_Sample_Data_1[[#This Row],[Hire Date]], "mmmm")</f>
        <v>May</v>
      </c>
      <c r="L541" s="1" t="str">
        <f>TEXT(Employee_Sample_Data_1[[#This Row],[Hire Date]], "yyyy")</f>
        <v>2018</v>
      </c>
      <c r="M541" s="2">
        <v>95669</v>
      </c>
      <c r="N541" s="3">
        <v>0.1</v>
      </c>
      <c r="O541" s="9">
        <f>PRODUCT(Employee_Sample_Data_1[[#This Row],[Annual Salary]],Employee_Sample_Data_1[[#This Row],[Bonus %]])</f>
        <v>9566.9</v>
      </c>
      <c r="P541" s="2">
        <f>ROUND(Employee_Sample_Data_1[[#This Row],[Annual Salary]]*(1+Employee_Sample_Data_1[[#This Row],[Bonus %]]), 0)</f>
        <v>105236</v>
      </c>
      <c r="Q541" t="s">
        <v>34</v>
      </c>
      <c r="R541" t="s">
        <v>35</v>
      </c>
      <c r="S541" s="1">
        <v>44356</v>
      </c>
      <c r="T541">
        <f ca="1">DATEDIF(Employee_Sample_Data_1[[#This Row],[Hire Date]], IF(Employee_Sample_Data_1[[#This Row],[Exit Date]] = "", TODAY(), Employee_Sample_Data_1[[#This Row],[Exit Date]]), "Y")</f>
        <v>3</v>
      </c>
    </row>
    <row r="542" spans="1:20" x14ac:dyDescent="0.25">
      <c r="A542" t="s">
        <v>1159</v>
      </c>
      <c r="B542" t="s">
        <v>1160</v>
      </c>
      <c r="C542" t="s">
        <v>86</v>
      </c>
      <c r="D542" t="s">
        <v>52</v>
      </c>
      <c r="E542" t="s">
        <v>53</v>
      </c>
      <c r="F542" t="s">
        <v>19</v>
      </c>
      <c r="G542" t="s">
        <v>63</v>
      </c>
      <c r="H542">
        <v>43</v>
      </c>
      <c r="I542" s="1">
        <v>42415</v>
      </c>
      <c r="J542" s="1" t="str">
        <f>TEXT(Employee_Sample_Data_1[[#This Row],[Hire Date]], "dddd")</f>
        <v>Monday</v>
      </c>
      <c r="K542" s="1" t="str">
        <f>TEXT(Employee_Sample_Data_1[[#This Row],[Hire Date]], "mmmm")</f>
        <v>February</v>
      </c>
      <c r="L542" s="1" t="str">
        <f>TEXT(Employee_Sample_Data_1[[#This Row],[Hire Date]], "yyyy")</f>
        <v>2016</v>
      </c>
      <c r="M542" s="2">
        <v>180385</v>
      </c>
      <c r="N542" s="3">
        <v>0.33</v>
      </c>
      <c r="O542" s="9">
        <f>PRODUCT(Employee_Sample_Data_1[[#This Row],[Annual Salary]],Employee_Sample_Data_1[[#This Row],[Bonus %]])</f>
        <v>59527.05</v>
      </c>
      <c r="P542" s="2">
        <f>ROUND(Employee_Sample_Data_1[[#This Row],[Annual Salary]]*(1+Employee_Sample_Data_1[[#This Row],[Bonus %]]), 0)</f>
        <v>239912</v>
      </c>
      <c r="Q542" t="s">
        <v>21</v>
      </c>
      <c r="R542" t="s">
        <v>22</v>
      </c>
      <c r="T542">
        <f ca="1">DATEDIF(Employee_Sample_Data_1[[#This Row],[Hire Date]], IF(Employee_Sample_Data_1[[#This Row],[Exit Date]] = "", TODAY(), Employee_Sample_Data_1[[#This Row],[Exit Date]]), "Y")</f>
        <v>10</v>
      </c>
    </row>
    <row r="543" spans="1:20" x14ac:dyDescent="0.25">
      <c r="A543" t="s">
        <v>1161</v>
      </c>
      <c r="B543" t="s">
        <v>1162</v>
      </c>
      <c r="C543" t="s">
        <v>156</v>
      </c>
      <c r="D543" t="s">
        <v>32</v>
      </c>
      <c r="E543" t="s">
        <v>33</v>
      </c>
      <c r="F543" t="s">
        <v>19</v>
      </c>
      <c r="G543" t="s">
        <v>40</v>
      </c>
      <c r="H543">
        <v>36</v>
      </c>
      <c r="I543" s="1">
        <v>42399</v>
      </c>
      <c r="J543" s="1" t="str">
        <f>TEXT(Employee_Sample_Data_1[[#This Row],[Hire Date]], "dddd")</f>
        <v>Saturday</v>
      </c>
      <c r="K543" s="1" t="str">
        <f>TEXT(Employee_Sample_Data_1[[#This Row],[Hire Date]], "mmmm")</f>
        <v>January</v>
      </c>
      <c r="L543" s="1" t="str">
        <f>TEXT(Employee_Sample_Data_1[[#This Row],[Hire Date]], "yyyy")</f>
        <v>2016</v>
      </c>
      <c r="M543" s="2">
        <v>45184</v>
      </c>
      <c r="N543" s="3">
        <v>0</v>
      </c>
      <c r="O543" s="9">
        <f>PRODUCT(Employee_Sample_Data_1[[#This Row],[Annual Salary]],Employee_Sample_Data_1[[#This Row],[Bonus %]])</f>
        <v>0</v>
      </c>
      <c r="P543" s="2">
        <f>ROUND(Employee_Sample_Data_1[[#This Row],[Annual Salary]]*(1+Employee_Sample_Data_1[[#This Row],[Bonus %]]), 0)</f>
        <v>45184</v>
      </c>
      <c r="Q543" t="s">
        <v>134</v>
      </c>
      <c r="R543" t="s">
        <v>180</v>
      </c>
      <c r="T543">
        <f ca="1">DATEDIF(Employee_Sample_Data_1[[#This Row],[Hire Date]], IF(Employee_Sample_Data_1[[#This Row],[Exit Date]] = "", TODAY(), Employee_Sample_Data_1[[#This Row],[Exit Date]]), "Y")</f>
        <v>10</v>
      </c>
    </row>
    <row r="544" spans="1:20" x14ac:dyDescent="0.25">
      <c r="A544" t="s">
        <v>1163</v>
      </c>
      <c r="B544" t="s">
        <v>1164</v>
      </c>
      <c r="C544" t="s">
        <v>405</v>
      </c>
      <c r="D544" t="s">
        <v>17</v>
      </c>
      <c r="E544" t="s">
        <v>33</v>
      </c>
      <c r="F544" t="s">
        <v>19</v>
      </c>
      <c r="G544" t="s">
        <v>63</v>
      </c>
      <c r="H544">
        <v>55</v>
      </c>
      <c r="I544" s="1">
        <v>39302</v>
      </c>
      <c r="J544" s="1" t="str">
        <f>TEXT(Employee_Sample_Data_1[[#This Row],[Hire Date]], "dddd")</f>
        <v>Wednesday</v>
      </c>
      <c r="K544" s="1" t="str">
        <f>TEXT(Employee_Sample_Data_1[[#This Row],[Hire Date]], "mmmm")</f>
        <v>August</v>
      </c>
      <c r="L544" s="1" t="str">
        <f>TEXT(Employee_Sample_Data_1[[#This Row],[Hire Date]], "yyyy")</f>
        <v>2007</v>
      </c>
      <c r="M544" s="2">
        <v>70451</v>
      </c>
      <c r="N544" s="3">
        <v>0</v>
      </c>
      <c r="O544" s="9">
        <f>PRODUCT(Employee_Sample_Data_1[[#This Row],[Annual Salary]],Employee_Sample_Data_1[[#This Row],[Bonus %]])</f>
        <v>0</v>
      </c>
      <c r="P544" s="2">
        <f>ROUND(Employee_Sample_Data_1[[#This Row],[Annual Salary]]*(1+Employee_Sample_Data_1[[#This Row],[Bonus %]]), 0)</f>
        <v>70451</v>
      </c>
      <c r="Q544" t="s">
        <v>21</v>
      </c>
      <c r="R544" t="s">
        <v>41</v>
      </c>
      <c r="T544">
        <f ca="1">DATEDIF(Employee_Sample_Data_1[[#This Row],[Hire Date]], IF(Employee_Sample_Data_1[[#This Row],[Exit Date]] = "", TODAY(), Employee_Sample_Data_1[[#This Row],[Exit Date]]), "Y")</f>
        <v>18</v>
      </c>
    </row>
    <row r="545" spans="1:20" x14ac:dyDescent="0.25">
      <c r="A545" t="s">
        <v>1165</v>
      </c>
      <c r="B545" t="s">
        <v>1166</v>
      </c>
      <c r="C545" t="s">
        <v>98</v>
      </c>
      <c r="D545" t="s">
        <v>32</v>
      </c>
      <c r="E545" t="s">
        <v>53</v>
      </c>
      <c r="F545" t="s">
        <v>39</v>
      </c>
      <c r="G545" t="s">
        <v>20</v>
      </c>
      <c r="H545">
        <v>39</v>
      </c>
      <c r="I545" s="1">
        <v>39908</v>
      </c>
      <c r="J545" s="1" t="str">
        <f>TEXT(Employee_Sample_Data_1[[#This Row],[Hire Date]], "dddd")</f>
        <v>Sunday</v>
      </c>
      <c r="K545" s="1" t="str">
        <f>TEXT(Employee_Sample_Data_1[[#This Row],[Hire Date]], "mmmm")</f>
        <v>April</v>
      </c>
      <c r="L545" s="1" t="str">
        <f>TEXT(Employee_Sample_Data_1[[#This Row],[Hire Date]], "yyyy")</f>
        <v>2009</v>
      </c>
      <c r="M545" s="2">
        <v>63259</v>
      </c>
      <c r="N545" s="3">
        <v>0</v>
      </c>
      <c r="O545" s="9">
        <f>PRODUCT(Employee_Sample_Data_1[[#This Row],[Annual Salary]],Employee_Sample_Data_1[[#This Row],[Bonus %]])</f>
        <v>0</v>
      </c>
      <c r="P545" s="2">
        <f>ROUND(Employee_Sample_Data_1[[#This Row],[Annual Salary]]*(1+Employee_Sample_Data_1[[#This Row],[Bonus %]]), 0)</f>
        <v>63259</v>
      </c>
      <c r="Q545" t="s">
        <v>21</v>
      </c>
      <c r="R545" t="s">
        <v>28</v>
      </c>
      <c r="T545">
        <f ca="1">DATEDIF(Employee_Sample_Data_1[[#This Row],[Hire Date]], IF(Employee_Sample_Data_1[[#This Row],[Exit Date]] = "", TODAY(), Employee_Sample_Data_1[[#This Row],[Exit Date]]), "Y")</f>
        <v>17</v>
      </c>
    </row>
    <row r="546" spans="1:20" x14ac:dyDescent="0.25">
      <c r="A546" t="s">
        <v>1167</v>
      </c>
      <c r="B546" t="s">
        <v>1168</v>
      </c>
      <c r="C546" t="s">
        <v>57</v>
      </c>
      <c r="D546" t="s">
        <v>52</v>
      </c>
      <c r="E546" t="s">
        <v>27</v>
      </c>
      <c r="F546" t="s">
        <v>39</v>
      </c>
      <c r="G546" t="s">
        <v>63</v>
      </c>
      <c r="H546">
        <v>56</v>
      </c>
      <c r="I546" s="1">
        <v>36951</v>
      </c>
      <c r="J546" s="1" t="str">
        <f>TEXT(Employee_Sample_Data_1[[#This Row],[Hire Date]], "dddd")</f>
        <v>Thursday</v>
      </c>
      <c r="K546" s="1" t="str">
        <f>TEXT(Employee_Sample_Data_1[[#This Row],[Hire Date]], "mmmm")</f>
        <v>March</v>
      </c>
      <c r="L546" s="1" t="str">
        <f>TEXT(Employee_Sample_Data_1[[#This Row],[Hire Date]], "yyyy")</f>
        <v>2001</v>
      </c>
      <c r="M546" s="2">
        <v>73778</v>
      </c>
      <c r="N546" s="3">
        <v>0</v>
      </c>
      <c r="O546" s="9">
        <f>PRODUCT(Employee_Sample_Data_1[[#This Row],[Annual Salary]],Employee_Sample_Data_1[[#This Row],[Bonus %]])</f>
        <v>0</v>
      </c>
      <c r="P546" s="2">
        <f>ROUND(Employee_Sample_Data_1[[#This Row],[Annual Salary]]*(1+Employee_Sample_Data_1[[#This Row],[Bonus %]]), 0)</f>
        <v>73778</v>
      </c>
      <c r="Q546" t="s">
        <v>21</v>
      </c>
      <c r="R546" t="s">
        <v>67</v>
      </c>
      <c r="T546">
        <f ca="1">DATEDIF(Employee_Sample_Data_1[[#This Row],[Hire Date]], IF(Employee_Sample_Data_1[[#This Row],[Exit Date]] = "", TODAY(), Employee_Sample_Data_1[[#This Row],[Exit Date]]), "Y")</f>
        <v>25</v>
      </c>
    </row>
    <row r="547" spans="1:20" x14ac:dyDescent="0.25">
      <c r="A547" t="s">
        <v>1169</v>
      </c>
      <c r="B547" t="s">
        <v>1170</v>
      </c>
      <c r="C547" t="s">
        <v>80</v>
      </c>
      <c r="D547" t="s">
        <v>26</v>
      </c>
      <c r="E547" t="s">
        <v>33</v>
      </c>
      <c r="F547" t="s">
        <v>19</v>
      </c>
      <c r="G547" t="s">
        <v>20</v>
      </c>
      <c r="H547">
        <v>45</v>
      </c>
      <c r="I547" s="1">
        <v>39875</v>
      </c>
      <c r="J547" s="1" t="str">
        <f>TEXT(Employee_Sample_Data_1[[#This Row],[Hire Date]], "dddd")</f>
        <v>Tuesday</v>
      </c>
      <c r="K547" s="1" t="str">
        <f>TEXT(Employee_Sample_Data_1[[#This Row],[Hire Date]], "mmmm")</f>
        <v>March</v>
      </c>
      <c r="L547" s="1" t="str">
        <f>TEXT(Employee_Sample_Data_1[[#This Row],[Hire Date]], "yyyy")</f>
        <v>2009</v>
      </c>
      <c r="M547" s="2">
        <v>126697</v>
      </c>
      <c r="N547" s="3">
        <v>0.13</v>
      </c>
      <c r="O547" s="9">
        <f>PRODUCT(Employee_Sample_Data_1[[#This Row],[Annual Salary]],Employee_Sample_Data_1[[#This Row],[Bonus %]])</f>
        <v>16470.61</v>
      </c>
      <c r="P547" s="2">
        <f>ROUND(Employee_Sample_Data_1[[#This Row],[Annual Salary]]*(1+Employee_Sample_Data_1[[#This Row],[Bonus %]]), 0)</f>
        <v>143168</v>
      </c>
      <c r="Q547" t="s">
        <v>34</v>
      </c>
      <c r="R547" t="s">
        <v>108</v>
      </c>
      <c r="T547">
        <f ca="1">DATEDIF(Employee_Sample_Data_1[[#This Row],[Hire Date]], IF(Employee_Sample_Data_1[[#This Row],[Exit Date]] = "", TODAY(), Employee_Sample_Data_1[[#This Row],[Exit Date]]), "Y")</f>
        <v>17</v>
      </c>
    </row>
    <row r="548" spans="1:20" x14ac:dyDescent="0.25">
      <c r="A548" t="s">
        <v>1171</v>
      </c>
      <c r="B548" t="s">
        <v>1172</v>
      </c>
      <c r="C548" t="s">
        <v>62</v>
      </c>
      <c r="D548" t="s">
        <v>32</v>
      </c>
      <c r="E548" t="s">
        <v>53</v>
      </c>
      <c r="F548" t="s">
        <v>39</v>
      </c>
      <c r="G548" t="s">
        <v>40</v>
      </c>
      <c r="H548">
        <v>63</v>
      </c>
      <c r="I548" s="1">
        <v>39587</v>
      </c>
      <c r="J548" s="1" t="str">
        <f>TEXT(Employee_Sample_Data_1[[#This Row],[Hire Date]], "dddd")</f>
        <v>Monday</v>
      </c>
      <c r="K548" s="1" t="str">
        <f>TEXT(Employee_Sample_Data_1[[#This Row],[Hire Date]], "mmmm")</f>
        <v>May</v>
      </c>
      <c r="L548" s="1" t="str">
        <f>TEXT(Employee_Sample_Data_1[[#This Row],[Hire Date]], "yyyy")</f>
        <v>2008</v>
      </c>
      <c r="M548" s="2">
        <v>75396</v>
      </c>
      <c r="N548" s="3">
        <v>0</v>
      </c>
      <c r="O548" s="9">
        <f>PRODUCT(Employee_Sample_Data_1[[#This Row],[Annual Salary]],Employee_Sample_Data_1[[#This Row],[Bonus %]])</f>
        <v>0</v>
      </c>
      <c r="P548" s="2">
        <f>ROUND(Employee_Sample_Data_1[[#This Row],[Annual Salary]]*(1+Employee_Sample_Data_1[[#This Row],[Bonus %]]), 0)</f>
        <v>75396</v>
      </c>
      <c r="Q548" t="s">
        <v>134</v>
      </c>
      <c r="R548" t="s">
        <v>135</v>
      </c>
      <c r="T548">
        <f ca="1">DATEDIF(Employee_Sample_Data_1[[#This Row],[Hire Date]], IF(Employee_Sample_Data_1[[#This Row],[Exit Date]] = "", TODAY(), Employee_Sample_Data_1[[#This Row],[Exit Date]]), "Y")</f>
        <v>18</v>
      </c>
    </row>
    <row r="549" spans="1:20" x14ac:dyDescent="0.25">
      <c r="A549" t="s">
        <v>1173</v>
      </c>
      <c r="B549" t="s">
        <v>1174</v>
      </c>
      <c r="C549" t="s">
        <v>44</v>
      </c>
      <c r="D549" t="s">
        <v>123</v>
      </c>
      <c r="E549" t="s">
        <v>27</v>
      </c>
      <c r="F549" t="s">
        <v>39</v>
      </c>
      <c r="G549" t="s">
        <v>40</v>
      </c>
      <c r="H549">
        <v>39</v>
      </c>
      <c r="I549" s="1">
        <v>41906</v>
      </c>
      <c r="J549" s="1" t="str">
        <f>TEXT(Employee_Sample_Data_1[[#This Row],[Hire Date]], "dddd")</f>
        <v>Wednesday</v>
      </c>
      <c r="K549" s="1" t="str">
        <f>TEXT(Employee_Sample_Data_1[[#This Row],[Hire Date]], "mmmm")</f>
        <v>September</v>
      </c>
      <c r="L549" s="1" t="str">
        <f>TEXT(Employee_Sample_Data_1[[#This Row],[Hire Date]], "yyyy")</f>
        <v>2014</v>
      </c>
      <c r="M549" s="2">
        <v>182595</v>
      </c>
      <c r="N549" s="3">
        <v>0.28999999999999998</v>
      </c>
      <c r="O549" s="9">
        <f>PRODUCT(Employee_Sample_Data_1[[#This Row],[Annual Salary]],Employee_Sample_Data_1[[#This Row],[Bonus %]])</f>
        <v>52952.549999999996</v>
      </c>
      <c r="P549" s="2">
        <f>ROUND(Employee_Sample_Data_1[[#This Row],[Annual Salary]]*(1+Employee_Sample_Data_1[[#This Row],[Bonus %]]), 0)</f>
        <v>235548</v>
      </c>
      <c r="Q549" t="s">
        <v>134</v>
      </c>
      <c r="R549" t="s">
        <v>135</v>
      </c>
      <c r="S549" s="1">
        <v>42992</v>
      </c>
      <c r="T549">
        <f ca="1">DATEDIF(Employee_Sample_Data_1[[#This Row],[Hire Date]], IF(Employee_Sample_Data_1[[#This Row],[Exit Date]] = "", TODAY(), Employee_Sample_Data_1[[#This Row],[Exit Date]]), "Y")</f>
        <v>2</v>
      </c>
    </row>
    <row r="550" spans="1:20" x14ac:dyDescent="0.25">
      <c r="A550" t="s">
        <v>1175</v>
      </c>
      <c r="B550" t="s">
        <v>1176</v>
      </c>
      <c r="C550" t="s">
        <v>25</v>
      </c>
      <c r="D550" t="s">
        <v>58</v>
      </c>
      <c r="E550" t="s">
        <v>27</v>
      </c>
      <c r="F550" t="s">
        <v>19</v>
      </c>
      <c r="G550" t="s">
        <v>20</v>
      </c>
      <c r="H550">
        <v>32</v>
      </c>
      <c r="I550" s="1">
        <v>42033</v>
      </c>
      <c r="J550" s="1" t="str">
        <f>TEXT(Employee_Sample_Data_1[[#This Row],[Hire Date]], "dddd")</f>
        <v>Thursday</v>
      </c>
      <c r="K550" s="1" t="str">
        <f>TEXT(Employee_Sample_Data_1[[#This Row],[Hire Date]], "mmmm")</f>
        <v>January</v>
      </c>
      <c r="L550" s="1" t="str">
        <f>TEXT(Employee_Sample_Data_1[[#This Row],[Hire Date]], "yyyy")</f>
        <v>2015</v>
      </c>
      <c r="M550" s="2">
        <v>45424</v>
      </c>
      <c r="N550" s="3">
        <v>0</v>
      </c>
      <c r="O550" s="9">
        <f>PRODUCT(Employee_Sample_Data_1[[#This Row],[Annual Salary]],Employee_Sample_Data_1[[#This Row],[Bonus %]])</f>
        <v>0</v>
      </c>
      <c r="P550" s="2">
        <f>ROUND(Employee_Sample_Data_1[[#This Row],[Annual Salary]]*(1+Employee_Sample_Data_1[[#This Row],[Bonus %]]), 0)</f>
        <v>45424</v>
      </c>
      <c r="Q550" t="s">
        <v>21</v>
      </c>
      <c r="R550" t="s">
        <v>45</v>
      </c>
      <c r="T550">
        <f ca="1">DATEDIF(Employee_Sample_Data_1[[#This Row],[Hire Date]], IF(Employee_Sample_Data_1[[#This Row],[Exit Date]] = "", TODAY(), Employee_Sample_Data_1[[#This Row],[Exit Date]]), "Y")</f>
        <v>11</v>
      </c>
    </row>
    <row r="551" spans="1:20" x14ac:dyDescent="0.25">
      <c r="A551" t="s">
        <v>1177</v>
      </c>
      <c r="B551" t="s">
        <v>1178</v>
      </c>
      <c r="C551" t="s">
        <v>57</v>
      </c>
      <c r="D551" t="s">
        <v>58</v>
      </c>
      <c r="E551" t="s">
        <v>18</v>
      </c>
      <c r="F551" t="s">
        <v>19</v>
      </c>
      <c r="G551" t="s">
        <v>20</v>
      </c>
      <c r="H551">
        <v>45</v>
      </c>
      <c r="I551" s="1">
        <v>41246</v>
      </c>
      <c r="J551" s="1" t="str">
        <f>TEXT(Employee_Sample_Data_1[[#This Row],[Hire Date]], "dddd")</f>
        <v>Monday</v>
      </c>
      <c r="K551" s="1" t="str">
        <f>TEXT(Employee_Sample_Data_1[[#This Row],[Hire Date]], "mmmm")</f>
        <v>December</v>
      </c>
      <c r="L551" s="1" t="str">
        <f>TEXT(Employee_Sample_Data_1[[#This Row],[Hire Date]], "yyyy")</f>
        <v>2012</v>
      </c>
      <c r="M551" s="2">
        <v>70661</v>
      </c>
      <c r="N551" s="3">
        <v>0</v>
      </c>
      <c r="O551" s="9">
        <f>PRODUCT(Employee_Sample_Data_1[[#This Row],[Annual Salary]],Employee_Sample_Data_1[[#This Row],[Bonus %]])</f>
        <v>0</v>
      </c>
      <c r="P551" s="2">
        <f>ROUND(Employee_Sample_Data_1[[#This Row],[Annual Salary]]*(1+Employee_Sample_Data_1[[#This Row],[Bonus %]]), 0)</f>
        <v>70661</v>
      </c>
      <c r="Q551" t="s">
        <v>34</v>
      </c>
      <c r="R551" t="s">
        <v>54</v>
      </c>
      <c r="T551">
        <f ca="1">DATEDIF(Employee_Sample_Data_1[[#This Row],[Hire Date]], IF(Employee_Sample_Data_1[[#This Row],[Exit Date]] = "", TODAY(), Employee_Sample_Data_1[[#This Row],[Exit Date]]), "Y")</f>
        <v>13</v>
      </c>
    </row>
    <row r="552" spans="1:20" x14ac:dyDescent="0.25">
      <c r="A552" t="s">
        <v>1179</v>
      </c>
      <c r="B552" t="s">
        <v>1180</v>
      </c>
      <c r="C552" t="s">
        <v>156</v>
      </c>
      <c r="D552" t="s">
        <v>32</v>
      </c>
      <c r="E552" t="s">
        <v>33</v>
      </c>
      <c r="F552" t="s">
        <v>19</v>
      </c>
      <c r="G552" t="s">
        <v>20</v>
      </c>
      <c r="H552">
        <v>41</v>
      </c>
      <c r="I552" s="1">
        <v>43420</v>
      </c>
      <c r="J552" s="1" t="str">
        <f>TEXT(Employee_Sample_Data_1[[#This Row],[Hire Date]], "dddd")</f>
        <v>Friday</v>
      </c>
      <c r="K552" s="1" t="str">
        <f>TEXT(Employee_Sample_Data_1[[#This Row],[Hire Date]], "mmmm")</f>
        <v>November</v>
      </c>
      <c r="L552" s="1" t="str">
        <f>TEXT(Employee_Sample_Data_1[[#This Row],[Hire Date]], "yyyy")</f>
        <v>2018</v>
      </c>
      <c r="M552" s="2">
        <v>57166</v>
      </c>
      <c r="N552" s="3">
        <v>0</v>
      </c>
      <c r="O552" s="9">
        <f>PRODUCT(Employee_Sample_Data_1[[#This Row],[Annual Salary]],Employee_Sample_Data_1[[#This Row],[Bonus %]])</f>
        <v>0</v>
      </c>
      <c r="P552" s="2">
        <f>ROUND(Employee_Sample_Data_1[[#This Row],[Annual Salary]]*(1+Employee_Sample_Data_1[[#This Row],[Bonus %]]), 0)</f>
        <v>57166</v>
      </c>
      <c r="Q552" t="s">
        <v>34</v>
      </c>
      <c r="R552" t="s">
        <v>35</v>
      </c>
      <c r="T552">
        <f ca="1">DATEDIF(Employee_Sample_Data_1[[#This Row],[Hire Date]], IF(Employee_Sample_Data_1[[#This Row],[Exit Date]] = "", TODAY(), Employee_Sample_Data_1[[#This Row],[Exit Date]]), "Y")</f>
        <v>7</v>
      </c>
    </row>
    <row r="553" spans="1:20" x14ac:dyDescent="0.25">
      <c r="A553" t="s">
        <v>1181</v>
      </c>
      <c r="B553" t="s">
        <v>1182</v>
      </c>
      <c r="C553" t="s">
        <v>433</v>
      </c>
      <c r="D553" t="s">
        <v>17</v>
      </c>
      <c r="E553" t="s">
        <v>27</v>
      </c>
      <c r="F553" t="s">
        <v>39</v>
      </c>
      <c r="G553" t="s">
        <v>63</v>
      </c>
      <c r="H553">
        <v>56</v>
      </c>
      <c r="I553" s="1">
        <v>42781</v>
      </c>
      <c r="J553" s="1" t="str">
        <f>TEXT(Employee_Sample_Data_1[[#This Row],[Hire Date]], "dddd")</f>
        <v>Wednesday</v>
      </c>
      <c r="K553" s="1" t="str">
        <f>TEXT(Employee_Sample_Data_1[[#This Row],[Hire Date]], "mmmm")</f>
        <v>February</v>
      </c>
      <c r="L553" s="1" t="str">
        <f>TEXT(Employee_Sample_Data_1[[#This Row],[Hire Date]], "yyyy")</f>
        <v>2017</v>
      </c>
      <c r="M553" s="2">
        <v>101637</v>
      </c>
      <c r="N553" s="3">
        <v>0</v>
      </c>
      <c r="O553" s="9">
        <f>PRODUCT(Employee_Sample_Data_1[[#This Row],[Annual Salary]],Employee_Sample_Data_1[[#This Row],[Bonus %]])</f>
        <v>0</v>
      </c>
      <c r="P553" s="2">
        <f>ROUND(Employee_Sample_Data_1[[#This Row],[Annual Salary]]*(1+Employee_Sample_Data_1[[#This Row],[Bonus %]]), 0)</f>
        <v>101637</v>
      </c>
      <c r="Q553" t="s">
        <v>21</v>
      </c>
      <c r="R553" t="s">
        <v>28</v>
      </c>
      <c r="S553" s="1">
        <v>43825</v>
      </c>
      <c r="T553">
        <f ca="1">DATEDIF(Employee_Sample_Data_1[[#This Row],[Hire Date]], IF(Employee_Sample_Data_1[[#This Row],[Exit Date]] = "", TODAY(), Employee_Sample_Data_1[[#This Row],[Exit Date]]), "Y")</f>
        <v>2</v>
      </c>
    </row>
    <row r="554" spans="1:20" x14ac:dyDescent="0.25">
      <c r="A554" t="s">
        <v>1183</v>
      </c>
      <c r="B554" t="s">
        <v>1184</v>
      </c>
      <c r="C554" t="s">
        <v>66</v>
      </c>
      <c r="D554" t="s">
        <v>77</v>
      </c>
      <c r="E554" t="s">
        <v>53</v>
      </c>
      <c r="F554" t="s">
        <v>39</v>
      </c>
      <c r="G554" t="s">
        <v>40</v>
      </c>
      <c r="H554">
        <v>30</v>
      </c>
      <c r="I554" s="1">
        <v>43097</v>
      </c>
      <c r="J554" s="1" t="str">
        <f>TEXT(Employee_Sample_Data_1[[#This Row],[Hire Date]], "dddd")</f>
        <v>Thursday</v>
      </c>
      <c r="K554" s="1" t="str">
        <f>TEXT(Employee_Sample_Data_1[[#This Row],[Hire Date]], "mmmm")</f>
        <v>December</v>
      </c>
      <c r="L554" s="1" t="str">
        <f>TEXT(Employee_Sample_Data_1[[#This Row],[Hire Date]], "yyyy")</f>
        <v>2017</v>
      </c>
      <c r="M554" s="2">
        <v>103646</v>
      </c>
      <c r="N554" s="3">
        <v>7.0000000000000007E-2</v>
      </c>
      <c r="O554" s="9">
        <f>PRODUCT(Employee_Sample_Data_1[[#This Row],[Annual Salary]],Employee_Sample_Data_1[[#This Row],[Bonus %]])</f>
        <v>7255.22</v>
      </c>
      <c r="P554" s="2">
        <f>ROUND(Employee_Sample_Data_1[[#This Row],[Annual Salary]]*(1+Employee_Sample_Data_1[[#This Row],[Bonus %]]), 0)</f>
        <v>110901</v>
      </c>
      <c r="Q554" t="s">
        <v>21</v>
      </c>
      <c r="R554" t="s">
        <v>48</v>
      </c>
      <c r="T554">
        <f ca="1">DATEDIF(Employee_Sample_Data_1[[#This Row],[Hire Date]], IF(Employee_Sample_Data_1[[#This Row],[Exit Date]] = "", TODAY(), Employee_Sample_Data_1[[#This Row],[Exit Date]]), "Y")</f>
        <v>8</v>
      </c>
    </row>
    <row r="555" spans="1:20" x14ac:dyDescent="0.25">
      <c r="A555" t="s">
        <v>1185</v>
      </c>
      <c r="B555" t="s">
        <v>1186</v>
      </c>
      <c r="C555" t="s">
        <v>195</v>
      </c>
      <c r="D555" t="s">
        <v>17</v>
      </c>
      <c r="E555" t="s">
        <v>18</v>
      </c>
      <c r="F555" t="s">
        <v>19</v>
      </c>
      <c r="G555" t="s">
        <v>63</v>
      </c>
      <c r="H555">
        <v>46</v>
      </c>
      <c r="I555" s="1">
        <v>40230</v>
      </c>
      <c r="J555" s="1" t="str">
        <f>TEXT(Employee_Sample_Data_1[[#This Row],[Hire Date]], "dddd")</f>
        <v>Sunday</v>
      </c>
      <c r="K555" s="1" t="str">
        <f>TEXT(Employee_Sample_Data_1[[#This Row],[Hire Date]], "mmmm")</f>
        <v>February</v>
      </c>
      <c r="L555" s="1" t="str">
        <f>TEXT(Employee_Sample_Data_1[[#This Row],[Hire Date]], "yyyy")</f>
        <v>2010</v>
      </c>
      <c r="M555" s="2">
        <v>100757</v>
      </c>
      <c r="N555" s="3">
        <v>0</v>
      </c>
      <c r="O555" s="9">
        <f>PRODUCT(Employee_Sample_Data_1[[#This Row],[Annual Salary]],Employee_Sample_Data_1[[#This Row],[Bonus %]])</f>
        <v>0</v>
      </c>
      <c r="P555" s="2">
        <f>ROUND(Employee_Sample_Data_1[[#This Row],[Annual Salary]]*(1+Employee_Sample_Data_1[[#This Row],[Bonus %]]), 0)</f>
        <v>100757</v>
      </c>
      <c r="Q555" t="s">
        <v>21</v>
      </c>
      <c r="R555" t="s">
        <v>28</v>
      </c>
      <c r="T555">
        <f ca="1">DATEDIF(Employee_Sample_Data_1[[#This Row],[Hire Date]], IF(Employee_Sample_Data_1[[#This Row],[Exit Date]] = "", TODAY(), Employee_Sample_Data_1[[#This Row],[Exit Date]]), "Y")</f>
        <v>16</v>
      </c>
    </row>
    <row r="556" spans="1:20" x14ac:dyDescent="0.25">
      <c r="A556" t="s">
        <v>1187</v>
      </c>
      <c r="B556" t="s">
        <v>1188</v>
      </c>
      <c r="C556" t="s">
        <v>31</v>
      </c>
      <c r="D556" t="s">
        <v>32</v>
      </c>
      <c r="E556" t="s">
        <v>53</v>
      </c>
      <c r="F556" t="s">
        <v>19</v>
      </c>
      <c r="G556" t="s">
        <v>63</v>
      </c>
      <c r="H556">
        <v>47</v>
      </c>
      <c r="I556" s="1">
        <v>39725</v>
      </c>
      <c r="J556" s="1" t="str">
        <f>TEXT(Employee_Sample_Data_1[[#This Row],[Hire Date]], "dddd")</f>
        <v>Saturday</v>
      </c>
      <c r="K556" s="1" t="str">
        <f>TEXT(Employee_Sample_Data_1[[#This Row],[Hire Date]], "mmmm")</f>
        <v>October</v>
      </c>
      <c r="L556" s="1" t="str">
        <f>TEXT(Employee_Sample_Data_1[[#This Row],[Hire Date]], "yyyy")</f>
        <v>2008</v>
      </c>
      <c r="M556" s="2">
        <v>60963</v>
      </c>
      <c r="N556" s="3">
        <v>0</v>
      </c>
      <c r="O556" s="9">
        <f>PRODUCT(Employee_Sample_Data_1[[#This Row],[Annual Salary]],Employee_Sample_Data_1[[#This Row],[Bonus %]])</f>
        <v>0</v>
      </c>
      <c r="P556" s="2">
        <f>ROUND(Employee_Sample_Data_1[[#This Row],[Annual Salary]]*(1+Employee_Sample_Data_1[[#This Row],[Bonus %]]), 0)</f>
        <v>60963</v>
      </c>
      <c r="Q556" t="s">
        <v>21</v>
      </c>
      <c r="R556" t="s">
        <v>41</v>
      </c>
      <c r="T556">
        <f ca="1">DATEDIF(Employee_Sample_Data_1[[#This Row],[Hire Date]], IF(Employee_Sample_Data_1[[#This Row],[Exit Date]] = "", TODAY(), Employee_Sample_Data_1[[#This Row],[Exit Date]]), "Y")</f>
        <v>17</v>
      </c>
    </row>
    <row r="557" spans="1:20" x14ac:dyDescent="0.25">
      <c r="A557" t="s">
        <v>1189</v>
      </c>
      <c r="B557" t="s">
        <v>1190</v>
      </c>
      <c r="C557" t="s">
        <v>86</v>
      </c>
      <c r="D557" t="s">
        <v>17</v>
      </c>
      <c r="E557" t="s">
        <v>18</v>
      </c>
      <c r="F557" t="s">
        <v>19</v>
      </c>
      <c r="G557" t="s">
        <v>63</v>
      </c>
      <c r="H557">
        <v>53</v>
      </c>
      <c r="I557" s="1">
        <v>40781</v>
      </c>
      <c r="J557" s="1" t="str">
        <f>TEXT(Employee_Sample_Data_1[[#This Row],[Hire Date]], "dddd")</f>
        <v>Friday</v>
      </c>
      <c r="K557" s="1" t="str">
        <f>TEXT(Employee_Sample_Data_1[[#This Row],[Hire Date]], "mmmm")</f>
        <v>August</v>
      </c>
      <c r="L557" s="1" t="str">
        <f>TEXT(Employee_Sample_Data_1[[#This Row],[Hire Date]], "yyyy")</f>
        <v>2011</v>
      </c>
      <c r="M557" s="2">
        <v>258734</v>
      </c>
      <c r="N557" s="3">
        <v>0.34</v>
      </c>
      <c r="O557" s="9">
        <f>PRODUCT(Employee_Sample_Data_1[[#This Row],[Annual Salary]],Employee_Sample_Data_1[[#This Row],[Bonus %]])</f>
        <v>87969.560000000012</v>
      </c>
      <c r="P557" s="2">
        <f>ROUND(Employee_Sample_Data_1[[#This Row],[Annual Salary]]*(1+Employee_Sample_Data_1[[#This Row],[Bonus %]]), 0)</f>
        <v>346704</v>
      </c>
      <c r="Q557" t="s">
        <v>21</v>
      </c>
      <c r="R557" t="s">
        <v>41</v>
      </c>
      <c r="T557">
        <f ca="1">DATEDIF(Employee_Sample_Data_1[[#This Row],[Hire Date]], IF(Employee_Sample_Data_1[[#This Row],[Exit Date]] = "", TODAY(), Employee_Sample_Data_1[[#This Row],[Exit Date]]), "Y")</f>
        <v>14</v>
      </c>
    </row>
    <row r="558" spans="1:20" x14ac:dyDescent="0.25">
      <c r="A558" t="s">
        <v>1191</v>
      </c>
      <c r="B558" t="s">
        <v>1192</v>
      </c>
      <c r="C558" t="s">
        <v>161</v>
      </c>
      <c r="D558" t="s">
        <v>32</v>
      </c>
      <c r="E558" t="s">
        <v>53</v>
      </c>
      <c r="F558" t="s">
        <v>19</v>
      </c>
      <c r="G558" t="s">
        <v>20</v>
      </c>
      <c r="H558">
        <v>38</v>
      </c>
      <c r="I558" s="1">
        <v>44462</v>
      </c>
      <c r="J558" s="1" t="str">
        <f>TEXT(Employee_Sample_Data_1[[#This Row],[Hire Date]], "dddd")</f>
        <v>Thursday</v>
      </c>
      <c r="K558" s="1" t="str">
        <f>TEXT(Employee_Sample_Data_1[[#This Row],[Hire Date]], "mmmm")</f>
        <v>September</v>
      </c>
      <c r="L558" s="1" t="str">
        <f>TEXT(Employee_Sample_Data_1[[#This Row],[Hire Date]], "yyyy")</f>
        <v>2021</v>
      </c>
      <c r="M558" s="2">
        <v>70612</v>
      </c>
      <c r="N558" s="3">
        <v>0</v>
      </c>
      <c r="O558" s="9">
        <f>PRODUCT(Employee_Sample_Data_1[[#This Row],[Annual Salary]],Employee_Sample_Data_1[[#This Row],[Bonus %]])</f>
        <v>0</v>
      </c>
      <c r="P558" s="2">
        <f>ROUND(Employee_Sample_Data_1[[#This Row],[Annual Salary]]*(1+Employee_Sample_Data_1[[#This Row],[Bonus %]]), 0)</f>
        <v>70612</v>
      </c>
      <c r="Q558" t="s">
        <v>34</v>
      </c>
      <c r="R558" t="s">
        <v>54</v>
      </c>
      <c r="T558">
        <f ca="1">DATEDIF(Employee_Sample_Data_1[[#This Row],[Hire Date]], IF(Employee_Sample_Data_1[[#This Row],[Exit Date]] = "", TODAY(), Employee_Sample_Data_1[[#This Row],[Exit Date]]), "Y")</f>
        <v>4</v>
      </c>
    </row>
    <row r="559" spans="1:20" x14ac:dyDescent="0.25">
      <c r="A559" t="s">
        <v>1193</v>
      </c>
      <c r="B559" t="s">
        <v>1194</v>
      </c>
      <c r="C559" t="s">
        <v>91</v>
      </c>
      <c r="D559" t="s">
        <v>32</v>
      </c>
      <c r="E559" t="s">
        <v>33</v>
      </c>
      <c r="F559" t="s">
        <v>19</v>
      </c>
      <c r="G559" t="s">
        <v>20</v>
      </c>
      <c r="H559">
        <v>65</v>
      </c>
      <c r="I559" s="1">
        <v>34147</v>
      </c>
      <c r="J559" s="1" t="str">
        <f>TEXT(Employee_Sample_Data_1[[#This Row],[Hire Date]], "dddd")</f>
        <v>Sunday</v>
      </c>
      <c r="K559" s="1" t="str">
        <f>TEXT(Employee_Sample_Data_1[[#This Row],[Hire Date]], "mmmm")</f>
        <v>June</v>
      </c>
      <c r="L559" s="1" t="str">
        <f>TEXT(Employee_Sample_Data_1[[#This Row],[Hire Date]], "yyyy")</f>
        <v>1993</v>
      </c>
      <c r="M559" s="2">
        <v>77065</v>
      </c>
      <c r="N559" s="3">
        <v>0</v>
      </c>
      <c r="O559" s="9">
        <f>PRODUCT(Employee_Sample_Data_1[[#This Row],[Annual Salary]],Employee_Sample_Data_1[[#This Row],[Bonus %]])</f>
        <v>0</v>
      </c>
      <c r="P559" s="2">
        <f>ROUND(Employee_Sample_Data_1[[#This Row],[Annual Salary]]*(1+Employee_Sample_Data_1[[#This Row],[Bonus %]]), 0)</f>
        <v>77065</v>
      </c>
      <c r="Q559" t="s">
        <v>21</v>
      </c>
      <c r="R559" t="s">
        <v>41</v>
      </c>
      <c r="T559">
        <f ca="1">DATEDIF(Employee_Sample_Data_1[[#This Row],[Hire Date]], IF(Employee_Sample_Data_1[[#This Row],[Exit Date]] = "", TODAY(), Employee_Sample_Data_1[[#This Row],[Exit Date]]), "Y")</f>
        <v>32</v>
      </c>
    </row>
    <row r="560" spans="1:20" x14ac:dyDescent="0.25">
      <c r="A560" t="s">
        <v>1195</v>
      </c>
      <c r="B560" t="s">
        <v>1196</v>
      </c>
      <c r="C560" t="s">
        <v>405</v>
      </c>
      <c r="D560" t="s">
        <v>17</v>
      </c>
      <c r="E560" t="s">
        <v>53</v>
      </c>
      <c r="F560" t="s">
        <v>39</v>
      </c>
      <c r="G560" t="s">
        <v>40</v>
      </c>
      <c r="H560">
        <v>58</v>
      </c>
      <c r="I560" s="1">
        <v>39386</v>
      </c>
      <c r="J560" s="1" t="str">
        <f>TEXT(Employee_Sample_Data_1[[#This Row],[Hire Date]], "dddd")</f>
        <v>Wednesday</v>
      </c>
      <c r="K560" s="1" t="str">
        <f>TEXT(Employee_Sample_Data_1[[#This Row],[Hire Date]], "mmmm")</f>
        <v>October</v>
      </c>
      <c r="L560" s="1" t="str">
        <f>TEXT(Employee_Sample_Data_1[[#This Row],[Hire Date]], "yyyy")</f>
        <v>2007</v>
      </c>
      <c r="M560" s="2">
        <v>96256</v>
      </c>
      <c r="N560" s="3">
        <v>0</v>
      </c>
      <c r="O560" s="9">
        <f>PRODUCT(Employee_Sample_Data_1[[#This Row],[Annual Salary]],Employee_Sample_Data_1[[#This Row],[Bonus %]])</f>
        <v>0</v>
      </c>
      <c r="P560" s="2">
        <f>ROUND(Employee_Sample_Data_1[[#This Row],[Annual Salary]]*(1+Employee_Sample_Data_1[[#This Row],[Bonus %]]), 0)</f>
        <v>96256</v>
      </c>
      <c r="Q560" t="s">
        <v>21</v>
      </c>
      <c r="R560" t="s">
        <v>28</v>
      </c>
      <c r="T560">
        <f ca="1">DATEDIF(Employee_Sample_Data_1[[#This Row],[Hire Date]], IF(Employee_Sample_Data_1[[#This Row],[Exit Date]] = "", TODAY(), Employee_Sample_Data_1[[#This Row],[Exit Date]]), "Y")</f>
        <v>18</v>
      </c>
    </row>
    <row r="561" spans="1:20" x14ac:dyDescent="0.25">
      <c r="A561" t="s">
        <v>1197</v>
      </c>
      <c r="B561" t="s">
        <v>1198</v>
      </c>
      <c r="C561" t="s">
        <v>57</v>
      </c>
      <c r="D561" t="s">
        <v>52</v>
      </c>
      <c r="E561" t="s">
        <v>18</v>
      </c>
      <c r="F561" t="s">
        <v>39</v>
      </c>
      <c r="G561" t="s">
        <v>20</v>
      </c>
      <c r="H561">
        <v>36</v>
      </c>
      <c r="I561" s="1">
        <v>40676</v>
      </c>
      <c r="J561" s="1" t="str">
        <f>TEXT(Employee_Sample_Data_1[[#This Row],[Hire Date]], "dddd")</f>
        <v>Friday</v>
      </c>
      <c r="K561" s="1" t="str">
        <f>TEXT(Employee_Sample_Data_1[[#This Row],[Hire Date]], "mmmm")</f>
        <v>May</v>
      </c>
      <c r="L561" s="1" t="str">
        <f>TEXT(Employee_Sample_Data_1[[#This Row],[Hire Date]], "yyyy")</f>
        <v>2011</v>
      </c>
      <c r="M561" s="2">
        <v>65794</v>
      </c>
      <c r="N561" s="3">
        <v>0</v>
      </c>
      <c r="O561" s="9">
        <f>PRODUCT(Employee_Sample_Data_1[[#This Row],[Annual Salary]],Employee_Sample_Data_1[[#This Row],[Bonus %]])</f>
        <v>0</v>
      </c>
      <c r="P561" s="2">
        <f>ROUND(Employee_Sample_Data_1[[#This Row],[Annual Salary]]*(1+Employee_Sample_Data_1[[#This Row],[Bonus %]]), 0)</f>
        <v>65794</v>
      </c>
      <c r="Q561" t="s">
        <v>21</v>
      </c>
      <c r="R561" t="s">
        <v>45</v>
      </c>
      <c r="T561">
        <f ca="1">DATEDIF(Employee_Sample_Data_1[[#This Row],[Hire Date]], IF(Employee_Sample_Data_1[[#This Row],[Exit Date]] = "", TODAY(), Employee_Sample_Data_1[[#This Row],[Exit Date]]), "Y")</f>
        <v>15</v>
      </c>
    </row>
    <row r="562" spans="1:20" x14ac:dyDescent="0.25">
      <c r="A562" t="s">
        <v>1199</v>
      </c>
      <c r="B562" t="s">
        <v>1200</v>
      </c>
      <c r="C562" t="s">
        <v>25</v>
      </c>
      <c r="D562" t="s">
        <v>52</v>
      </c>
      <c r="E562" t="s">
        <v>33</v>
      </c>
      <c r="F562" t="s">
        <v>39</v>
      </c>
      <c r="G562" t="s">
        <v>20</v>
      </c>
      <c r="H562">
        <v>45</v>
      </c>
      <c r="I562" s="1">
        <v>42239</v>
      </c>
      <c r="J562" s="1" t="str">
        <f>TEXT(Employee_Sample_Data_1[[#This Row],[Hire Date]], "dddd")</f>
        <v>Sunday</v>
      </c>
      <c r="K562" s="1" t="str">
        <f>TEXT(Employee_Sample_Data_1[[#This Row],[Hire Date]], "mmmm")</f>
        <v>August</v>
      </c>
      <c r="L562" s="1" t="str">
        <f>TEXT(Employee_Sample_Data_1[[#This Row],[Hire Date]], "yyyy")</f>
        <v>2015</v>
      </c>
      <c r="M562" s="2">
        <v>48491</v>
      </c>
      <c r="N562" s="3">
        <v>0</v>
      </c>
      <c r="O562" s="9">
        <f>PRODUCT(Employee_Sample_Data_1[[#This Row],[Annual Salary]],Employee_Sample_Data_1[[#This Row],[Bonus %]])</f>
        <v>0</v>
      </c>
      <c r="P562" s="2">
        <f>ROUND(Employee_Sample_Data_1[[#This Row],[Annual Salary]]*(1+Employee_Sample_Data_1[[#This Row],[Bonus %]]), 0)</f>
        <v>48491</v>
      </c>
      <c r="Q562" t="s">
        <v>21</v>
      </c>
      <c r="R562" t="s">
        <v>45</v>
      </c>
      <c r="S562" s="1">
        <v>42285</v>
      </c>
      <c r="T562">
        <f ca="1">DATEDIF(Employee_Sample_Data_1[[#This Row],[Hire Date]], IF(Employee_Sample_Data_1[[#This Row],[Exit Date]] = "", TODAY(), Employee_Sample_Data_1[[#This Row],[Exit Date]]), "Y")</f>
        <v>0</v>
      </c>
    </row>
    <row r="563" spans="1:20" x14ac:dyDescent="0.25">
      <c r="A563" t="s">
        <v>1201</v>
      </c>
      <c r="B563" t="s">
        <v>1202</v>
      </c>
      <c r="C563" t="s">
        <v>433</v>
      </c>
      <c r="D563" t="s">
        <v>17</v>
      </c>
      <c r="E563" t="s">
        <v>33</v>
      </c>
      <c r="F563" t="s">
        <v>19</v>
      </c>
      <c r="G563" t="s">
        <v>40</v>
      </c>
      <c r="H563">
        <v>34</v>
      </c>
      <c r="I563" s="1">
        <v>43684</v>
      </c>
      <c r="J563" s="1" t="str">
        <f>TEXT(Employee_Sample_Data_1[[#This Row],[Hire Date]], "dddd")</f>
        <v>Wednesday</v>
      </c>
      <c r="K563" s="1" t="str">
        <f>TEXT(Employee_Sample_Data_1[[#This Row],[Hire Date]], "mmmm")</f>
        <v>August</v>
      </c>
      <c r="L563" s="1" t="str">
        <f>TEXT(Employee_Sample_Data_1[[#This Row],[Hire Date]], "yyyy")</f>
        <v>2019</v>
      </c>
      <c r="M563" s="2">
        <v>83220</v>
      </c>
      <c r="N563" s="3">
        <v>0</v>
      </c>
      <c r="O563" s="9">
        <f>PRODUCT(Employee_Sample_Data_1[[#This Row],[Annual Salary]],Employee_Sample_Data_1[[#This Row],[Bonus %]])</f>
        <v>0</v>
      </c>
      <c r="P563" s="2">
        <f>ROUND(Employee_Sample_Data_1[[#This Row],[Annual Salary]]*(1+Employee_Sample_Data_1[[#This Row],[Bonus %]]), 0)</f>
        <v>83220</v>
      </c>
      <c r="Q563" t="s">
        <v>21</v>
      </c>
      <c r="R563" t="s">
        <v>28</v>
      </c>
      <c r="T563">
        <f ca="1">DATEDIF(Employee_Sample_Data_1[[#This Row],[Hire Date]], IF(Employee_Sample_Data_1[[#This Row],[Exit Date]] = "", TODAY(), Employee_Sample_Data_1[[#This Row],[Exit Date]]), "Y")</f>
        <v>6</v>
      </c>
    </row>
    <row r="564" spans="1:20" x14ac:dyDescent="0.25">
      <c r="A564" t="s">
        <v>1203</v>
      </c>
      <c r="B564" t="s">
        <v>1204</v>
      </c>
      <c r="C564" t="s">
        <v>244</v>
      </c>
      <c r="D564" t="s">
        <v>123</v>
      </c>
      <c r="E564" t="s">
        <v>33</v>
      </c>
      <c r="F564" t="s">
        <v>39</v>
      </c>
      <c r="G564" t="s">
        <v>20</v>
      </c>
      <c r="H564">
        <v>37</v>
      </c>
      <c r="I564" s="1">
        <v>40241</v>
      </c>
      <c r="J564" s="1" t="str">
        <f>TEXT(Employee_Sample_Data_1[[#This Row],[Hire Date]], "dddd")</f>
        <v>Thursday</v>
      </c>
      <c r="K564" s="1" t="str">
        <f>TEXT(Employee_Sample_Data_1[[#This Row],[Hire Date]], "mmmm")</f>
        <v>March</v>
      </c>
      <c r="L564" s="1" t="str">
        <f>TEXT(Employee_Sample_Data_1[[#This Row],[Hire Date]], "yyyy")</f>
        <v>2010</v>
      </c>
      <c r="M564" s="2">
        <v>61680</v>
      </c>
      <c r="N564" s="3">
        <v>0</v>
      </c>
      <c r="O564" s="9">
        <f>PRODUCT(Employee_Sample_Data_1[[#This Row],[Annual Salary]],Employee_Sample_Data_1[[#This Row],[Bonus %]])</f>
        <v>0</v>
      </c>
      <c r="P564" s="2">
        <f>ROUND(Employee_Sample_Data_1[[#This Row],[Annual Salary]]*(1+Employee_Sample_Data_1[[#This Row],[Bonus %]]), 0)</f>
        <v>61680</v>
      </c>
      <c r="Q564" t="s">
        <v>34</v>
      </c>
      <c r="R564" t="s">
        <v>108</v>
      </c>
      <c r="S564" s="1">
        <v>42159</v>
      </c>
      <c r="T564">
        <f ca="1">DATEDIF(Employee_Sample_Data_1[[#This Row],[Hire Date]], IF(Employee_Sample_Data_1[[#This Row],[Exit Date]] = "", TODAY(), Employee_Sample_Data_1[[#This Row],[Exit Date]]), "Y")</f>
        <v>5</v>
      </c>
    </row>
    <row r="565" spans="1:20" x14ac:dyDescent="0.25">
      <c r="A565" t="s">
        <v>1205</v>
      </c>
      <c r="B565" t="s">
        <v>1206</v>
      </c>
      <c r="C565" t="s">
        <v>51</v>
      </c>
      <c r="D565" t="s">
        <v>26</v>
      </c>
      <c r="E565" t="s">
        <v>18</v>
      </c>
      <c r="F565" t="s">
        <v>19</v>
      </c>
      <c r="G565" t="s">
        <v>20</v>
      </c>
      <c r="H565">
        <v>43</v>
      </c>
      <c r="I565" s="1">
        <v>44478</v>
      </c>
      <c r="J565" s="1" t="str">
        <f>TEXT(Employee_Sample_Data_1[[#This Row],[Hire Date]], "dddd")</f>
        <v>Saturday</v>
      </c>
      <c r="K565" s="1" t="str">
        <f>TEXT(Employee_Sample_Data_1[[#This Row],[Hire Date]], "mmmm")</f>
        <v>October</v>
      </c>
      <c r="L565" s="1" t="str">
        <f>TEXT(Employee_Sample_Data_1[[#This Row],[Hire Date]], "yyyy")</f>
        <v>2021</v>
      </c>
      <c r="M565" s="2">
        <v>72482</v>
      </c>
      <c r="N565" s="3">
        <v>0</v>
      </c>
      <c r="O565" s="9">
        <f>PRODUCT(Employee_Sample_Data_1[[#This Row],[Annual Salary]],Employee_Sample_Data_1[[#This Row],[Bonus %]])</f>
        <v>0</v>
      </c>
      <c r="P565" s="2">
        <f>ROUND(Employee_Sample_Data_1[[#This Row],[Annual Salary]]*(1+Employee_Sample_Data_1[[#This Row],[Bonus %]]), 0)</f>
        <v>72482</v>
      </c>
      <c r="Q565" t="s">
        <v>21</v>
      </c>
      <c r="R565" t="s">
        <v>28</v>
      </c>
      <c r="T565">
        <f ca="1">DATEDIF(Employee_Sample_Data_1[[#This Row],[Hire Date]], IF(Employee_Sample_Data_1[[#This Row],[Exit Date]] = "", TODAY(), Employee_Sample_Data_1[[#This Row],[Exit Date]]), "Y")</f>
        <v>4</v>
      </c>
    </row>
    <row r="566" spans="1:20" x14ac:dyDescent="0.25">
      <c r="A566" t="s">
        <v>1207</v>
      </c>
      <c r="B566" t="s">
        <v>1208</v>
      </c>
      <c r="C566" t="s">
        <v>405</v>
      </c>
      <c r="D566" t="s">
        <v>17</v>
      </c>
      <c r="E566" t="s">
        <v>33</v>
      </c>
      <c r="F566" t="s">
        <v>19</v>
      </c>
      <c r="G566" t="s">
        <v>40</v>
      </c>
      <c r="H566">
        <v>27</v>
      </c>
      <c r="I566" s="1">
        <v>44599</v>
      </c>
      <c r="J566" s="1" t="str">
        <f>TEXT(Employee_Sample_Data_1[[#This Row],[Hire Date]], "dddd")</f>
        <v>Monday</v>
      </c>
      <c r="K566" s="1" t="str">
        <f>TEXT(Employee_Sample_Data_1[[#This Row],[Hire Date]], "mmmm")</f>
        <v>February</v>
      </c>
      <c r="L566" s="1" t="str">
        <f>TEXT(Employee_Sample_Data_1[[#This Row],[Hire Date]], "yyyy")</f>
        <v>2022</v>
      </c>
      <c r="M566" s="2">
        <v>81713</v>
      </c>
      <c r="N566" s="3">
        <v>0</v>
      </c>
      <c r="O566" s="9">
        <f>PRODUCT(Employee_Sample_Data_1[[#This Row],[Annual Salary]],Employee_Sample_Data_1[[#This Row],[Bonus %]])</f>
        <v>0</v>
      </c>
      <c r="P566" s="2">
        <f>ROUND(Employee_Sample_Data_1[[#This Row],[Annual Salary]]*(1+Employee_Sample_Data_1[[#This Row],[Bonus %]]), 0)</f>
        <v>81713</v>
      </c>
      <c r="Q566" t="s">
        <v>134</v>
      </c>
      <c r="R566" t="s">
        <v>135</v>
      </c>
      <c r="T566">
        <f ca="1">DATEDIF(Employee_Sample_Data_1[[#This Row],[Hire Date]], IF(Employee_Sample_Data_1[[#This Row],[Exit Date]] = "", TODAY(), Employee_Sample_Data_1[[#This Row],[Exit Date]]), "Y")</f>
        <v>4</v>
      </c>
    </row>
    <row r="567" spans="1:20" x14ac:dyDescent="0.25">
      <c r="A567" t="s">
        <v>1209</v>
      </c>
      <c r="B567" t="s">
        <v>1210</v>
      </c>
      <c r="C567" t="s">
        <v>57</v>
      </c>
      <c r="D567" t="s">
        <v>26</v>
      </c>
      <c r="E567" t="s">
        <v>18</v>
      </c>
      <c r="F567" t="s">
        <v>19</v>
      </c>
      <c r="G567" t="s">
        <v>40</v>
      </c>
      <c r="H567">
        <v>38</v>
      </c>
      <c r="I567" s="1">
        <v>44534</v>
      </c>
      <c r="J567" s="1" t="str">
        <f>TEXT(Employee_Sample_Data_1[[#This Row],[Hire Date]], "dddd")</f>
        <v>Saturday</v>
      </c>
      <c r="K567" s="1" t="str">
        <f>TEXT(Employee_Sample_Data_1[[#This Row],[Hire Date]], "mmmm")</f>
        <v>December</v>
      </c>
      <c r="L567" s="1" t="str">
        <f>TEXT(Employee_Sample_Data_1[[#This Row],[Hire Date]], "yyyy")</f>
        <v>2021</v>
      </c>
      <c r="M567" s="2">
        <v>68281</v>
      </c>
      <c r="N567" s="3">
        <v>0</v>
      </c>
      <c r="O567" s="9">
        <f>PRODUCT(Employee_Sample_Data_1[[#This Row],[Annual Salary]],Employee_Sample_Data_1[[#This Row],[Bonus %]])</f>
        <v>0</v>
      </c>
      <c r="P567" s="2">
        <f>ROUND(Employee_Sample_Data_1[[#This Row],[Annual Salary]]*(1+Employee_Sample_Data_1[[#This Row],[Bonus %]]), 0)</f>
        <v>68281</v>
      </c>
      <c r="Q567" t="s">
        <v>21</v>
      </c>
      <c r="R567" t="s">
        <v>67</v>
      </c>
      <c r="S567" s="1">
        <v>44629</v>
      </c>
      <c r="T567">
        <f ca="1">DATEDIF(Employee_Sample_Data_1[[#This Row],[Hire Date]], IF(Employee_Sample_Data_1[[#This Row],[Exit Date]] = "", TODAY(), Employee_Sample_Data_1[[#This Row],[Exit Date]]), "Y")</f>
        <v>0</v>
      </c>
    </row>
    <row r="568" spans="1:20" x14ac:dyDescent="0.25">
      <c r="A568" t="s">
        <v>1211</v>
      </c>
      <c r="B568" t="s">
        <v>1212</v>
      </c>
      <c r="C568" t="s">
        <v>161</v>
      </c>
      <c r="D568" t="s">
        <v>32</v>
      </c>
      <c r="E568" t="s">
        <v>27</v>
      </c>
      <c r="F568" t="s">
        <v>39</v>
      </c>
      <c r="G568" t="s">
        <v>63</v>
      </c>
      <c r="H568">
        <v>60</v>
      </c>
      <c r="I568" s="1">
        <v>34222</v>
      </c>
      <c r="J568" s="1" t="str">
        <f>TEXT(Employee_Sample_Data_1[[#This Row],[Hire Date]], "dddd")</f>
        <v>Friday</v>
      </c>
      <c r="K568" s="1" t="str">
        <f>TEXT(Employee_Sample_Data_1[[#This Row],[Hire Date]], "mmmm")</f>
        <v>September</v>
      </c>
      <c r="L568" s="1" t="str">
        <f>TEXT(Employee_Sample_Data_1[[#This Row],[Hire Date]], "yyyy")</f>
        <v>1993</v>
      </c>
      <c r="M568" s="2">
        <v>63979</v>
      </c>
      <c r="N568" s="3">
        <v>0</v>
      </c>
      <c r="O568" s="9">
        <f>PRODUCT(Employee_Sample_Data_1[[#This Row],[Annual Salary]],Employee_Sample_Data_1[[#This Row],[Bonus %]])</f>
        <v>0</v>
      </c>
      <c r="P568" s="2">
        <f>ROUND(Employee_Sample_Data_1[[#This Row],[Annual Salary]]*(1+Employee_Sample_Data_1[[#This Row],[Bonus %]]), 0)</f>
        <v>63979</v>
      </c>
      <c r="Q568" t="s">
        <v>21</v>
      </c>
      <c r="R568" t="s">
        <v>67</v>
      </c>
      <c r="T568">
        <f ca="1">DATEDIF(Employee_Sample_Data_1[[#This Row],[Hire Date]], IF(Employee_Sample_Data_1[[#This Row],[Exit Date]] = "", TODAY(), Employee_Sample_Data_1[[#This Row],[Exit Date]]), "Y")</f>
        <v>32</v>
      </c>
    </row>
    <row r="569" spans="1:20" x14ac:dyDescent="0.25">
      <c r="A569" t="s">
        <v>1213</v>
      </c>
      <c r="B569" t="s">
        <v>1214</v>
      </c>
      <c r="C569" t="s">
        <v>128</v>
      </c>
      <c r="D569" t="s">
        <v>123</v>
      </c>
      <c r="E569" t="s">
        <v>27</v>
      </c>
      <c r="F569" t="s">
        <v>19</v>
      </c>
      <c r="G569" t="s">
        <v>20</v>
      </c>
      <c r="H569">
        <v>29</v>
      </c>
      <c r="I569" s="1">
        <v>43058</v>
      </c>
      <c r="J569" s="1" t="str">
        <f>TEXT(Employee_Sample_Data_1[[#This Row],[Hire Date]], "dddd")</f>
        <v>Sunday</v>
      </c>
      <c r="K569" s="1" t="str">
        <f>TEXT(Employee_Sample_Data_1[[#This Row],[Hire Date]], "mmmm")</f>
        <v>November</v>
      </c>
      <c r="L569" s="1" t="str">
        <f>TEXT(Employee_Sample_Data_1[[#This Row],[Hire Date]], "yyyy")</f>
        <v>2017</v>
      </c>
      <c r="M569" s="2">
        <v>53090</v>
      </c>
      <c r="N569" s="3">
        <v>0</v>
      </c>
      <c r="O569" s="9">
        <f>PRODUCT(Employee_Sample_Data_1[[#This Row],[Annual Salary]],Employee_Sample_Data_1[[#This Row],[Bonus %]])</f>
        <v>0</v>
      </c>
      <c r="P569" s="2">
        <f>ROUND(Employee_Sample_Data_1[[#This Row],[Annual Salary]]*(1+Employee_Sample_Data_1[[#This Row],[Bonus %]]), 0)</f>
        <v>53090</v>
      </c>
      <c r="Q569" t="s">
        <v>21</v>
      </c>
      <c r="R569" t="s">
        <v>67</v>
      </c>
      <c r="T569">
        <f ca="1">DATEDIF(Employee_Sample_Data_1[[#This Row],[Hire Date]], IF(Employee_Sample_Data_1[[#This Row],[Exit Date]] = "", TODAY(), Employee_Sample_Data_1[[#This Row],[Exit Date]]), "Y")</f>
        <v>8</v>
      </c>
    </row>
    <row r="570" spans="1:20" x14ac:dyDescent="0.25">
      <c r="A570" t="s">
        <v>1215</v>
      </c>
      <c r="B570" t="s">
        <v>1216</v>
      </c>
      <c r="C570" t="s">
        <v>66</v>
      </c>
      <c r="D570" t="s">
        <v>26</v>
      </c>
      <c r="E570" t="s">
        <v>53</v>
      </c>
      <c r="F570" t="s">
        <v>19</v>
      </c>
      <c r="G570" t="s">
        <v>40</v>
      </c>
      <c r="H570">
        <v>49</v>
      </c>
      <c r="I570" s="1">
        <v>35688</v>
      </c>
      <c r="J570" s="1" t="str">
        <f>TEXT(Employee_Sample_Data_1[[#This Row],[Hire Date]], "dddd")</f>
        <v>Monday</v>
      </c>
      <c r="K570" s="1" t="str">
        <f>TEXT(Employee_Sample_Data_1[[#This Row],[Hire Date]], "mmmm")</f>
        <v>September</v>
      </c>
      <c r="L570" s="1" t="str">
        <f>TEXT(Employee_Sample_Data_1[[#This Row],[Hire Date]], "yyyy")</f>
        <v>1997</v>
      </c>
      <c r="M570" s="2">
        <v>108325</v>
      </c>
      <c r="N570" s="3">
        <v>0.1</v>
      </c>
      <c r="O570" s="9">
        <f>PRODUCT(Employee_Sample_Data_1[[#This Row],[Annual Salary]],Employee_Sample_Data_1[[#This Row],[Bonus %]])</f>
        <v>10832.5</v>
      </c>
      <c r="P570" s="2">
        <f>ROUND(Employee_Sample_Data_1[[#This Row],[Annual Salary]]*(1+Employee_Sample_Data_1[[#This Row],[Bonus %]]), 0)</f>
        <v>119158</v>
      </c>
      <c r="Q570" t="s">
        <v>134</v>
      </c>
      <c r="R570" t="s">
        <v>286</v>
      </c>
      <c r="T570">
        <f ca="1">DATEDIF(Employee_Sample_Data_1[[#This Row],[Hire Date]], IF(Employee_Sample_Data_1[[#This Row],[Exit Date]] = "", TODAY(), Employee_Sample_Data_1[[#This Row],[Exit Date]]), "Y")</f>
        <v>28</v>
      </c>
    </row>
    <row r="571" spans="1:20" x14ac:dyDescent="0.25">
      <c r="A571" t="s">
        <v>1217</v>
      </c>
      <c r="B571" t="s">
        <v>1218</v>
      </c>
      <c r="C571" t="s">
        <v>51</v>
      </c>
      <c r="D571" t="s">
        <v>77</v>
      </c>
      <c r="E571" t="s">
        <v>27</v>
      </c>
      <c r="F571" t="s">
        <v>19</v>
      </c>
      <c r="G571" t="s">
        <v>81</v>
      </c>
      <c r="H571">
        <v>45</v>
      </c>
      <c r="I571" s="1">
        <v>43107</v>
      </c>
      <c r="J571" s="1" t="str">
        <f>TEXT(Employee_Sample_Data_1[[#This Row],[Hire Date]], "dddd")</f>
        <v>Sunday</v>
      </c>
      <c r="K571" s="1" t="str">
        <f>TEXT(Employee_Sample_Data_1[[#This Row],[Hire Date]], "mmmm")</f>
        <v>January</v>
      </c>
      <c r="L571" s="1" t="str">
        <f>TEXT(Employee_Sample_Data_1[[#This Row],[Hire Date]], "yyyy")</f>
        <v>2018</v>
      </c>
      <c r="M571" s="2">
        <v>98289</v>
      </c>
      <c r="N571" s="3">
        <v>0</v>
      </c>
      <c r="O571" s="9">
        <f>PRODUCT(Employee_Sample_Data_1[[#This Row],[Annual Salary]],Employee_Sample_Data_1[[#This Row],[Bonus %]])</f>
        <v>0</v>
      </c>
      <c r="P571" s="2">
        <f>ROUND(Employee_Sample_Data_1[[#This Row],[Annual Salary]]*(1+Employee_Sample_Data_1[[#This Row],[Bonus %]]), 0)</f>
        <v>98289</v>
      </c>
      <c r="Q571" t="s">
        <v>21</v>
      </c>
      <c r="R571" t="s">
        <v>22</v>
      </c>
      <c r="T571">
        <f ca="1">DATEDIF(Employee_Sample_Data_1[[#This Row],[Hire Date]], IF(Employee_Sample_Data_1[[#This Row],[Exit Date]] = "", TODAY(), Employee_Sample_Data_1[[#This Row],[Exit Date]]), "Y")</f>
        <v>8</v>
      </c>
    </row>
    <row r="572" spans="1:20" x14ac:dyDescent="0.25">
      <c r="A572" t="s">
        <v>1219</v>
      </c>
      <c r="B572" t="s">
        <v>1220</v>
      </c>
      <c r="C572" t="s">
        <v>156</v>
      </c>
      <c r="D572" t="s">
        <v>32</v>
      </c>
      <c r="E572" t="s">
        <v>53</v>
      </c>
      <c r="F572" t="s">
        <v>19</v>
      </c>
      <c r="G572" t="s">
        <v>63</v>
      </c>
      <c r="H572">
        <v>44</v>
      </c>
      <c r="I572" s="1">
        <v>38039</v>
      </c>
      <c r="J572" s="1" t="str">
        <f>TEXT(Employee_Sample_Data_1[[#This Row],[Hire Date]], "dddd")</f>
        <v>Sunday</v>
      </c>
      <c r="K572" s="1" t="str">
        <f>TEXT(Employee_Sample_Data_1[[#This Row],[Hire Date]], "mmmm")</f>
        <v>February</v>
      </c>
      <c r="L572" s="1" t="str">
        <f>TEXT(Employee_Sample_Data_1[[#This Row],[Hire Date]], "yyyy")</f>
        <v>2004</v>
      </c>
      <c r="M572" s="2">
        <v>41275</v>
      </c>
      <c r="N572" s="3">
        <v>0</v>
      </c>
      <c r="O572" s="9">
        <f>PRODUCT(Employee_Sample_Data_1[[#This Row],[Annual Salary]],Employee_Sample_Data_1[[#This Row],[Bonus %]])</f>
        <v>0</v>
      </c>
      <c r="P572" s="2">
        <f>ROUND(Employee_Sample_Data_1[[#This Row],[Annual Salary]]*(1+Employee_Sample_Data_1[[#This Row],[Bonus %]]), 0)</f>
        <v>41275</v>
      </c>
      <c r="Q572" t="s">
        <v>21</v>
      </c>
      <c r="R572" t="s">
        <v>45</v>
      </c>
      <c r="S572" s="1">
        <v>39247</v>
      </c>
      <c r="T572">
        <f ca="1">DATEDIF(Employee_Sample_Data_1[[#This Row],[Hire Date]], IF(Employee_Sample_Data_1[[#This Row],[Exit Date]] = "", TODAY(), Employee_Sample_Data_1[[#This Row],[Exit Date]]), "Y")</f>
        <v>3</v>
      </c>
    </row>
    <row r="573" spans="1:20" x14ac:dyDescent="0.25">
      <c r="A573" t="s">
        <v>1221</v>
      </c>
      <c r="B573" t="s">
        <v>1222</v>
      </c>
      <c r="C573" t="s">
        <v>51</v>
      </c>
      <c r="D573" t="s">
        <v>58</v>
      </c>
      <c r="E573" t="s">
        <v>53</v>
      </c>
      <c r="F573" t="s">
        <v>19</v>
      </c>
      <c r="G573" t="s">
        <v>63</v>
      </c>
      <c r="H573">
        <v>46</v>
      </c>
      <c r="I573" s="1">
        <v>40945</v>
      </c>
      <c r="J573" s="1" t="str">
        <f>TEXT(Employee_Sample_Data_1[[#This Row],[Hire Date]], "dddd")</f>
        <v>Monday</v>
      </c>
      <c r="K573" s="1" t="str">
        <f>TEXT(Employee_Sample_Data_1[[#This Row],[Hire Date]], "mmmm")</f>
        <v>February</v>
      </c>
      <c r="L573" s="1" t="str">
        <f>TEXT(Employee_Sample_Data_1[[#This Row],[Hire Date]], "yyyy")</f>
        <v>2012</v>
      </c>
      <c r="M573" s="2">
        <v>93642</v>
      </c>
      <c r="N573" s="3">
        <v>0</v>
      </c>
      <c r="O573" s="9">
        <f>PRODUCT(Employee_Sample_Data_1[[#This Row],[Annual Salary]],Employee_Sample_Data_1[[#This Row],[Bonus %]])</f>
        <v>0</v>
      </c>
      <c r="P573" s="2">
        <f>ROUND(Employee_Sample_Data_1[[#This Row],[Annual Salary]]*(1+Employee_Sample_Data_1[[#This Row],[Bonus %]]), 0)</f>
        <v>93642</v>
      </c>
      <c r="Q573" t="s">
        <v>21</v>
      </c>
      <c r="R573" t="s">
        <v>22</v>
      </c>
      <c r="T573">
        <f ca="1">DATEDIF(Employee_Sample_Data_1[[#This Row],[Hire Date]], IF(Employee_Sample_Data_1[[#This Row],[Exit Date]] = "", TODAY(), Employee_Sample_Data_1[[#This Row],[Exit Date]]), "Y")</f>
        <v>14</v>
      </c>
    </row>
    <row r="574" spans="1:20" x14ac:dyDescent="0.25">
      <c r="A574" t="s">
        <v>1223</v>
      </c>
      <c r="B574" t="s">
        <v>1224</v>
      </c>
      <c r="C574" t="s">
        <v>44</v>
      </c>
      <c r="D574" t="s">
        <v>123</v>
      </c>
      <c r="E574" t="s">
        <v>33</v>
      </c>
      <c r="F574" t="s">
        <v>19</v>
      </c>
      <c r="G574" t="s">
        <v>20</v>
      </c>
      <c r="H574">
        <v>36</v>
      </c>
      <c r="I574" s="1">
        <v>40476</v>
      </c>
      <c r="J574" s="1" t="str">
        <f>TEXT(Employee_Sample_Data_1[[#This Row],[Hire Date]], "dddd")</f>
        <v>Monday</v>
      </c>
      <c r="K574" s="1" t="str">
        <f>TEXT(Employee_Sample_Data_1[[#This Row],[Hire Date]], "mmmm")</f>
        <v>October</v>
      </c>
      <c r="L574" s="1" t="str">
        <f>TEXT(Employee_Sample_Data_1[[#This Row],[Hire Date]], "yyyy")</f>
        <v>2010</v>
      </c>
      <c r="M574" s="2">
        <v>162957</v>
      </c>
      <c r="N574" s="3">
        <v>0.18</v>
      </c>
      <c r="O574" s="9">
        <f>PRODUCT(Employee_Sample_Data_1[[#This Row],[Annual Salary]],Employee_Sample_Data_1[[#This Row],[Bonus %]])</f>
        <v>29332.26</v>
      </c>
      <c r="P574" s="2">
        <f>ROUND(Employee_Sample_Data_1[[#This Row],[Annual Salary]]*(1+Employee_Sample_Data_1[[#This Row],[Bonus %]]), 0)</f>
        <v>192289</v>
      </c>
      <c r="Q574" t="s">
        <v>34</v>
      </c>
      <c r="R574" t="s">
        <v>54</v>
      </c>
      <c r="T574">
        <f ca="1">DATEDIF(Employee_Sample_Data_1[[#This Row],[Hire Date]], IF(Employee_Sample_Data_1[[#This Row],[Exit Date]] = "", TODAY(), Employee_Sample_Data_1[[#This Row],[Exit Date]]), "Y")</f>
        <v>15</v>
      </c>
    </row>
    <row r="575" spans="1:20" x14ac:dyDescent="0.25">
      <c r="A575" t="s">
        <v>1225</v>
      </c>
      <c r="B575" t="s">
        <v>1226</v>
      </c>
      <c r="C575" t="s">
        <v>51</v>
      </c>
      <c r="D575" t="s">
        <v>52</v>
      </c>
      <c r="E575" t="s">
        <v>18</v>
      </c>
      <c r="F575" t="s">
        <v>19</v>
      </c>
      <c r="G575" t="s">
        <v>40</v>
      </c>
      <c r="H575">
        <v>45</v>
      </c>
      <c r="I575" s="1">
        <v>44661</v>
      </c>
      <c r="J575" s="1" t="str">
        <f>TEXT(Employee_Sample_Data_1[[#This Row],[Hire Date]], "dddd")</f>
        <v>Sunday</v>
      </c>
      <c r="K575" s="1" t="str">
        <f>TEXT(Employee_Sample_Data_1[[#This Row],[Hire Date]], "mmmm")</f>
        <v>April</v>
      </c>
      <c r="L575" s="1" t="str">
        <f>TEXT(Employee_Sample_Data_1[[#This Row],[Hire Date]], "yyyy")</f>
        <v>2022</v>
      </c>
      <c r="M575" s="2">
        <v>96029</v>
      </c>
      <c r="N575" s="3">
        <v>0</v>
      </c>
      <c r="O575" s="9">
        <f>PRODUCT(Employee_Sample_Data_1[[#This Row],[Annual Salary]],Employee_Sample_Data_1[[#This Row],[Bonus %]])</f>
        <v>0</v>
      </c>
      <c r="P575" s="2">
        <f>ROUND(Employee_Sample_Data_1[[#This Row],[Annual Salary]]*(1+Employee_Sample_Data_1[[#This Row],[Bonus %]]), 0)</f>
        <v>96029</v>
      </c>
      <c r="Q575" t="s">
        <v>134</v>
      </c>
      <c r="R575" t="s">
        <v>135</v>
      </c>
      <c r="T575">
        <f ca="1">DATEDIF(Employee_Sample_Data_1[[#This Row],[Hire Date]], IF(Employee_Sample_Data_1[[#This Row],[Exit Date]] = "", TODAY(), Employee_Sample_Data_1[[#This Row],[Exit Date]]), "Y")</f>
        <v>4</v>
      </c>
    </row>
    <row r="576" spans="1:20" x14ac:dyDescent="0.25">
      <c r="A576" t="s">
        <v>1227</v>
      </c>
      <c r="B576" t="s">
        <v>1228</v>
      </c>
      <c r="C576" t="s">
        <v>86</v>
      </c>
      <c r="D576" t="s">
        <v>123</v>
      </c>
      <c r="E576" t="s">
        <v>33</v>
      </c>
      <c r="F576" t="s">
        <v>19</v>
      </c>
      <c r="G576" t="s">
        <v>40</v>
      </c>
      <c r="H576">
        <v>55</v>
      </c>
      <c r="I576" s="1">
        <v>36220</v>
      </c>
      <c r="J576" s="1" t="str">
        <f>TEXT(Employee_Sample_Data_1[[#This Row],[Hire Date]], "dddd")</f>
        <v>Monday</v>
      </c>
      <c r="K576" s="1" t="str">
        <f>TEXT(Employee_Sample_Data_1[[#This Row],[Hire Date]], "mmmm")</f>
        <v>March</v>
      </c>
      <c r="L576" s="1" t="str">
        <f>TEXT(Employee_Sample_Data_1[[#This Row],[Hire Date]], "yyyy")</f>
        <v>1999</v>
      </c>
      <c r="M576" s="2">
        <v>227148</v>
      </c>
      <c r="N576" s="3">
        <v>0.33</v>
      </c>
      <c r="O576" s="9">
        <f>PRODUCT(Employee_Sample_Data_1[[#This Row],[Annual Salary]],Employee_Sample_Data_1[[#This Row],[Bonus %]])</f>
        <v>74958.84</v>
      </c>
      <c r="P576" s="2">
        <f>ROUND(Employee_Sample_Data_1[[#This Row],[Annual Salary]]*(1+Employee_Sample_Data_1[[#This Row],[Bonus %]]), 0)</f>
        <v>302107</v>
      </c>
      <c r="Q576" t="s">
        <v>134</v>
      </c>
      <c r="R576" t="s">
        <v>180</v>
      </c>
      <c r="T576">
        <f ca="1">DATEDIF(Employee_Sample_Data_1[[#This Row],[Hire Date]], IF(Employee_Sample_Data_1[[#This Row],[Exit Date]] = "", TODAY(), Employee_Sample_Data_1[[#This Row],[Exit Date]]), "Y")</f>
        <v>27</v>
      </c>
    </row>
    <row r="577" spans="1:20" x14ac:dyDescent="0.25">
      <c r="A577" t="s">
        <v>1229</v>
      </c>
      <c r="B577" t="s">
        <v>1230</v>
      </c>
      <c r="C577" t="s">
        <v>161</v>
      </c>
      <c r="D577" t="s">
        <v>32</v>
      </c>
      <c r="E577" t="s">
        <v>53</v>
      </c>
      <c r="F577" t="s">
        <v>19</v>
      </c>
      <c r="G577" t="s">
        <v>63</v>
      </c>
      <c r="H577">
        <v>43</v>
      </c>
      <c r="I577" s="1">
        <v>39708</v>
      </c>
      <c r="J577" s="1" t="str">
        <f>TEXT(Employee_Sample_Data_1[[#This Row],[Hire Date]], "dddd")</f>
        <v>Wednesday</v>
      </c>
      <c r="K577" s="1" t="str">
        <f>TEXT(Employee_Sample_Data_1[[#This Row],[Hire Date]], "mmmm")</f>
        <v>September</v>
      </c>
      <c r="L577" s="1" t="str">
        <f>TEXT(Employee_Sample_Data_1[[#This Row],[Hire Date]], "yyyy")</f>
        <v>2008</v>
      </c>
      <c r="M577" s="2">
        <v>76819</v>
      </c>
      <c r="N577" s="3">
        <v>0</v>
      </c>
      <c r="O577" s="9">
        <f>PRODUCT(Employee_Sample_Data_1[[#This Row],[Annual Salary]],Employee_Sample_Data_1[[#This Row],[Bonus %]])</f>
        <v>0</v>
      </c>
      <c r="P577" s="2">
        <f>ROUND(Employee_Sample_Data_1[[#This Row],[Annual Salary]]*(1+Employee_Sample_Data_1[[#This Row],[Bonus %]]), 0)</f>
        <v>76819</v>
      </c>
      <c r="Q577" t="s">
        <v>21</v>
      </c>
      <c r="R577" t="s">
        <v>48</v>
      </c>
      <c r="S577" s="1">
        <v>44854</v>
      </c>
      <c r="T577">
        <f ca="1">DATEDIF(Employee_Sample_Data_1[[#This Row],[Hire Date]], IF(Employee_Sample_Data_1[[#This Row],[Exit Date]] = "", TODAY(), Employee_Sample_Data_1[[#This Row],[Exit Date]]), "Y")</f>
        <v>14</v>
      </c>
    </row>
    <row r="578" spans="1:20" x14ac:dyDescent="0.25">
      <c r="A578" t="s">
        <v>1231</v>
      </c>
      <c r="B578" t="s">
        <v>1232</v>
      </c>
      <c r="C578" t="s">
        <v>57</v>
      </c>
      <c r="D578" t="s">
        <v>26</v>
      </c>
      <c r="E578" t="s">
        <v>53</v>
      </c>
      <c r="F578" t="s">
        <v>19</v>
      </c>
      <c r="G578" t="s">
        <v>20</v>
      </c>
      <c r="H578">
        <v>30</v>
      </c>
      <c r="I578" s="1">
        <v>44805</v>
      </c>
      <c r="J578" s="1" t="str">
        <f>TEXT(Employee_Sample_Data_1[[#This Row],[Hire Date]], "dddd")</f>
        <v>Thursday</v>
      </c>
      <c r="K578" s="1" t="str">
        <f>TEXT(Employee_Sample_Data_1[[#This Row],[Hire Date]], "mmmm")</f>
        <v>September</v>
      </c>
      <c r="L578" s="1" t="str">
        <f>TEXT(Employee_Sample_Data_1[[#This Row],[Hire Date]], "yyyy")</f>
        <v>2022</v>
      </c>
      <c r="M578" s="2">
        <v>66892</v>
      </c>
      <c r="N578" s="3">
        <v>0</v>
      </c>
      <c r="O578" s="9">
        <f>PRODUCT(Employee_Sample_Data_1[[#This Row],[Annual Salary]],Employee_Sample_Data_1[[#This Row],[Bonus %]])</f>
        <v>0</v>
      </c>
      <c r="P578" s="2">
        <f>ROUND(Employee_Sample_Data_1[[#This Row],[Annual Salary]]*(1+Employee_Sample_Data_1[[#This Row],[Bonus %]]), 0)</f>
        <v>66892</v>
      </c>
      <c r="Q578" t="s">
        <v>21</v>
      </c>
      <c r="R578" t="s">
        <v>41</v>
      </c>
      <c r="T578">
        <f ca="1">DATEDIF(Employee_Sample_Data_1[[#This Row],[Hire Date]], IF(Employee_Sample_Data_1[[#This Row],[Exit Date]] = "", TODAY(), Employee_Sample_Data_1[[#This Row],[Exit Date]]), "Y")</f>
        <v>3</v>
      </c>
    </row>
    <row r="579" spans="1:20" x14ac:dyDescent="0.25">
      <c r="A579" t="s">
        <v>1233</v>
      </c>
      <c r="B579" t="s">
        <v>1234</v>
      </c>
      <c r="C579" t="s">
        <v>86</v>
      </c>
      <c r="D579" t="s">
        <v>77</v>
      </c>
      <c r="E579" t="s">
        <v>18</v>
      </c>
      <c r="F579" t="s">
        <v>39</v>
      </c>
      <c r="G579" t="s">
        <v>63</v>
      </c>
      <c r="H579">
        <v>48</v>
      </c>
      <c r="I579" s="1">
        <v>36335</v>
      </c>
      <c r="J579" s="1" t="str">
        <f>TEXT(Employee_Sample_Data_1[[#This Row],[Hire Date]], "dddd")</f>
        <v>Thursday</v>
      </c>
      <c r="K579" s="1" t="str">
        <f>TEXT(Employee_Sample_Data_1[[#This Row],[Hire Date]], "mmmm")</f>
        <v>June</v>
      </c>
      <c r="L579" s="1" t="str">
        <f>TEXT(Employee_Sample_Data_1[[#This Row],[Hire Date]], "yyyy")</f>
        <v>1999</v>
      </c>
      <c r="M579" s="2">
        <v>256084</v>
      </c>
      <c r="N579" s="3">
        <v>0.34</v>
      </c>
      <c r="O579" s="9">
        <f>PRODUCT(Employee_Sample_Data_1[[#This Row],[Annual Salary]],Employee_Sample_Data_1[[#This Row],[Bonus %]])</f>
        <v>87068.560000000012</v>
      </c>
      <c r="P579" s="2">
        <f>ROUND(Employee_Sample_Data_1[[#This Row],[Annual Salary]]*(1+Employee_Sample_Data_1[[#This Row],[Bonus %]]), 0)</f>
        <v>343153</v>
      </c>
      <c r="Q579" t="s">
        <v>21</v>
      </c>
      <c r="R579" t="s">
        <v>22</v>
      </c>
      <c r="T579">
        <f ca="1">DATEDIF(Employee_Sample_Data_1[[#This Row],[Hire Date]], IF(Employee_Sample_Data_1[[#This Row],[Exit Date]] = "", TODAY(), Employee_Sample_Data_1[[#This Row],[Exit Date]]), "Y")</f>
        <v>26</v>
      </c>
    </row>
    <row r="580" spans="1:20" x14ac:dyDescent="0.25">
      <c r="A580" t="s">
        <v>1235</v>
      </c>
      <c r="B580" t="s">
        <v>1236</v>
      </c>
      <c r="C580" t="s">
        <v>51</v>
      </c>
      <c r="D580" t="s">
        <v>77</v>
      </c>
      <c r="E580" t="s">
        <v>53</v>
      </c>
      <c r="F580" t="s">
        <v>39</v>
      </c>
      <c r="G580" t="s">
        <v>81</v>
      </c>
      <c r="H580">
        <v>60</v>
      </c>
      <c r="I580" s="1">
        <v>38430</v>
      </c>
      <c r="J580" s="1" t="str">
        <f>TEXT(Employee_Sample_Data_1[[#This Row],[Hire Date]], "dddd")</f>
        <v>Saturday</v>
      </c>
      <c r="K580" s="1" t="str">
        <f>TEXT(Employee_Sample_Data_1[[#This Row],[Hire Date]], "mmmm")</f>
        <v>March</v>
      </c>
      <c r="L580" s="1" t="str">
        <f>TEXT(Employee_Sample_Data_1[[#This Row],[Hire Date]], "yyyy")</f>
        <v>2005</v>
      </c>
      <c r="M580" s="2">
        <v>85669</v>
      </c>
      <c r="N580" s="3">
        <v>0</v>
      </c>
      <c r="O580" s="9">
        <f>PRODUCT(Employee_Sample_Data_1[[#This Row],[Annual Salary]],Employee_Sample_Data_1[[#This Row],[Bonus %]])</f>
        <v>0</v>
      </c>
      <c r="P580" s="2">
        <f>ROUND(Employee_Sample_Data_1[[#This Row],[Annual Salary]]*(1+Employee_Sample_Data_1[[#This Row],[Bonus %]]), 0)</f>
        <v>85669</v>
      </c>
      <c r="Q580" t="s">
        <v>21</v>
      </c>
      <c r="R580" t="s">
        <v>48</v>
      </c>
      <c r="T580">
        <f ca="1">DATEDIF(Employee_Sample_Data_1[[#This Row],[Hire Date]], IF(Employee_Sample_Data_1[[#This Row],[Exit Date]] = "", TODAY(), Employee_Sample_Data_1[[#This Row],[Exit Date]]), "Y")</f>
        <v>21</v>
      </c>
    </row>
    <row r="581" spans="1:20" x14ac:dyDescent="0.25">
      <c r="A581" t="s">
        <v>1237</v>
      </c>
      <c r="B581" t="s">
        <v>1238</v>
      </c>
      <c r="C581" t="s">
        <v>156</v>
      </c>
      <c r="D581" t="s">
        <v>32</v>
      </c>
      <c r="E581" t="s">
        <v>33</v>
      </c>
      <c r="F581" t="s">
        <v>19</v>
      </c>
      <c r="G581" t="s">
        <v>20</v>
      </c>
      <c r="H581">
        <v>30</v>
      </c>
      <c r="I581" s="1">
        <v>44448</v>
      </c>
      <c r="J581" s="1" t="str">
        <f>TEXT(Employee_Sample_Data_1[[#This Row],[Hire Date]], "dddd")</f>
        <v>Thursday</v>
      </c>
      <c r="K581" s="1" t="str">
        <f>TEXT(Employee_Sample_Data_1[[#This Row],[Hire Date]], "mmmm")</f>
        <v>September</v>
      </c>
      <c r="L581" s="1" t="str">
        <f>TEXT(Employee_Sample_Data_1[[#This Row],[Hire Date]], "yyyy")</f>
        <v>2021</v>
      </c>
      <c r="M581" s="2">
        <v>44454</v>
      </c>
      <c r="N581" s="3">
        <v>0</v>
      </c>
      <c r="O581" s="9">
        <f>PRODUCT(Employee_Sample_Data_1[[#This Row],[Annual Salary]],Employee_Sample_Data_1[[#This Row],[Bonus %]])</f>
        <v>0</v>
      </c>
      <c r="P581" s="2">
        <f>ROUND(Employee_Sample_Data_1[[#This Row],[Annual Salary]]*(1+Employee_Sample_Data_1[[#This Row],[Bonus %]]), 0)</f>
        <v>44454</v>
      </c>
      <c r="Q581" t="s">
        <v>34</v>
      </c>
      <c r="R581" t="s">
        <v>108</v>
      </c>
      <c r="T581">
        <f ca="1">DATEDIF(Employee_Sample_Data_1[[#This Row],[Hire Date]], IF(Employee_Sample_Data_1[[#This Row],[Exit Date]] = "", TODAY(), Employee_Sample_Data_1[[#This Row],[Exit Date]]), "Y")</f>
        <v>4</v>
      </c>
    </row>
    <row r="582" spans="1:20" x14ac:dyDescent="0.25">
      <c r="A582" t="s">
        <v>1239</v>
      </c>
      <c r="B582" t="s">
        <v>1240</v>
      </c>
      <c r="C582" t="s">
        <v>156</v>
      </c>
      <c r="D582" t="s">
        <v>32</v>
      </c>
      <c r="E582" t="s">
        <v>53</v>
      </c>
      <c r="F582" t="s">
        <v>19</v>
      </c>
      <c r="G582" t="s">
        <v>63</v>
      </c>
      <c r="H582">
        <v>25</v>
      </c>
      <c r="I582" s="1">
        <v>44299</v>
      </c>
      <c r="J582" s="1" t="str">
        <f>TEXT(Employee_Sample_Data_1[[#This Row],[Hire Date]], "dddd")</f>
        <v>Tuesday</v>
      </c>
      <c r="K582" s="1" t="str">
        <f>TEXT(Employee_Sample_Data_1[[#This Row],[Hire Date]], "mmmm")</f>
        <v>April</v>
      </c>
      <c r="L582" s="1" t="str">
        <f>TEXT(Employee_Sample_Data_1[[#This Row],[Hire Date]], "yyyy")</f>
        <v>2021</v>
      </c>
      <c r="M582" s="2">
        <v>54353</v>
      </c>
      <c r="N582" s="3">
        <v>0</v>
      </c>
      <c r="O582" s="9">
        <f>PRODUCT(Employee_Sample_Data_1[[#This Row],[Annual Salary]],Employee_Sample_Data_1[[#This Row],[Bonus %]])</f>
        <v>0</v>
      </c>
      <c r="P582" s="2">
        <f>ROUND(Employee_Sample_Data_1[[#This Row],[Annual Salary]]*(1+Employee_Sample_Data_1[[#This Row],[Bonus %]]), 0)</f>
        <v>54353</v>
      </c>
      <c r="Q582" t="s">
        <v>21</v>
      </c>
      <c r="R582" t="s">
        <v>28</v>
      </c>
      <c r="T582">
        <f ca="1">DATEDIF(Employee_Sample_Data_1[[#This Row],[Hire Date]], IF(Employee_Sample_Data_1[[#This Row],[Exit Date]] = "", TODAY(), Employee_Sample_Data_1[[#This Row],[Exit Date]]), "Y")</f>
        <v>5</v>
      </c>
    </row>
    <row r="583" spans="1:20" x14ac:dyDescent="0.25">
      <c r="A583" t="s">
        <v>1241</v>
      </c>
      <c r="B583" t="s">
        <v>1242</v>
      </c>
      <c r="C583" t="s">
        <v>57</v>
      </c>
      <c r="D583" t="s">
        <v>26</v>
      </c>
      <c r="E583" t="s">
        <v>53</v>
      </c>
      <c r="F583" t="s">
        <v>19</v>
      </c>
      <c r="G583" t="s">
        <v>40</v>
      </c>
      <c r="H583">
        <v>58</v>
      </c>
      <c r="I583" s="1">
        <v>41970</v>
      </c>
      <c r="J583" s="1" t="str">
        <f>TEXT(Employee_Sample_Data_1[[#This Row],[Hire Date]], "dddd")</f>
        <v>Thursday</v>
      </c>
      <c r="K583" s="1" t="str">
        <f>TEXT(Employee_Sample_Data_1[[#This Row],[Hire Date]], "mmmm")</f>
        <v>November</v>
      </c>
      <c r="L583" s="1" t="str">
        <f>TEXT(Employee_Sample_Data_1[[#This Row],[Hire Date]], "yyyy")</f>
        <v>2014</v>
      </c>
      <c r="M583" s="2">
        <v>58867</v>
      </c>
      <c r="N583" s="3">
        <v>0</v>
      </c>
      <c r="O583" s="9">
        <f>PRODUCT(Employee_Sample_Data_1[[#This Row],[Annual Salary]],Employee_Sample_Data_1[[#This Row],[Bonus %]])</f>
        <v>0</v>
      </c>
      <c r="P583" s="2">
        <f>ROUND(Employee_Sample_Data_1[[#This Row],[Annual Salary]]*(1+Employee_Sample_Data_1[[#This Row],[Bonus %]]), 0)</f>
        <v>58867</v>
      </c>
      <c r="Q583" t="s">
        <v>134</v>
      </c>
      <c r="R583" t="s">
        <v>135</v>
      </c>
      <c r="T583">
        <f ca="1">DATEDIF(Employee_Sample_Data_1[[#This Row],[Hire Date]], IF(Employee_Sample_Data_1[[#This Row],[Exit Date]] = "", TODAY(), Employee_Sample_Data_1[[#This Row],[Exit Date]]), "Y")</f>
        <v>11</v>
      </c>
    </row>
    <row r="584" spans="1:20" x14ac:dyDescent="0.25">
      <c r="A584" t="s">
        <v>1243</v>
      </c>
      <c r="B584" t="s">
        <v>1244</v>
      </c>
      <c r="C584" t="s">
        <v>66</v>
      </c>
      <c r="D584" t="s">
        <v>123</v>
      </c>
      <c r="E584" t="s">
        <v>27</v>
      </c>
      <c r="F584" t="s">
        <v>19</v>
      </c>
      <c r="G584" t="s">
        <v>40</v>
      </c>
      <c r="H584">
        <v>37</v>
      </c>
      <c r="I584" s="1">
        <v>44641</v>
      </c>
      <c r="J584" s="1" t="str">
        <f>TEXT(Employee_Sample_Data_1[[#This Row],[Hire Date]], "dddd")</f>
        <v>Monday</v>
      </c>
      <c r="K584" s="1" t="str">
        <f>TEXT(Employee_Sample_Data_1[[#This Row],[Hire Date]], "mmmm")</f>
        <v>March</v>
      </c>
      <c r="L584" s="1" t="str">
        <f>TEXT(Employee_Sample_Data_1[[#This Row],[Hire Date]], "yyyy")</f>
        <v>2022</v>
      </c>
      <c r="M584" s="2">
        <v>123918</v>
      </c>
      <c r="N584" s="3">
        <v>0.08</v>
      </c>
      <c r="O584" s="9">
        <f>PRODUCT(Employee_Sample_Data_1[[#This Row],[Annual Salary]],Employee_Sample_Data_1[[#This Row],[Bonus %]])</f>
        <v>9913.44</v>
      </c>
      <c r="P584" s="2">
        <f>ROUND(Employee_Sample_Data_1[[#This Row],[Annual Salary]]*(1+Employee_Sample_Data_1[[#This Row],[Bonus %]]), 0)</f>
        <v>133831</v>
      </c>
      <c r="Q584" t="s">
        <v>134</v>
      </c>
      <c r="R584" t="s">
        <v>135</v>
      </c>
      <c r="T584">
        <f ca="1">DATEDIF(Employee_Sample_Data_1[[#This Row],[Hire Date]], IF(Employee_Sample_Data_1[[#This Row],[Exit Date]] = "", TODAY(), Employee_Sample_Data_1[[#This Row],[Exit Date]]), "Y")</f>
        <v>4</v>
      </c>
    </row>
    <row r="585" spans="1:20" x14ac:dyDescent="0.25">
      <c r="A585" t="s">
        <v>1245</v>
      </c>
      <c r="B585" t="s">
        <v>1246</v>
      </c>
      <c r="C585" t="s">
        <v>156</v>
      </c>
      <c r="D585" t="s">
        <v>32</v>
      </c>
      <c r="E585" t="s">
        <v>33</v>
      </c>
      <c r="F585" t="s">
        <v>19</v>
      </c>
      <c r="G585" t="s">
        <v>20</v>
      </c>
      <c r="H585">
        <v>44</v>
      </c>
      <c r="I585" s="1">
        <v>40305</v>
      </c>
      <c r="J585" s="1" t="str">
        <f>TEXT(Employee_Sample_Data_1[[#This Row],[Hire Date]], "dddd")</f>
        <v>Friday</v>
      </c>
      <c r="K585" s="1" t="str">
        <f>TEXT(Employee_Sample_Data_1[[#This Row],[Hire Date]], "mmmm")</f>
        <v>May</v>
      </c>
      <c r="L585" s="1" t="str">
        <f>TEXT(Employee_Sample_Data_1[[#This Row],[Hire Date]], "yyyy")</f>
        <v>2010</v>
      </c>
      <c r="M585" s="2">
        <v>56680</v>
      </c>
      <c r="N585" s="3">
        <v>0</v>
      </c>
      <c r="O585" s="9">
        <f>PRODUCT(Employee_Sample_Data_1[[#This Row],[Annual Salary]],Employee_Sample_Data_1[[#This Row],[Bonus %]])</f>
        <v>0</v>
      </c>
      <c r="P585" s="2">
        <f>ROUND(Employee_Sample_Data_1[[#This Row],[Annual Salary]]*(1+Employee_Sample_Data_1[[#This Row],[Bonus %]]), 0)</f>
        <v>56680</v>
      </c>
      <c r="Q585" t="s">
        <v>21</v>
      </c>
      <c r="R585" t="s">
        <v>28</v>
      </c>
      <c r="T585">
        <f ca="1">DATEDIF(Employee_Sample_Data_1[[#This Row],[Hire Date]], IF(Employee_Sample_Data_1[[#This Row],[Exit Date]] = "", TODAY(), Employee_Sample_Data_1[[#This Row],[Exit Date]]), "Y")</f>
        <v>16</v>
      </c>
    </row>
    <row r="586" spans="1:20" x14ac:dyDescent="0.25">
      <c r="A586" t="s">
        <v>1247</v>
      </c>
      <c r="B586" t="s">
        <v>1248</v>
      </c>
      <c r="C586" t="s">
        <v>128</v>
      </c>
      <c r="D586" t="s">
        <v>123</v>
      </c>
      <c r="E586" t="s">
        <v>33</v>
      </c>
      <c r="F586" t="s">
        <v>39</v>
      </c>
      <c r="G586" t="s">
        <v>40</v>
      </c>
      <c r="H586">
        <v>53</v>
      </c>
      <c r="I586" s="1">
        <v>43747</v>
      </c>
      <c r="J586" s="1" t="str">
        <f>TEXT(Employee_Sample_Data_1[[#This Row],[Hire Date]], "dddd")</f>
        <v>Wednesday</v>
      </c>
      <c r="K586" s="1" t="str">
        <f>TEXT(Employee_Sample_Data_1[[#This Row],[Hire Date]], "mmmm")</f>
        <v>October</v>
      </c>
      <c r="L586" s="1" t="str">
        <f>TEXT(Employee_Sample_Data_1[[#This Row],[Hire Date]], "yyyy")</f>
        <v>2019</v>
      </c>
      <c r="M586" s="2">
        <v>55206</v>
      </c>
      <c r="N586" s="3">
        <v>0</v>
      </c>
      <c r="O586" s="9">
        <f>PRODUCT(Employee_Sample_Data_1[[#This Row],[Annual Salary]],Employee_Sample_Data_1[[#This Row],[Bonus %]])</f>
        <v>0</v>
      </c>
      <c r="P586" s="2">
        <f>ROUND(Employee_Sample_Data_1[[#This Row],[Annual Salary]]*(1+Employee_Sample_Data_1[[#This Row],[Bonus %]]), 0)</f>
        <v>55206</v>
      </c>
      <c r="Q586" t="s">
        <v>21</v>
      </c>
      <c r="R586" t="s">
        <v>67</v>
      </c>
      <c r="T586">
        <f ca="1">DATEDIF(Employee_Sample_Data_1[[#This Row],[Hire Date]], IF(Employee_Sample_Data_1[[#This Row],[Exit Date]] = "", TODAY(), Employee_Sample_Data_1[[#This Row],[Exit Date]]), "Y")</f>
        <v>6</v>
      </c>
    </row>
    <row r="587" spans="1:20" x14ac:dyDescent="0.25">
      <c r="A587" t="s">
        <v>1249</v>
      </c>
      <c r="B587" t="s">
        <v>1250</v>
      </c>
      <c r="C587" t="s">
        <v>44</v>
      </c>
      <c r="D587" t="s">
        <v>26</v>
      </c>
      <c r="E587" t="s">
        <v>53</v>
      </c>
      <c r="F587" t="s">
        <v>39</v>
      </c>
      <c r="G587" t="s">
        <v>20</v>
      </c>
      <c r="H587">
        <v>58</v>
      </c>
      <c r="I587" s="1">
        <v>40191</v>
      </c>
      <c r="J587" s="1" t="str">
        <f>TEXT(Employee_Sample_Data_1[[#This Row],[Hire Date]], "dddd")</f>
        <v>Wednesday</v>
      </c>
      <c r="K587" s="1" t="str">
        <f>TEXT(Employee_Sample_Data_1[[#This Row],[Hire Date]], "mmmm")</f>
        <v>January</v>
      </c>
      <c r="L587" s="1" t="str">
        <f>TEXT(Employee_Sample_Data_1[[#This Row],[Hire Date]], "yyyy")</f>
        <v>2010</v>
      </c>
      <c r="M587" s="2">
        <v>150633</v>
      </c>
      <c r="N587" s="3">
        <v>0.19</v>
      </c>
      <c r="O587" s="9">
        <f>PRODUCT(Employee_Sample_Data_1[[#This Row],[Annual Salary]],Employee_Sample_Data_1[[#This Row],[Bonus %]])</f>
        <v>28620.27</v>
      </c>
      <c r="P587" s="2">
        <f>ROUND(Employee_Sample_Data_1[[#This Row],[Annual Salary]]*(1+Employee_Sample_Data_1[[#This Row],[Bonus %]]), 0)</f>
        <v>179253</v>
      </c>
      <c r="Q587" t="s">
        <v>21</v>
      </c>
      <c r="R587" t="s">
        <v>48</v>
      </c>
      <c r="T587">
        <f ca="1">DATEDIF(Employee_Sample_Data_1[[#This Row],[Hire Date]], IF(Employee_Sample_Data_1[[#This Row],[Exit Date]] = "", TODAY(), Employee_Sample_Data_1[[#This Row],[Exit Date]]), "Y")</f>
        <v>16</v>
      </c>
    </row>
    <row r="588" spans="1:20" x14ac:dyDescent="0.25">
      <c r="A588" t="s">
        <v>1251</v>
      </c>
      <c r="B588" t="s">
        <v>1252</v>
      </c>
      <c r="C588" t="s">
        <v>31</v>
      </c>
      <c r="D588" t="s">
        <v>32</v>
      </c>
      <c r="E588" t="s">
        <v>53</v>
      </c>
      <c r="F588" t="s">
        <v>19</v>
      </c>
      <c r="G588" t="s">
        <v>63</v>
      </c>
      <c r="H588">
        <v>65</v>
      </c>
      <c r="I588" s="1">
        <v>43856</v>
      </c>
      <c r="J588" s="1" t="str">
        <f>TEXT(Employee_Sample_Data_1[[#This Row],[Hire Date]], "dddd")</f>
        <v>Sunday</v>
      </c>
      <c r="K588" s="1" t="str">
        <f>TEXT(Employee_Sample_Data_1[[#This Row],[Hire Date]], "mmmm")</f>
        <v>January</v>
      </c>
      <c r="L588" s="1" t="str">
        <f>TEXT(Employee_Sample_Data_1[[#This Row],[Hire Date]], "yyyy")</f>
        <v>2020</v>
      </c>
      <c r="M588" s="2">
        <v>97379</v>
      </c>
      <c r="N588" s="3">
        <v>0</v>
      </c>
      <c r="O588" s="9">
        <f>PRODUCT(Employee_Sample_Data_1[[#This Row],[Annual Salary]],Employee_Sample_Data_1[[#This Row],[Bonus %]])</f>
        <v>0</v>
      </c>
      <c r="P588" s="2">
        <f>ROUND(Employee_Sample_Data_1[[#This Row],[Annual Salary]]*(1+Employee_Sample_Data_1[[#This Row],[Bonus %]]), 0)</f>
        <v>97379</v>
      </c>
      <c r="Q588" t="s">
        <v>21</v>
      </c>
      <c r="R588" t="s">
        <v>41</v>
      </c>
      <c r="T588">
        <f ca="1">DATEDIF(Employee_Sample_Data_1[[#This Row],[Hire Date]], IF(Employee_Sample_Data_1[[#This Row],[Exit Date]] = "", TODAY(), Employee_Sample_Data_1[[#This Row],[Exit Date]]), "Y")</f>
        <v>6</v>
      </c>
    </row>
    <row r="589" spans="1:20" x14ac:dyDescent="0.25">
      <c r="A589" t="s">
        <v>1253</v>
      </c>
      <c r="B589" t="s">
        <v>1254</v>
      </c>
      <c r="C589" t="s">
        <v>44</v>
      </c>
      <c r="D589" t="s">
        <v>52</v>
      </c>
      <c r="E589" t="s">
        <v>33</v>
      </c>
      <c r="F589" t="s">
        <v>19</v>
      </c>
      <c r="G589" t="s">
        <v>20</v>
      </c>
      <c r="H589">
        <v>57</v>
      </c>
      <c r="I589" s="1">
        <v>36614</v>
      </c>
      <c r="J589" s="1" t="str">
        <f>TEXT(Employee_Sample_Data_1[[#This Row],[Hire Date]], "dddd")</f>
        <v>Wednesday</v>
      </c>
      <c r="K589" s="1" t="str">
        <f>TEXT(Employee_Sample_Data_1[[#This Row],[Hire Date]], "mmmm")</f>
        <v>March</v>
      </c>
      <c r="L589" s="1" t="str">
        <f>TEXT(Employee_Sample_Data_1[[#This Row],[Hire Date]], "yyyy")</f>
        <v>2000</v>
      </c>
      <c r="M589" s="2">
        <v>178447</v>
      </c>
      <c r="N589" s="3">
        <v>0.22</v>
      </c>
      <c r="O589" s="9">
        <f>PRODUCT(Employee_Sample_Data_1[[#This Row],[Annual Salary]],Employee_Sample_Data_1[[#This Row],[Bonus %]])</f>
        <v>39258.340000000004</v>
      </c>
      <c r="P589" s="2">
        <f>ROUND(Employee_Sample_Data_1[[#This Row],[Annual Salary]]*(1+Employee_Sample_Data_1[[#This Row],[Bonus %]]), 0)</f>
        <v>217705</v>
      </c>
      <c r="Q589" t="s">
        <v>34</v>
      </c>
      <c r="R589" t="s">
        <v>59</v>
      </c>
      <c r="T589">
        <f ca="1">DATEDIF(Employee_Sample_Data_1[[#This Row],[Hire Date]], IF(Employee_Sample_Data_1[[#This Row],[Exit Date]] = "", TODAY(), Employee_Sample_Data_1[[#This Row],[Exit Date]]), "Y")</f>
        <v>26</v>
      </c>
    </row>
    <row r="590" spans="1:20" x14ac:dyDescent="0.25">
      <c r="A590" t="s">
        <v>1255</v>
      </c>
      <c r="B590" t="s">
        <v>1256</v>
      </c>
      <c r="C590" t="s">
        <v>31</v>
      </c>
      <c r="D590" t="s">
        <v>32</v>
      </c>
      <c r="E590" t="s">
        <v>18</v>
      </c>
      <c r="F590" t="s">
        <v>19</v>
      </c>
      <c r="G590" t="s">
        <v>40</v>
      </c>
      <c r="H590">
        <v>31</v>
      </c>
      <c r="I590" s="1">
        <v>44360</v>
      </c>
      <c r="J590" s="1" t="str">
        <f>TEXT(Employee_Sample_Data_1[[#This Row],[Hire Date]], "dddd")</f>
        <v>Sunday</v>
      </c>
      <c r="K590" s="1" t="str">
        <f>TEXT(Employee_Sample_Data_1[[#This Row],[Hire Date]], "mmmm")</f>
        <v>June</v>
      </c>
      <c r="L590" s="1" t="str">
        <f>TEXT(Employee_Sample_Data_1[[#This Row],[Hire Date]], "yyyy")</f>
        <v>2021</v>
      </c>
      <c r="M590" s="2">
        <v>60827</v>
      </c>
      <c r="N590" s="3">
        <v>0</v>
      </c>
      <c r="O590" s="9">
        <f>PRODUCT(Employee_Sample_Data_1[[#This Row],[Annual Salary]],Employee_Sample_Data_1[[#This Row],[Bonus %]])</f>
        <v>0</v>
      </c>
      <c r="P590" s="2">
        <f>ROUND(Employee_Sample_Data_1[[#This Row],[Annual Salary]]*(1+Employee_Sample_Data_1[[#This Row],[Bonus %]]), 0)</f>
        <v>60827</v>
      </c>
      <c r="Q590" t="s">
        <v>21</v>
      </c>
      <c r="R590" t="s">
        <v>48</v>
      </c>
      <c r="T590">
        <f ca="1">DATEDIF(Employee_Sample_Data_1[[#This Row],[Hire Date]], IF(Employee_Sample_Data_1[[#This Row],[Exit Date]] = "", TODAY(), Employee_Sample_Data_1[[#This Row],[Exit Date]]), "Y")</f>
        <v>4</v>
      </c>
    </row>
    <row r="591" spans="1:20" x14ac:dyDescent="0.25">
      <c r="A591" t="s">
        <v>1257</v>
      </c>
      <c r="B591" t="s">
        <v>1258</v>
      </c>
      <c r="C591" t="s">
        <v>265</v>
      </c>
      <c r="D591" t="s">
        <v>17</v>
      </c>
      <c r="E591" t="s">
        <v>18</v>
      </c>
      <c r="F591" t="s">
        <v>19</v>
      </c>
      <c r="G591" t="s">
        <v>20</v>
      </c>
      <c r="H591">
        <v>32</v>
      </c>
      <c r="I591" s="1">
        <v>43583</v>
      </c>
      <c r="J591" s="1" t="str">
        <f>TEXT(Employee_Sample_Data_1[[#This Row],[Hire Date]], "dddd")</f>
        <v>Sunday</v>
      </c>
      <c r="K591" s="1" t="str">
        <f>TEXT(Employee_Sample_Data_1[[#This Row],[Hire Date]], "mmmm")</f>
        <v>April</v>
      </c>
      <c r="L591" s="1" t="str">
        <f>TEXT(Employee_Sample_Data_1[[#This Row],[Hire Date]], "yyyy")</f>
        <v>2019</v>
      </c>
      <c r="M591" s="2">
        <v>96951</v>
      </c>
      <c r="N591" s="3">
        <v>0.13</v>
      </c>
      <c r="O591" s="9">
        <f>PRODUCT(Employee_Sample_Data_1[[#This Row],[Annual Salary]],Employee_Sample_Data_1[[#This Row],[Bonus %]])</f>
        <v>12603.630000000001</v>
      </c>
      <c r="P591" s="2">
        <f>ROUND(Employee_Sample_Data_1[[#This Row],[Annual Salary]]*(1+Employee_Sample_Data_1[[#This Row],[Bonus %]]), 0)</f>
        <v>109555</v>
      </c>
      <c r="Q591" t="s">
        <v>34</v>
      </c>
      <c r="R591" t="s">
        <v>59</v>
      </c>
      <c r="T591">
        <f ca="1">DATEDIF(Employee_Sample_Data_1[[#This Row],[Hire Date]], IF(Employee_Sample_Data_1[[#This Row],[Exit Date]] = "", TODAY(), Employee_Sample_Data_1[[#This Row],[Exit Date]]), "Y")</f>
        <v>7</v>
      </c>
    </row>
    <row r="592" spans="1:20" x14ac:dyDescent="0.25">
      <c r="A592" t="s">
        <v>1259</v>
      </c>
      <c r="B592" t="s">
        <v>1260</v>
      </c>
      <c r="C592" t="s">
        <v>66</v>
      </c>
      <c r="D592" t="s">
        <v>52</v>
      </c>
      <c r="E592" t="s">
        <v>53</v>
      </c>
      <c r="F592" t="s">
        <v>19</v>
      </c>
      <c r="G592" t="s">
        <v>63</v>
      </c>
      <c r="H592">
        <v>48</v>
      </c>
      <c r="I592" s="1">
        <v>36897</v>
      </c>
      <c r="J592" s="1" t="str">
        <f>TEXT(Employee_Sample_Data_1[[#This Row],[Hire Date]], "dddd")</f>
        <v>Saturday</v>
      </c>
      <c r="K592" s="1" t="str">
        <f>TEXT(Employee_Sample_Data_1[[#This Row],[Hire Date]], "mmmm")</f>
        <v>January</v>
      </c>
      <c r="L592" s="1" t="str">
        <f>TEXT(Employee_Sample_Data_1[[#This Row],[Hire Date]], "yyyy")</f>
        <v>2001</v>
      </c>
      <c r="M592" s="2">
        <v>103051</v>
      </c>
      <c r="N592" s="3">
        <v>0.09</v>
      </c>
      <c r="O592" s="9">
        <f>PRODUCT(Employee_Sample_Data_1[[#This Row],[Annual Salary]],Employee_Sample_Data_1[[#This Row],[Bonus %]])</f>
        <v>9274.59</v>
      </c>
      <c r="P592" s="2">
        <f>ROUND(Employee_Sample_Data_1[[#This Row],[Annual Salary]]*(1+Employee_Sample_Data_1[[#This Row],[Bonus %]]), 0)</f>
        <v>112326</v>
      </c>
      <c r="Q592" t="s">
        <v>21</v>
      </c>
      <c r="R592" t="s">
        <v>48</v>
      </c>
      <c r="T592">
        <f ca="1">DATEDIF(Employee_Sample_Data_1[[#This Row],[Hire Date]], IF(Employee_Sample_Data_1[[#This Row],[Exit Date]] = "", TODAY(), Employee_Sample_Data_1[[#This Row],[Exit Date]]), "Y")</f>
        <v>25</v>
      </c>
    </row>
    <row r="593" spans="1:20" x14ac:dyDescent="0.25">
      <c r="A593" t="s">
        <v>1261</v>
      </c>
      <c r="B593" t="s">
        <v>1262</v>
      </c>
      <c r="C593" t="s">
        <v>86</v>
      </c>
      <c r="D593" t="s">
        <v>32</v>
      </c>
      <c r="E593" t="s">
        <v>53</v>
      </c>
      <c r="F593" t="s">
        <v>39</v>
      </c>
      <c r="G593" t="s">
        <v>20</v>
      </c>
      <c r="H593">
        <v>55</v>
      </c>
      <c r="I593" s="1">
        <v>37191</v>
      </c>
      <c r="J593" s="1" t="str">
        <f>TEXT(Employee_Sample_Data_1[[#This Row],[Hire Date]], "dddd")</f>
        <v>Saturday</v>
      </c>
      <c r="K593" s="1" t="str">
        <f>TEXT(Employee_Sample_Data_1[[#This Row],[Hire Date]], "mmmm")</f>
        <v>October</v>
      </c>
      <c r="L593" s="1" t="str">
        <f>TEXT(Employee_Sample_Data_1[[#This Row],[Hire Date]], "yyyy")</f>
        <v>2001</v>
      </c>
      <c r="M593" s="2">
        <v>256592</v>
      </c>
      <c r="N593" s="3">
        <v>0.3</v>
      </c>
      <c r="O593" s="9">
        <f>PRODUCT(Employee_Sample_Data_1[[#This Row],[Annual Salary]],Employee_Sample_Data_1[[#This Row],[Bonus %]])</f>
        <v>76977.599999999991</v>
      </c>
      <c r="P593" s="2">
        <f>ROUND(Employee_Sample_Data_1[[#This Row],[Annual Salary]]*(1+Employee_Sample_Data_1[[#This Row],[Bonus %]]), 0)</f>
        <v>333570</v>
      </c>
      <c r="Q593" t="s">
        <v>34</v>
      </c>
      <c r="R593" t="s">
        <v>108</v>
      </c>
      <c r="S593" s="1">
        <v>40317</v>
      </c>
      <c r="T593">
        <f ca="1">DATEDIF(Employee_Sample_Data_1[[#This Row],[Hire Date]], IF(Employee_Sample_Data_1[[#This Row],[Exit Date]] = "", TODAY(), Employee_Sample_Data_1[[#This Row],[Exit Date]]), "Y")</f>
        <v>8</v>
      </c>
    </row>
    <row r="594" spans="1:20" x14ac:dyDescent="0.25">
      <c r="A594" t="s">
        <v>1263</v>
      </c>
      <c r="B594" t="s">
        <v>1264</v>
      </c>
      <c r="C594" t="s">
        <v>405</v>
      </c>
      <c r="D594" t="s">
        <v>17</v>
      </c>
      <c r="E594" t="s">
        <v>53</v>
      </c>
      <c r="F594" t="s">
        <v>39</v>
      </c>
      <c r="G594" t="s">
        <v>63</v>
      </c>
      <c r="H594">
        <v>52</v>
      </c>
      <c r="I594" s="1">
        <v>42923</v>
      </c>
      <c r="J594" s="1" t="str">
        <f>TEXT(Employee_Sample_Data_1[[#This Row],[Hire Date]], "dddd")</f>
        <v>Friday</v>
      </c>
      <c r="K594" s="1" t="str">
        <f>TEXT(Employee_Sample_Data_1[[#This Row],[Hire Date]], "mmmm")</f>
        <v>July</v>
      </c>
      <c r="L594" s="1" t="str">
        <f>TEXT(Employee_Sample_Data_1[[#This Row],[Hire Date]], "yyyy")</f>
        <v>2017</v>
      </c>
      <c r="M594" s="2">
        <v>79323</v>
      </c>
      <c r="N594" s="3">
        <v>0</v>
      </c>
      <c r="O594" s="9">
        <f>PRODUCT(Employee_Sample_Data_1[[#This Row],[Annual Salary]],Employee_Sample_Data_1[[#This Row],[Bonus %]])</f>
        <v>0</v>
      </c>
      <c r="P594" s="2">
        <f>ROUND(Employee_Sample_Data_1[[#This Row],[Annual Salary]]*(1+Employee_Sample_Data_1[[#This Row],[Bonus %]]), 0)</f>
        <v>79323</v>
      </c>
      <c r="Q594" t="s">
        <v>21</v>
      </c>
      <c r="R594" t="s">
        <v>28</v>
      </c>
      <c r="T594">
        <f ca="1">DATEDIF(Employee_Sample_Data_1[[#This Row],[Hire Date]], IF(Employee_Sample_Data_1[[#This Row],[Exit Date]] = "", TODAY(), Employee_Sample_Data_1[[#This Row],[Exit Date]]), "Y")</f>
        <v>8</v>
      </c>
    </row>
    <row r="595" spans="1:20" x14ac:dyDescent="0.25">
      <c r="A595" t="s">
        <v>1265</v>
      </c>
      <c r="B595" t="s">
        <v>1266</v>
      </c>
      <c r="C595" t="s">
        <v>405</v>
      </c>
      <c r="D595" t="s">
        <v>17</v>
      </c>
      <c r="E595" t="s">
        <v>33</v>
      </c>
      <c r="F595" t="s">
        <v>39</v>
      </c>
      <c r="G595" t="s">
        <v>40</v>
      </c>
      <c r="H595">
        <v>27</v>
      </c>
      <c r="I595" s="1">
        <v>44389</v>
      </c>
      <c r="J595" s="1" t="str">
        <f>TEXT(Employee_Sample_Data_1[[#This Row],[Hire Date]], "dddd")</f>
        <v>Monday</v>
      </c>
      <c r="K595" s="1" t="str">
        <f>TEXT(Employee_Sample_Data_1[[#This Row],[Hire Date]], "mmmm")</f>
        <v>July</v>
      </c>
      <c r="L595" s="1" t="str">
        <f>TEXT(Employee_Sample_Data_1[[#This Row],[Hire Date]], "yyyy")</f>
        <v>2021</v>
      </c>
      <c r="M595" s="2">
        <v>75583</v>
      </c>
      <c r="N595" s="3">
        <v>0</v>
      </c>
      <c r="O595" s="9">
        <f>PRODUCT(Employee_Sample_Data_1[[#This Row],[Annual Salary]],Employee_Sample_Data_1[[#This Row],[Bonus %]])</f>
        <v>0</v>
      </c>
      <c r="P595" s="2">
        <f>ROUND(Employee_Sample_Data_1[[#This Row],[Annual Salary]]*(1+Employee_Sample_Data_1[[#This Row],[Bonus %]]), 0)</f>
        <v>75583</v>
      </c>
      <c r="Q595" t="s">
        <v>134</v>
      </c>
      <c r="R595" t="s">
        <v>286</v>
      </c>
      <c r="T595">
        <f ca="1">DATEDIF(Employee_Sample_Data_1[[#This Row],[Hire Date]], IF(Employee_Sample_Data_1[[#This Row],[Exit Date]] = "", TODAY(), Employee_Sample_Data_1[[#This Row],[Exit Date]]), "Y")</f>
        <v>4</v>
      </c>
    </row>
    <row r="596" spans="1:20" x14ac:dyDescent="0.25">
      <c r="A596" t="s">
        <v>1267</v>
      </c>
      <c r="B596" t="s">
        <v>1268</v>
      </c>
      <c r="C596" t="s">
        <v>101</v>
      </c>
      <c r="D596" t="s">
        <v>26</v>
      </c>
      <c r="E596" t="s">
        <v>53</v>
      </c>
      <c r="F596" t="s">
        <v>39</v>
      </c>
      <c r="G596" t="s">
        <v>63</v>
      </c>
      <c r="H596">
        <v>36</v>
      </c>
      <c r="I596" s="1">
        <v>41160</v>
      </c>
      <c r="J596" s="1" t="str">
        <f>TEXT(Employee_Sample_Data_1[[#This Row],[Hire Date]], "dddd")</f>
        <v>Saturday</v>
      </c>
      <c r="K596" s="1" t="str">
        <f>TEXT(Employee_Sample_Data_1[[#This Row],[Hire Date]], "mmmm")</f>
        <v>September</v>
      </c>
      <c r="L596" s="1" t="str">
        <f>TEXT(Employee_Sample_Data_1[[#This Row],[Hire Date]], "yyyy")</f>
        <v>2012</v>
      </c>
      <c r="M596" s="2">
        <v>73646</v>
      </c>
      <c r="N596" s="3">
        <v>0</v>
      </c>
      <c r="O596" s="9">
        <f>PRODUCT(Employee_Sample_Data_1[[#This Row],[Annual Salary]],Employee_Sample_Data_1[[#This Row],[Bonus %]])</f>
        <v>0</v>
      </c>
      <c r="P596" s="2">
        <f>ROUND(Employee_Sample_Data_1[[#This Row],[Annual Salary]]*(1+Employee_Sample_Data_1[[#This Row],[Bonus %]]), 0)</f>
        <v>73646</v>
      </c>
      <c r="Q596" t="s">
        <v>21</v>
      </c>
      <c r="R596" t="s">
        <v>45</v>
      </c>
      <c r="T596">
        <f ca="1">DATEDIF(Employee_Sample_Data_1[[#This Row],[Hire Date]], IF(Employee_Sample_Data_1[[#This Row],[Exit Date]] = "", TODAY(), Employee_Sample_Data_1[[#This Row],[Exit Date]]), "Y")</f>
        <v>13</v>
      </c>
    </row>
    <row r="597" spans="1:20" x14ac:dyDescent="0.25">
      <c r="A597" t="s">
        <v>1269</v>
      </c>
      <c r="B597" t="s">
        <v>1270</v>
      </c>
      <c r="C597" t="s">
        <v>224</v>
      </c>
      <c r="D597" t="s">
        <v>32</v>
      </c>
      <c r="E597" t="s">
        <v>53</v>
      </c>
      <c r="F597" t="s">
        <v>19</v>
      </c>
      <c r="G597" t="s">
        <v>63</v>
      </c>
      <c r="H597">
        <v>36</v>
      </c>
      <c r="I597" s="1">
        <v>44780</v>
      </c>
      <c r="J597" s="1" t="str">
        <f>TEXT(Employee_Sample_Data_1[[#This Row],[Hire Date]], "dddd")</f>
        <v>Sunday</v>
      </c>
      <c r="K597" s="1" t="str">
        <f>TEXT(Employee_Sample_Data_1[[#This Row],[Hire Date]], "mmmm")</f>
        <v>August</v>
      </c>
      <c r="L597" s="1" t="str">
        <f>TEXT(Employee_Sample_Data_1[[#This Row],[Hire Date]], "yyyy")</f>
        <v>2022</v>
      </c>
      <c r="M597" s="2">
        <v>64937</v>
      </c>
      <c r="N597" s="3">
        <v>0</v>
      </c>
      <c r="O597" s="9">
        <f>PRODUCT(Employee_Sample_Data_1[[#This Row],[Annual Salary]],Employee_Sample_Data_1[[#This Row],[Bonus %]])</f>
        <v>0</v>
      </c>
      <c r="P597" s="2">
        <f>ROUND(Employee_Sample_Data_1[[#This Row],[Annual Salary]]*(1+Employee_Sample_Data_1[[#This Row],[Bonus %]]), 0)</f>
        <v>64937</v>
      </c>
      <c r="Q597" t="s">
        <v>21</v>
      </c>
      <c r="R597" t="s">
        <v>67</v>
      </c>
      <c r="T597">
        <f ca="1">DATEDIF(Employee_Sample_Data_1[[#This Row],[Hire Date]], IF(Employee_Sample_Data_1[[#This Row],[Exit Date]] = "", TODAY(), Employee_Sample_Data_1[[#This Row],[Exit Date]]), "Y")</f>
        <v>3</v>
      </c>
    </row>
    <row r="598" spans="1:20" x14ac:dyDescent="0.25">
      <c r="A598" t="s">
        <v>1271</v>
      </c>
      <c r="B598" t="s">
        <v>1272</v>
      </c>
      <c r="C598" t="s">
        <v>66</v>
      </c>
      <c r="D598" t="s">
        <v>26</v>
      </c>
      <c r="E598" t="s">
        <v>18</v>
      </c>
      <c r="F598" t="s">
        <v>19</v>
      </c>
      <c r="G598" t="s">
        <v>40</v>
      </c>
      <c r="H598">
        <v>42</v>
      </c>
      <c r="I598" s="1">
        <v>43627</v>
      </c>
      <c r="J598" s="1" t="str">
        <f>TEXT(Employee_Sample_Data_1[[#This Row],[Hire Date]], "dddd")</f>
        <v>Tuesday</v>
      </c>
      <c r="K598" s="1" t="str">
        <f>TEXT(Employee_Sample_Data_1[[#This Row],[Hire Date]], "mmmm")</f>
        <v>June</v>
      </c>
      <c r="L598" s="1" t="str">
        <f>TEXT(Employee_Sample_Data_1[[#This Row],[Hire Date]], "yyyy")</f>
        <v>2019</v>
      </c>
      <c r="M598" s="2">
        <v>112146</v>
      </c>
      <c r="N598" s="3">
        <v>0.06</v>
      </c>
      <c r="O598" s="9">
        <f>PRODUCT(Employee_Sample_Data_1[[#This Row],[Annual Salary]],Employee_Sample_Data_1[[#This Row],[Bonus %]])</f>
        <v>6728.7599999999993</v>
      </c>
      <c r="P598" s="2">
        <f>ROUND(Employee_Sample_Data_1[[#This Row],[Annual Salary]]*(1+Employee_Sample_Data_1[[#This Row],[Bonus %]]), 0)</f>
        <v>118875</v>
      </c>
      <c r="Q598" t="s">
        <v>21</v>
      </c>
      <c r="R598" t="s">
        <v>67</v>
      </c>
      <c r="T598">
        <f ca="1">DATEDIF(Employee_Sample_Data_1[[#This Row],[Hire Date]], IF(Employee_Sample_Data_1[[#This Row],[Exit Date]] = "", TODAY(), Employee_Sample_Data_1[[#This Row],[Exit Date]]), "Y")</f>
        <v>6</v>
      </c>
    </row>
    <row r="599" spans="1:20" x14ac:dyDescent="0.25">
      <c r="A599" t="s">
        <v>1273</v>
      </c>
      <c r="B599" t="s">
        <v>1274</v>
      </c>
      <c r="C599" t="s">
        <v>51</v>
      </c>
      <c r="D599" t="s">
        <v>77</v>
      </c>
      <c r="E599" t="s">
        <v>33</v>
      </c>
      <c r="F599" t="s">
        <v>19</v>
      </c>
      <c r="G599" t="s">
        <v>63</v>
      </c>
      <c r="H599">
        <v>48</v>
      </c>
      <c r="I599" s="1">
        <v>43450</v>
      </c>
      <c r="J599" s="1" t="str">
        <f>TEXT(Employee_Sample_Data_1[[#This Row],[Hire Date]], "dddd")</f>
        <v>Sunday</v>
      </c>
      <c r="K599" s="1" t="str">
        <f>TEXT(Employee_Sample_Data_1[[#This Row],[Hire Date]], "mmmm")</f>
        <v>December</v>
      </c>
      <c r="L599" s="1" t="str">
        <f>TEXT(Employee_Sample_Data_1[[#This Row],[Hire Date]], "yyyy")</f>
        <v>2018</v>
      </c>
      <c r="M599" s="2">
        <v>83332</v>
      </c>
      <c r="N599" s="3">
        <v>0</v>
      </c>
      <c r="O599" s="9">
        <f>PRODUCT(Employee_Sample_Data_1[[#This Row],[Annual Salary]],Employee_Sample_Data_1[[#This Row],[Bonus %]])</f>
        <v>0</v>
      </c>
      <c r="P599" s="2">
        <f>ROUND(Employee_Sample_Data_1[[#This Row],[Annual Salary]]*(1+Employee_Sample_Data_1[[#This Row],[Bonus %]]), 0)</f>
        <v>83332</v>
      </c>
      <c r="Q599" t="s">
        <v>21</v>
      </c>
      <c r="R599" t="s">
        <v>45</v>
      </c>
      <c r="T599">
        <f ca="1">DATEDIF(Employee_Sample_Data_1[[#This Row],[Hire Date]], IF(Employee_Sample_Data_1[[#This Row],[Exit Date]] = "", TODAY(), Employee_Sample_Data_1[[#This Row],[Exit Date]]), "Y")</f>
        <v>7</v>
      </c>
    </row>
    <row r="600" spans="1:20" x14ac:dyDescent="0.25">
      <c r="A600" t="s">
        <v>1275</v>
      </c>
      <c r="B600" t="s">
        <v>1276</v>
      </c>
      <c r="C600" t="s">
        <v>177</v>
      </c>
      <c r="D600" t="s">
        <v>32</v>
      </c>
      <c r="E600" t="s">
        <v>53</v>
      </c>
      <c r="F600" t="s">
        <v>39</v>
      </c>
      <c r="G600" t="s">
        <v>20</v>
      </c>
      <c r="H600">
        <v>42</v>
      </c>
      <c r="I600" s="1">
        <v>39549</v>
      </c>
      <c r="J600" s="1" t="str">
        <f>TEXT(Employee_Sample_Data_1[[#This Row],[Hire Date]], "dddd")</f>
        <v>Friday</v>
      </c>
      <c r="K600" s="1" t="str">
        <f>TEXT(Employee_Sample_Data_1[[#This Row],[Hire Date]], "mmmm")</f>
        <v>April</v>
      </c>
      <c r="L600" s="1" t="str">
        <f>TEXT(Employee_Sample_Data_1[[#This Row],[Hire Date]], "yyyy")</f>
        <v>2008</v>
      </c>
      <c r="M600" s="2">
        <v>66248</v>
      </c>
      <c r="N600" s="3">
        <v>7.0000000000000007E-2</v>
      </c>
      <c r="O600" s="9">
        <f>PRODUCT(Employee_Sample_Data_1[[#This Row],[Annual Salary]],Employee_Sample_Data_1[[#This Row],[Bonus %]])</f>
        <v>4637.3600000000006</v>
      </c>
      <c r="P600" s="2">
        <f>ROUND(Employee_Sample_Data_1[[#This Row],[Annual Salary]]*(1+Employee_Sample_Data_1[[#This Row],[Bonus %]]), 0)</f>
        <v>70885</v>
      </c>
      <c r="Q600" t="s">
        <v>34</v>
      </c>
      <c r="R600" t="s">
        <v>54</v>
      </c>
      <c r="T600">
        <f ca="1">DATEDIF(Employee_Sample_Data_1[[#This Row],[Hire Date]], IF(Employee_Sample_Data_1[[#This Row],[Exit Date]] = "", TODAY(), Employee_Sample_Data_1[[#This Row],[Exit Date]]), "Y")</f>
        <v>18</v>
      </c>
    </row>
    <row r="601" spans="1:20" x14ac:dyDescent="0.25">
      <c r="A601" t="s">
        <v>1277</v>
      </c>
      <c r="B601" t="s">
        <v>1278</v>
      </c>
      <c r="C601" t="s">
        <v>80</v>
      </c>
      <c r="D601" t="s">
        <v>123</v>
      </c>
      <c r="E601" t="s">
        <v>33</v>
      </c>
      <c r="F601" t="s">
        <v>19</v>
      </c>
      <c r="G601" t="s">
        <v>20</v>
      </c>
      <c r="H601">
        <v>37</v>
      </c>
      <c r="I601" s="1">
        <v>43699</v>
      </c>
      <c r="J601" s="1" t="str">
        <f>TEXT(Employee_Sample_Data_1[[#This Row],[Hire Date]], "dddd")</f>
        <v>Thursday</v>
      </c>
      <c r="K601" s="1" t="str">
        <f>TEXT(Employee_Sample_Data_1[[#This Row],[Hire Date]], "mmmm")</f>
        <v>August</v>
      </c>
      <c r="L601" s="1" t="str">
        <f>TEXT(Employee_Sample_Data_1[[#This Row],[Hire Date]], "yyyy")</f>
        <v>2019</v>
      </c>
      <c r="M601" s="2">
        <v>127238</v>
      </c>
      <c r="N601" s="3">
        <v>0.15</v>
      </c>
      <c r="O601" s="9">
        <f>PRODUCT(Employee_Sample_Data_1[[#This Row],[Annual Salary]],Employee_Sample_Data_1[[#This Row],[Bonus %]])</f>
        <v>19085.7</v>
      </c>
      <c r="P601" s="2">
        <f>ROUND(Employee_Sample_Data_1[[#This Row],[Annual Salary]]*(1+Employee_Sample_Data_1[[#This Row],[Bonus %]]), 0)</f>
        <v>146324</v>
      </c>
      <c r="Q601" t="s">
        <v>34</v>
      </c>
      <c r="R601" t="s">
        <v>35</v>
      </c>
      <c r="T601">
        <f ca="1">DATEDIF(Employee_Sample_Data_1[[#This Row],[Hire Date]], IF(Employee_Sample_Data_1[[#This Row],[Exit Date]] = "", TODAY(), Employee_Sample_Data_1[[#This Row],[Exit Date]]), "Y")</f>
        <v>6</v>
      </c>
    </row>
    <row r="602" spans="1:20" x14ac:dyDescent="0.25">
      <c r="A602" t="s">
        <v>1279</v>
      </c>
      <c r="B602" t="s">
        <v>1280</v>
      </c>
      <c r="C602" t="s">
        <v>377</v>
      </c>
      <c r="D602" t="s">
        <v>32</v>
      </c>
      <c r="E602" t="s">
        <v>53</v>
      </c>
      <c r="F602" t="s">
        <v>39</v>
      </c>
      <c r="G602" t="s">
        <v>20</v>
      </c>
      <c r="H602">
        <v>55</v>
      </c>
      <c r="I602" s="1">
        <v>41052</v>
      </c>
      <c r="J602" s="1" t="str">
        <f>TEXT(Employee_Sample_Data_1[[#This Row],[Hire Date]], "dddd")</f>
        <v>Wednesday</v>
      </c>
      <c r="K602" s="1" t="str">
        <f>TEXT(Employee_Sample_Data_1[[#This Row],[Hire Date]], "mmmm")</f>
        <v>May</v>
      </c>
      <c r="L602" s="1" t="str">
        <f>TEXT(Employee_Sample_Data_1[[#This Row],[Hire Date]], "yyyy")</f>
        <v>2012</v>
      </c>
      <c r="M602" s="2">
        <v>87857</v>
      </c>
      <c r="N602" s="3">
        <v>0</v>
      </c>
      <c r="O602" s="9">
        <f>PRODUCT(Employee_Sample_Data_1[[#This Row],[Annual Salary]],Employee_Sample_Data_1[[#This Row],[Bonus %]])</f>
        <v>0</v>
      </c>
      <c r="P602" s="2">
        <f>ROUND(Employee_Sample_Data_1[[#This Row],[Annual Salary]]*(1+Employee_Sample_Data_1[[#This Row],[Bonus %]]), 0)</f>
        <v>87857</v>
      </c>
      <c r="Q602" t="s">
        <v>21</v>
      </c>
      <c r="R602" t="s">
        <v>45</v>
      </c>
      <c r="T602">
        <f ca="1">DATEDIF(Employee_Sample_Data_1[[#This Row],[Hire Date]], IF(Employee_Sample_Data_1[[#This Row],[Exit Date]] = "", TODAY(), Employee_Sample_Data_1[[#This Row],[Exit Date]]), "Y")</f>
        <v>14</v>
      </c>
    </row>
    <row r="603" spans="1:20" x14ac:dyDescent="0.25">
      <c r="A603" t="s">
        <v>1281</v>
      </c>
      <c r="B603" t="s">
        <v>1282</v>
      </c>
      <c r="C603" t="s">
        <v>244</v>
      </c>
      <c r="D603" t="s">
        <v>123</v>
      </c>
      <c r="E603" t="s">
        <v>53</v>
      </c>
      <c r="F603" t="s">
        <v>39</v>
      </c>
      <c r="G603" t="s">
        <v>20</v>
      </c>
      <c r="H603">
        <v>62</v>
      </c>
      <c r="I603" s="1">
        <v>36392</v>
      </c>
      <c r="J603" s="1" t="str">
        <f>TEXT(Employee_Sample_Data_1[[#This Row],[Hire Date]], "dddd")</f>
        <v>Friday</v>
      </c>
      <c r="K603" s="1" t="str">
        <f>TEXT(Employee_Sample_Data_1[[#This Row],[Hire Date]], "mmmm")</f>
        <v>August</v>
      </c>
      <c r="L603" s="1" t="str">
        <f>TEXT(Employee_Sample_Data_1[[#This Row],[Hire Date]], "yyyy")</f>
        <v>1999</v>
      </c>
      <c r="M603" s="2">
        <v>51454</v>
      </c>
      <c r="N603" s="3">
        <v>0</v>
      </c>
      <c r="O603" s="9">
        <f>PRODUCT(Employee_Sample_Data_1[[#This Row],[Annual Salary]],Employee_Sample_Data_1[[#This Row],[Bonus %]])</f>
        <v>0</v>
      </c>
      <c r="P603" s="2">
        <f>ROUND(Employee_Sample_Data_1[[#This Row],[Annual Salary]]*(1+Employee_Sample_Data_1[[#This Row],[Bonus %]]), 0)</f>
        <v>51454</v>
      </c>
      <c r="Q603" t="s">
        <v>21</v>
      </c>
      <c r="R603" t="s">
        <v>41</v>
      </c>
      <c r="T603">
        <f ca="1">DATEDIF(Employee_Sample_Data_1[[#This Row],[Hire Date]], IF(Employee_Sample_Data_1[[#This Row],[Exit Date]] = "", TODAY(), Employee_Sample_Data_1[[#This Row],[Exit Date]]), "Y")</f>
        <v>26</v>
      </c>
    </row>
    <row r="604" spans="1:20" x14ac:dyDescent="0.25">
      <c r="A604" t="s">
        <v>1283</v>
      </c>
      <c r="B604" t="s">
        <v>1284</v>
      </c>
      <c r="C604" t="s">
        <v>80</v>
      </c>
      <c r="D604" t="s">
        <v>52</v>
      </c>
      <c r="E604" t="s">
        <v>53</v>
      </c>
      <c r="F604" t="s">
        <v>39</v>
      </c>
      <c r="G604" t="s">
        <v>40</v>
      </c>
      <c r="H604">
        <v>29</v>
      </c>
      <c r="I604" s="1">
        <v>44087</v>
      </c>
      <c r="J604" s="1" t="str">
        <f>TEXT(Employee_Sample_Data_1[[#This Row],[Hire Date]], "dddd")</f>
        <v>Sunday</v>
      </c>
      <c r="K604" s="1" t="str">
        <f>TEXT(Employee_Sample_Data_1[[#This Row],[Hire Date]], "mmmm")</f>
        <v>September</v>
      </c>
      <c r="L604" s="1" t="str">
        <f>TEXT(Employee_Sample_Data_1[[#This Row],[Hire Date]], "yyyy")</f>
        <v>2020</v>
      </c>
      <c r="M604" s="2">
        <v>128066</v>
      </c>
      <c r="N604" s="3">
        <v>0.11</v>
      </c>
      <c r="O604" s="9">
        <f>PRODUCT(Employee_Sample_Data_1[[#This Row],[Annual Salary]],Employee_Sample_Data_1[[#This Row],[Bonus %]])</f>
        <v>14087.26</v>
      </c>
      <c r="P604" s="2">
        <f>ROUND(Employee_Sample_Data_1[[#This Row],[Annual Salary]]*(1+Employee_Sample_Data_1[[#This Row],[Bonus %]]), 0)</f>
        <v>142153</v>
      </c>
      <c r="Q604" t="s">
        <v>21</v>
      </c>
      <c r="R604" t="s">
        <v>41</v>
      </c>
      <c r="T604">
        <f ca="1">DATEDIF(Employee_Sample_Data_1[[#This Row],[Hire Date]], IF(Employee_Sample_Data_1[[#This Row],[Exit Date]] = "", TODAY(), Employee_Sample_Data_1[[#This Row],[Exit Date]]), "Y")</f>
        <v>5</v>
      </c>
    </row>
    <row r="605" spans="1:20" x14ac:dyDescent="0.25">
      <c r="A605" t="s">
        <v>1285</v>
      </c>
      <c r="B605" t="s">
        <v>1286</v>
      </c>
      <c r="C605" t="s">
        <v>80</v>
      </c>
      <c r="D605" t="s">
        <v>123</v>
      </c>
      <c r="E605" t="s">
        <v>27</v>
      </c>
      <c r="F605" t="s">
        <v>39</v>
      </c>
      <c r="G605" t="s">
        <v>40</v>
      </c>
      <c r="H605">
        <v>29</v>
      </c>
      <c r="I605" s="1">
        <v>43371</v>
      </c>
      <c r="J605" s="1" t="str">
        <f>TEXT(Employee_Sample_Data_1[[#This Row],[Hire Date]], "dddd")</f>
        <v>Friday</v>
      </c>
      <c r="K605" s="1" t="str">
        <f>TEXT(Employee_Sample_Data_1[[#This Row],[Hire Date]], "mmmm")</f>
        <v>September</v>
      </c>
      <c r="L605" s="1" t="str">
        <f>TEXT(Employee_Sample_Data_1[[#This Row],[Hire Date]], "yyyy")</f>
        <v>2018</v>
      </c>
      <c r="M605" s="2">
        <v>130790</v>
      </c>
      <c r="N605" s="3">
        <v>0.1</v>
      </c>
      <c r="O605" s="9">
        <f>PRODUCT(Employee_Sample_Data_1[[#This Row],[Annual Salary]],Employee_Sample_Data_1[[#This Row],[Bonus %]])</f>
        <v>13079</v>
      </c>
      <c r="P605" s="2">
        <f>ROUND(Employee_Sample_Data_1[[#This Row],[Annual Salary]]*(1+Employee_Sample_Data_1[[#This Row],[Bonus %]]), 0)</f>
        <v>143869</v>
      </c>
      <c r="Q605" t="s">
        <v>134</v>
      </c>
      <c r="R605" t="s">
        <v>135</v>
      </c>
      <c r="T605">
        <f ca="1">DATEDIF(Employee_Sample_Data_1[[#This Row],[Hire Date]], IF(Employee_Sample_Data_1[[#This Row],[Exit Date]] = "", TODAY(), Employee_Sample_Data_1[[#This Row],[Exit Date]]), "Y")</f>
        <v>7</v>
      </c>
    </row>
    <row r="606" spans="1:20" x14ac:dyDescent="0.25">
      <c r="A606" t="s">
        <v>1287</v>
      </c>
      <c r="B606" t="s">
        <v>1288</v>
      </c>
      <c r="C606" t="s">
        <v>86</v>
      </c>
      <c r="D606" t="s">
        <v>123</v>
      </c>
      <c r="E606" t="s">
        <v>18</v>
      </c>
      <c r="F606" t="s">
        <v>39</v>
      </c>
      <c r="G606" t="s">
        <v>40</v>
      </c>
      <c r="H606">
        <v>45</v>
      </c>
      <c r="I606" s="1">
        <v>38124</v>
      </c>
      <c r="J606" s="1" t="str">
        <f>TEXT(Employee_Sample_Data_1[[#This Row],[Hire Date]], "dddd")</f>
        <v>Monday</v>
      </c>
      <c r="K606" s="1" t="str">
        <f>TEXT(Employee_Sample_Data_1[[#This Row],[Hire Date]], "mmmm")</f>
        <v>May</v>
      </c>
      <c r="L606" s="1" t="str">
        <f>TEXT(Employee_Sample_Data_1[[#This Row],[Hire Date]], "yyyy")</f>
        <v>2004</v>
      </c>
      <c r="M606" s="2">
        <v>233342</v>
      </c>
      <c r="N606" s="3">
        <v>0.37</v>
      </c>
      <c r="O606" s="9">
        <f>PRODUCT(Employee_Sample_Data_1[[#This Row],[Annual Salary]],Employee_Sample_Data_1[[#This Row],[Bonus %]])</f>
        <v>86336.54</v>
      </c>
      <c r="P606" s="2">
        <f>ROUND(Employee_Sample_Data_1[[#This Row],[Annual Salary]]*(1+Employee_Sample_Data_1[[#This Row],[Bonus %]]), 0)</f>
        <v>319679</v>
      </c>
      <c r="Q606" t="s">
        <v>21</v>
      </c>
      <c r="R606" t="s">
        <v>45</v>
      </c>
      <c r="T606">
        <f ca="1">DATEDIF(Employee_Sample_Data_1[[#This Row],[Hire Date]], IF(Employee_Sample_Data_1[[#This Row],[Exit Date]] = "", TODAY(), Employee_Sample_Data_1[[#This Row],[Exit Date]]), "Y")</f>
        <v>22</v>
      </c>
    </row>
    <row r="607" spans="1:20" x14ac:dyDescent="0.25">
      <c r="A607" t="s">
        <v>1289</v>
      </c>
      <c r="B607" t="s">
        <v>1290</v>
      </c>
      <c r="C607" t="s">
        <v>25</v>
      </c>
      <c r="D607" t="s">
        <v>77</v>
      </c>
      <c r="E607" t="s">
        <v>18</v>
      </c>
      <c r="F607" t="s">
        <v>19</v>
      </c>
      <c r="G607" t="s">
        <v>63</v>
      </c>
      <c r="H607">
        <v>57</v>
      </c>
      <c r="I607" s="1">
        <v>40090</v>
      </c>
      <c r="J607" s="1" t="str">
        <f>TEXT(Employee_Sample_Data_1[[#This Row],[Hire Date]], "dddd")</f>
        <v>Sunday</v>
      </c>
      <c r="K607" s="1" t="str">
        <f>TEXT(Employee_Sample_Data_1[[#This Row],[Hire Date]], "mmmm")</f>
        <v>October</v>
      </c>
      <c r="L607" s="1" t="str">
        <f>TEXT(Employee_Sample_Data_1[[#This Row],[Hire Date]], "yyyy")</f>
        <v>2009</v>
      </c>
      <c r="M607" s="2">
        <v>54155</v>
      </c>
      <c r="N607" s="3">
        <v>0</v>
      </c>
      <c r="O607" s="9">
        <f>PRODUCT(Employee_Sample_Data_1[[#This Row],[Annual Salary]],Employee_Sample_Data_1[[#This Row],[Bonus %]])</f>
        <v>0</v>
      </c>
      <c r="P607" s="2">
        <f>ROUND(Employee_Sample_Data_1[[#This Row],[Annual Salary]]*(1+Employee_Sample_Data_1[[#This Row],[Bonus %]]), 0)</f>
        <v>54155</v>
      </c>
      <c r="Q607" t="s">
        <v>21</v>
      </c>
      <c r="R607" t="s">
        <v>45</v>
      </c>
      <c r="T607">
        <f ca="1">DATEDIF(Employee_Sample_Data_1[[#This Row],[Hire Date]], IF(Employee_Sample_Data_1[[#This Row],[Exit Date]] = "", TODAY(), Employee_Sample_Data_1[[#This Row],[Exit Date]]), "Y")</f>
        <v>16</v>
      </c>
    </row>
    <row r="608" spans="1:20" x14ac:dyDescent="0.25">
      <c r="A608" t="s">
        <v>1291</v>
      </c>
      <c r="B608" t="s">
        <v>1292</v>
      </c>
      <c r="C608" t="s">
        <v>86</v>
      </c>
      <c r="D608" t="s">
        <v>77</v>
      </c>
      <c r="E608" t="s">
        <v>18</v>
      </c>
      <c r="F608" t="s">
        <v>19</v>
      </c>
      <c r="G608" t="s">
        <v>20</v>
      </c>
      <c r="H608">
        <v>31</v>
      </c>
      <c r="I608" s="1">
        <v>43714</v>
      </c>
      <c r="J608" s="1" t="str">
        <f>TEXT(Employee_Sample_Data_1[[#This Row],[Hire Date]], "dddd")</f>
        <v>Friday</v>
      </c>
      <c r="K608" s="1" t="str">
        <f>TEXT(Employee_Sample_Data_1[[#This Row],[Hire Date]], "mmmm")</f>
        <v>September</v>
      </c>
      <c r="L608" s="1" t="str">
        <f>TEXT(Employee_Sample_Data_1[[#This Row],[Hire Date]], "yyyy")</f>
        <v>2019</v>
      </c>
      <c r="M608" s="2">
        <v>189403</v>
      </c>
      <c r="N608" s="3">
        <v>0.36</v>
      </c>
      <c r="O608" s="9">
        <f>PRODUCT(Employee_Sample_Data_1[[#This Row],[Annual Salary]],Employee_Sample_Data_1[[#This Row],[Bonus %]])</f>
        <v>68185.08</v>
      </c>
      <c r="P608" s="2">
        <f>ROUND(Employee_Sample_Data_1[[#This Row],[Annual Salary]]*(1+Employee_Sample_Data_1[[#This Row],[Bonus %]]), 0)</f>
        <v>257588</v>
      </c>
      <c r="Q608" t="s">
        <v>34</v>
      </c>
      <c r="R608" t="s">
        <v>35</v>
      </c>
      <c r="S608" s="1">
        <v>44286</v>
      </c>
      <c r="T608">
        <f ca="1">DATEDIF(Employee_Sample_Data_1[[#This Row],[Hire Date]], IF(Employee_Sample_Data_1[[#This Row],[Exit Date]] = "", TODAY(), Employee_Sample_Data_1[[#This Row],[Exit Date]]), "Y")</f>
        <v>1</v>
      </c>
    </row>
    <row r="609" spans="1:20" x14ac:dyDescent="0.25">
      <c r="A609" t="s">
        <v>1293</v>
      </c>
      <c r="B609" t="s">
        <v>1294</v>
      </c>
      <c r="C609" t="s">
        <v>51</v>
      </c>
      <c r="D609" t="s">
        <v>52</v>
      </c>
      <c r="E609" t="s">
        <v>18</v>
      </c>
      <c r="F609" t="s">
        <v>39</v>
      </c>
      <c r="G609" t="s">
        <v>20</v>
      </c>
      <c r="H609">
        <v>31</v>
      </c>
      <c r="I609" s="1">
        <v>43238</v>
      </c>
      <c r="J609" s="1" t="str">
        <f>TEXT(Employee_Sample_Data_1[[#This Row],[Hire Date]], "dddd")</f>
        <v>Friday</v>
      </c>
      <c r="K609" s="1" t="str">
        <f>TEXT(Employee_Sample_Data_1[[#This Row],[Hire Date]], "mmmm")</f>
        <v>May</v>
      </c>
      <c r="L609" s="1" t="str">
        <f>TEXT(Employee_Sample_Data_1[[#This Row],[Hire Date]], "yyyy")</f>
        <v>2018</v>
      </c>
      <c r="M609" s="2">
        <v>78732</v>
      </c>
      <c r="N609" s="3">
        <v>0</v>
      </c>
      <c r="O609" s="9">
        <f>PRODUCT(Employee_Sample_Data_1[[#This Row],[Annual Salary]],Employee_Sample_Data_1[[#This Row],[Bonus %]])</f>
        <v>0</v>
      </c>
      <c r="P609" s="2">
        <f>ROUND(Employee_Sample_Data_1[[#This Row],[Annual Salary]]*(1+Employee_Sample_Data_1[[#This Row],[Bonus %]]), 0)</f>
        <v>78732</v>
      </c>
      <c r="Q609" t="s">
        <v>34</v>
      </c>
      <c r="R609" t="s">
        <v>35</v>
      </c>
      <c r="S609" s="1">
        <v>43535</v>
      </c>
      <c r="T609">
        <f ca="1">DATEDIF(Employee_Sample_Data_1[[#This Row],[Hire Date]], IF(Employee_Sample_Data_1[[#This Row],[Exit Date]] = "", TODAY(), Employee_Sample_Data_1[[#This Row],[Exit Date]]), "Y")</f>
        <v>0</v>
      </c>
    </row>
    <row r="610" spans="1:20" x14ac:dyDescent="0.25">
      <c r="A610" t="s">
        <v>1295</v>
      </c>
      <c r="B610" t="s">
        <v>1296</v>
      </c>
      <c r="C610" t="s">
        <v>25</v>
      </c>
      <c r="D610" t="s">
        <v>52</v>
      </c>
      <c r="E610" t="s">
        <v>18</v>
      </c>
      <c r="F610" t="s">
        <v>19</v>
      </c>
      <c r="G610" t="s">
        <v>63</v>
      </c>
      <c r="H610">
        <v>47</v>
      </c>
      <c r="I610" s="1">
        <v>42122</v>
      </c>
      <c r="J610" s="1" t="str">
        <f>TEXT(Employee_Sample_Data_1[[#This Row],[Hire Date]], "dddd")</f>
        <v>Tuesday</v>
      </c>
      <c r="K610" s="1" t="str">
        <f>TEXT(Employee_Sample_Data_1[[#This Row],[Hire Date]], "mmmm")</f>
        <v>April</v>
      </c>
      <c r="L610" s="1" t="str">
        <f>TEXT(Employee_Sample_Data_1[[#This Row],[Hire Date]], "yyyy")</f>
        <v>2015</v>
      </c>
      <c r="M610" s="2">
        <v>55401</v>
      </c>
      <c r="N610" s="3">
        <v>0</v>
      </c>
      <c r="O610" s="9">
        <f>PRODUCT(Employee_Sample_Data_1[[#This Row],[Annual Salary]],Employee_Sample_Data_1[[#This Row],[Bonus %]])</f>
        <v>0</v>
      </c>
      <c r="P610" s="2">
        <f>ROUND(Employee_Sample_Data_1[[#This Row],[Annual Salary]]*(1+Employee_Sample_Data_1[[#This Row],[Bonus %]]), 0)</f>
        <v>55401</v>
      </c>
      <c r="Q610" t="s">
        <v>21</v>
      </c>
      <c r="R610" t="s">
        <v>22</v>
      </c>
      <c r="T610">
        <f ca="1">DATEDIF(Employee_Sample_Data_1[[#This Row],[Hire Date]], IF(Employee_Sample_Data_1[[#This Row],[Exit Date]] = "", TODAY(), Employee_Sample_Data_1[[#This Row],[Exit Date]]), "Y")</f>
        <v>11</v>
      </c>
    </row>
    <row r="611" spans="1:20" x14ac:dyDescent="0.25">
      <c r="A611" t="s">
        <v>1297</v>
      </c>
      <c r="B611" t="s">
        <v>1298</v>
      </c>
      <c r="C611" t="s">
        <v>62</v>
      </c>
      <c r="D611" t="s">
        <v>32</v>
      </c>
      <c r="E611" t="s">
        <v>18</v>
      </c>
      <c r="F611" t="s">
        <v>19</v>
      </c>
      <c r="G611" t="s">
        <v>40</v>
      </c>
      <c r="H611">
        <v>60</v>
      </c>
      <c r="I611" s="1">
        <v>38910</v>
      </c>
      <c r="J611" s="1" t="str">
        <f>TEXT(Employee_Sample_Data_1[[#This Row],[Hire Date]], "dddd")</f>
        <v>Wednesday</v>
      </c>
      <c r="K611" s="1" t="str">
        <f>TEXT(Employee_Sample_Data_1[[#This Row],[Hire Date]], "mmmm")</f>
        <v>July</v>
      </c>
      <c r="L611" s="1" t="str">
        <f>TEXT(Employee_Sample_Data_1[[#This Row],[Hire Date]], "yyyy")</f>
        <v>2006</v>
      </c>
      <c r="M611" s="2">
        <v>82343</v>
      </c>
      <c r="N611" s="3">
        <v>0</v>
      </c>
      <c r="O611" s="9">
        <f>PRODUCT(Employee_Sample_Data_1[[#This Row],[Annual Salary]],Employee_Sample_Data_1[[#This Row],[Bonus %]])</f>
        <v>0</v>
      </c>
      <c r="P611" s="2">
        <f>ROUND(Employee_Sample_Data_1[[#This Row],[Annual Salary]]*(1+Employee_Sample_Data_1[[#This Row],[Bonus %]]), 0)</f>
        <v>82343</v>
      </c>
      <c r="Q611" t="s">
        <v>21</v>
      </c>
      <c r="R611" t="s">
        <v>45</v>
      </c>
      <c r="T611">
        <f ca="1">DATEDIF(Employee_Sample_Data_1[[#This Row],[Hire Date]], IF(Employee_Sample_Data_1[[#This Row],[Exit Date]] = "", TODAY(), Employee_Sample_Data_1[[#This Row],[Exit Date]]), "Y")</f>
        <v>19</v>
      </c>
    </row>
    <row r="612" spans="1:20" x14ac:dyDescent="0.25">
      <c r="A612" t="s">
        <v>1299</v>
      </c>
      <c r="B612" t="s">
        <v>1300</v>
      </c>
      <c r="C612" t="s">
        <v>410</v>
      </c>
      <c r="D612" t="s">
        <v>17</v>
      </c>
      <c r="E612" t="s">
        <v>33</v>
      </c>
      <c r="F612" t="s">
        <v>19</v>
      </c>
      <c r="G612" t="s">
        <v>40</v>
      </c>
      <c r="H612">
        <v>42</v>
      </c>
      <c r="I612" s="1">
        <v>42810</v>
      </c>
      <c r="J612" s="1" t="str">
        <f>TEXT(Employee_Sample_Data_1[[#This Row],[Hire Date]], "dddd")</f>
        <v>Thursday</v>
      </c>
      <c r="K612" s="1" t="str">
        <f>TEXT(Employee_Sample_Data_1[[#This Row],[Hire Date]], "mmmm")</f>
        <v>March</v>
      </c>
      <c r="L612" s="1" t="str">
        <f>TEXT(Employee_Sample_Data_1[[#This Row],[Hire Date]], "yyyy")</f>
        <v>2017</v>
      </c>
      <c r="M612" s="2">
        <v>66226</v>
      </c>
      <c r="N612" s="3">
        <v>0</v>
      </c>
      <c r="O612" s="9">
        <f>PRODUCT(Employee_Sample_Data_1[[#This Row],[Annual Salary]],Employee_Sample_Data_1[[#This Row],[Bonus %]])</f>
        <v>0</v>
      </c>
      <c r="P612" s="2">
        <f>ROUND(Employee_Sample_Data_1[[#This Row],[Annual Salary]]*(1+Employee_Sample_Data_1[[#This Row],[Bonus %]]), 0)</f>
        <v>66226</v>
      </c>
      <c r="Q612" t="s">
        <v>134</v>
      </c>
      <c r="R612" t="s">
        <v>180</v>
      </c>
      <c r="T612">
        <f ca="1">DATEDIF(Employee_Sample_Data_1[[#This Row],[Hire Date]], IF(Employee_Sample_Data_1[[#This Row],[Exit Date]] = "", TODAY(), Employee_Sample_Data_1[[#This Row],[Exit Date]]), "Y")</f>
        <v>9</v>
      </c>
    </row>
    <row r="613" spans="1:20" x14ac:dyDescent="0.25">
      <c r="A613" t="s">
        <v>1301</v>
      </c>
      <c r="B613" t="s">
        <v>1302</v>
      </c>
      <c r="C613" t="s">
        <v>86</v>
      </c>
      <c r="D613" t="s">
        <v>32</v>
      </c>
      <c r="E613" t="s">
        <v>18</v>
      </c>
      <c r="F613" t="s">
        <v>39</v>
      </c>
      <c r="G613" t="s">
        <v>20</v>
      </c>
      <c r="H613">
        <v>26</v>
      </c>
      <c r="I613" s="1">
        <v>44533</v>
      </c>
      <c r="J613" s="1" t="str">
        <f>TEXT(Employee_Sample_Data_1[[#This Row],[Hire Date]], "dddd")</f>
        <v>Friday</v>
      </c>
      <c r="K613" s="1" t="str">
        <f>TEXT(Employee_Sample_Data_1[[#This Row],[Hire Date]], "mmmm")</f>
        <v>December</v>
      </c>
      <c r="L613" s="1" t="str">
        <f>TEXT(Employee_Sample_Data_1[[#This Row],[Hire Date]], "yyyy")</f>
        <v>2021</v>
      </c>
      <c r="M613" s="2">
        <v>193435</v>
      </c>
      <c r="N613" s="3">
        <v>0.31</v>
      </c>
      <c r="O613" s="9">
        <f>PRODUCT(Employee_Sample_Data_1[[#This Row],[Annual Salary]],Employee_Sample_Data_1[[#This Row],[Bonus %]])</f>
        <v>59964.85</v>
      </c>
      <c r="P613" s="2">
        <f>ROUND(Employee_Sample_Data_1[[#This Row],[Annual Salary]]*(1+Employee_Sample_Data_1[[#This Row],[Bonus %]]), 0)</f>
        <v>253400</v>
      </c>
      <c r="Q613" t="s">
        <v>21</v>
      </c>
      <c r="R613" t="s">
        <v>28</v>
      </c>
      <c r="T613">
        <f ca="1">DATEDIF(Employee_Sample_Data_1[[#This Row],[Hire Date]], IF(Employee_Sample_Data_1[[#This Row],[Exit Date]] = "", TODAY(), Employee_Sample_Data_1[[#This Row],[Exit Date]]), "Y")</f>
        <v>4</v>
      </c>
    </row>
    <row r="614" spans="1:20" x14ac:dyDescent="0.25">
      <c r="A614" t="s">
        <v>1303</v>
      </c>
      <c r="B614" t="s">
        <v>1304</v>
      </c>
      <c r="C614" t="s">
        <v>66</v>
      </c>
      <c r="D614" t="s">
        <v>58</v>
      </c>
      <c r="E614" t="s">
        <v>27</v>
      </c>
      <c r="F614" t="s">
        <v>19</v>
      </c>
      <c r="G614" t="s">
        <v>63</v>
      </c>
      <c r="H614">
        <v>57</v>
      </c>
      <c r="I614" s="1">
        <v>40651</v>
      </c>
      <c r="J614" s="1" t="str">
        <f>TEXT(Employee_Sample_Data_1[[#This Row],[Hire Date]], "dddd")</f>
        <v>Monday</v>
      </c>
      <c r="K614" s="1" t="str">
        <f>TEXT(Employee_Sample_Data_1[[#This Row],[Hire Date]], "mmmm")</f>
        <v>April</v>
      </c>
      <c r="L614" s="1" t="str">
        <f>TEXT(Employee_Sample_Data_1[[#This Row],[Hire Date]], "yyyy")</f>
        <v>2011</v>
      </c>
      <c r="M614" s="2">
        <v>114241</v>
      </c>
      <c r="N614" s="3">
        <v>0.1</v>
      </c>
      <c r="O614" s="9">
        <f>PRODUCT(Employee_Sample_Data_1[[#This Row],[Annual Salary]],Employee_Sample_Data_1[[#This Row],[Bonus %]])</f>
        <v>11424.1</v>
      </c>
      <c r="P614" s="2">
        <f>ROUND(Employee_Sample_Data_1[[#This Row],[Annual Salary]]*(1+Employee_Sample_Data_1[[#This Row],[Bonus %]]), 0)</f>
        <v>125665</v>
      </c>
      <c r="Q614" t="s">
        <v>21</v>
      </c>
      <c r="R614" t="s">
        <v>67</v>
      </c>
      <c r="T614">
        <f ca="1">DATEDIF(Employee_Sample_Data_1[[#This Row],[Hire Date]], IF(Employee_Sample_Data_1[[#This Row],[Exit Date]] = "", TODAY(), Employee_Sample_Data_1[[#This Row],[Exit Date]]), "Y")</f>
        <v>15</v>
      </c>
    </row>
    <row r="615" spans="1:20" x14ac:dyDescent="0.25">
      <c r="A615" t="s">
        <v>1305</v>
      </c>
      <c r="B615" t="s">
        <v>1306</v>
      </c>
      <c r="C615" t="s">
        <v>44</v>
      </c>
      <c r="D615" t="s">
        <v>17</v>
      </c>
      <c r="E615" t="s">
        <v>33</v>
      </c>
      <c r="F615" t="s">
        <v>39</v>
      </c>
      <c r="G615" t="s">
        <v>40</v>
      </c>
      <c r="H615">
        <v>25</v>
      </c>
      <c r="I615" s="1">
        <v>44876</v>
      </c>
      <c r="J615" s="1" t="str">
        <f>TEXT(Employee_Sample_Data_1[[#This Row],[Hire Date]], "dddd")</f>
        <v>Friday</v>
      </c>
      <c r="K615" s="1" t="str">
        <f>TEXT(Employee_Sample_Data_1[[#This Row],[Hire Date]], "mmmm")</f>
        <v>November</v>
      </c>
      <c r="L615" s="1" t="str">
        <f>TEXT(Employee_Sample_Data_1[[#This Row],[Hire Date]], "yyyy")</f>
        <v>2022</v>
      </c>
      <c r="M615" s="2">
        <v>177264</v>
      </c>
      <c r="N615" s="3">
        <v>0.16</v>
      </c>
      <c r="O615" s="9">
        <f>PRODUCT(Employee_Sample_Data_1[[#This Row],[Annual Salary]],Employee_Sample_Data_1[[#This Row],[Bonus %]])</f>
        <v>28362.240000000002</v>
      </c>
      <c r="P615" s="2">
        <f>ROUND(Employee_Sample_Data_1[[#This Row],[Annual Salary]]*(1+Employee_Sample_Data_1[[#This Row],[Bonus %]]), 0)</f>
        <v>205626</v>
      </c>
      <c r="Q615" t="s">
        <v>134</v>
      </c>
      <c r="R615" t="s">
        <v>286</v>
      </c>
      <c r="T615">
        <f ca="1">DATEDIF(Employee_Sample_Data_1[[#This Row],[Hire Date]], IF(Employee_Sample_Data_1[[#This Row],[Exit Date]] = "", TODAY(), Employee_Sample_Data_1[[#This Row],[Exit Date]]), "Y")</f>
        <v>3</v>
      </c>
    </row>
    <row r="616" spans="1:20" x14ac:dyDescent="0.25">
      <c r="A616" t="s">
        <v>1307</v>
      </c>
      <c r="B616" t="s">
        <v>1308</v>
      </c>
      <c r="C616" t="s">
        <v>128</v>
      </c>
      <c r="D616" t="s">
        <v>123</v>
      </c>
      <c r="E616" t="s">
        <v>27</v>
      </c>
      <c r="F616" t="s">
        <v>19</v>
      </c>
      <c r="G616" t="s">
        <v>20</v>
      </c>
      <c r="H616">
        <v>53</v>
      </c>
      <c r="I616" s="1">
        <v>42472</v>
      </c>
      <c r="J616" s="1" t="str">
        <f>TEXT(Employee_Sample_Data_1[[#This Row],[Hire Date]], "dddd")</f>
        <v>Tuesday</v>
      </c>
      <c r="K616" s="1" t="str">
        <f>TEXT(Employee_Sample_Data_1[[#This Row],[Hire Date]], "mmmm")</f>
        <v>April</v>
      </c>
      <c r="L616" s="1" t="str">
        <f>TEXT(Employee_Sample_Data_1[[#This Row],[Hire Date]], "yyyy")</f>
        <v>2016</v>
      </c>
      <c r="M616" s="2">
        <v>58010</v>
      </c>
      <c r="N616" s="3">
        <v>0</v>
      </c>
      <c r="O616" s="9">
        <f>PRODUCT(Employee_Sample_Data_1[[#This Row],[Annual Salary]],Employee_Sample_Data_1[[#This Row],[Bonus %]])</f>
        <v>0</v>
      </c>
      <c r="P616" s="2">
        <f>ROUND(Employee_Sample_Data_1[[#This Row],[Annual Salary]]*(1+Employee_Sample_Data_1[[#This Row],[Bonus %]]), 0)</f>
        <v>58010</v>
      </c>
      <c r="Q616" t="s">
        <v>21</v>
      </c>
      <c r="R616" t="s">
        <v>41</v>
      </c>
      <c r="T616">
        <f ca="1">DATEDIF(Employee_Sample_Data_1[[#This Row],[Hire Date]], IF(Employee_Sample_Data_1[[#This Row],[Exit Date]] = "", TODAY(), Employee_Sample_Data_1[[#This Row],[Exit Date]]), "Y")</f>
        <v>10</v>
      </c>
    </row>
    <row r="617" spans="1:20" x14ac:dyDescent="0.25">
      <c r="A617" t="s">
        <v>1309</v>
      </c>
      <c r="B617" t="s">
        <v>1310</v>
      </c>
      <c r="C617" t="s">
        <v>44</v>
      </c>
      <c r="D617" t="s">
        <v>32</v>
      </c>
      <c r="E617" t="s">
        <v>53</v>
      </c>
      <c r="F617" t="s">
        <v>19</v>
      </c>
      <c r="G617" t="s">
        <v>81</v>
      </c>
      <c r="H617">
        <v>43</v>
      </c>
      <c r="I617" s="1">
        <v>37695</v>
      </c>
      <c r="J617" s="1" t="str">
        <f>TEXT(Employee_Sample_Data_1[[#This Row],[Hire Date]], "dddd")</f>
        <v>Saturday</v>
      </c>
      <c r="K617" s="1" t="str">
        <f>TEXT(Employee_Sample_Data_1[[#This Row],[Hire Date]], "mmmm")</f>
        <v>March</v>
      </c>
      <c r="L617" s="1" t="str">
        <f>TEXT(Employee_Sample_Data_1[[#This Row],[Hire Date]], "yyyy")</f>
        <v>2003</v>
      </c>
      <c r="M617" s="2">
        <v>154284</v>
      </c>
      <c r="N617" s="3">
        <v>0.25</v>
      </c>
      <c r="O617" s="9">
        <f>PRODUCT(Employee_Sample_Data_1[[#This Row],[Annual Salary]],Employee_Sample_Data_1[[#This Row],[Bonus %]])</f>
        <v>38571</v>
      </c>
      <c r="P617" s="2">
        <f>ROUND(Employee_Sample_Data_1[[#This Row],[Annual Salary]]*(1+Employee_Sample_Data_1[[#This Row],[Bonus %]]), 0)</f>
        <v>192855</v>
      </c>
      <c r="Q617" t="s">
        <v>21</v>
      </c>
      <c r="R617" t="s">
        <v>28</v>
      </c>
      <c r="T617">
        <f ca="1">DATEDIF(Employee_Sample_Data_1[[#This Row],[Hire Date]], IF(Employee_Sample_Data_1[[#This Row],[Exit Date]] = "", TODAY(), Employee_Sample_Data_1[[#This Row],[Exit Date]]), "Y")</f>
        <v>23</v>
      </c>
    </row>
    <row r="618" spans="1:20" x14ac:dyDescent="0.25">
      <c r="A618" t="s">
        <v>1311</v>
      </c>
      <c r="B618" t="s">
        <v>1312</v>
      </c>
      <c r="C618" t="s">
        <v>25</v>
      </c>
      <c r="D618" t="s">
        <v>52</v>
      </c>
      <c r="E618" t="s">
        <v>27</v>
      </c>
      <c r="F618" t="s">
        <v>39</v>
      </c>
      <c r="G618" t="s">
        <v>63</v>
      </c>
      <c r="H618">
        <v>49</v>
      </c>
      <c r="I618" s="1">
        <v>37305</v>
      </c>
      <c r="J618" s="1" t="str">
        <f>TEXT(Employee_Sample_Data_1[[#This Row],[Hire Date]], "dddd")</f>
        <v>Monday</v>
      </c>
      <c r="K618" s="1" t="str">
        <f>TEXT(Employee_Sample_Data_1[[#This Row],[Hire Date]], "mmmm")</f>
        <v>February</v>
      </c>
      <c r="L618" s="1" t="str">
        <f>TEXT(Employee_Sample_Data_1[[#This Row],[Hire Date]], "yyyy")</f>
        <v>2002</v>
      </c>
      <c r="M618" s="2">
        <v>54633</v>
      </c>
      <c r="N618" s="3">
        <v>0</v>
      </c>
      <c r="O618" s="9">
        <f>PRODUCT(Employee_Sample_Data_1[[#This Row],[Annual Salary]],Employee_Sample_Data_1[[#This Row],[Bonus %]])</f>
        <v>0</v>
      </c>
      <c r="P618" s="2">
        <f>ROUND(Employee_Sample_Data_1[[#This Row],[Annual Salary]]*(1+Employee_Sample_Data_1[[#This Row],[Bonus %]]), 0)</f>
        <v>54633</v>
      </c>
      <c r="Q618" t="s">
        <v>21</v>
      </c>
      <c r="R618" t="s">
        <v>28</v>
      </c>
      <c r="T618">
        <f ca="1">DATEDIF(Employee_Sample_Data_1[[#This Row],[Hire Date]], IF(Employee_Sample_Data_1[[#This Row],[Exit Date]] = "", TODAY(), Employee_Sample_Data_1[[#This Row],[Exit Date]]), "Y")</f>
        <v>24</v>
      </c>
    </row>
    <row r="619" spans="1:20" x14ac:dyDescent="0.25">
      <c r="A619" t="s">
        <v>1313</v>
      </c>
      <c r="B619" t="s">
        <v>1314</v>
      </c>
      <c r="C619" t="s">
        <v>128</v>
      </c>
      <c r="D619" t="s">
        <v>123</v>
      </c>
      <c r="E619" t="s">
        <v>33</v>
      </c>
      <c r="F619" t="s">
        <v>39</v>
      </c>
      <c r="G619" t="s">
        <v>20</v>
      </c>
      <c r="H619">
        <v>61</v>
      </c>
      <c r="I619" s="1">
        <v>35303</v>
      </c>
      <c r="J619" s="1" t="str">
        <f>TEXT(Employee_Sample_Data_1[[#This Row],[Hire Date]], "dddd")</f>
        <v>Monday</v>
      </c>
      <c r="K619" s="1" t="str">
        <f>TEXT(Employee_Sample_Data_1[[#This Row],[Hire Date]], "mmmm")</f>
        <v>August</v>
      </c>
      <c r="L619" s="1" t="str">
        <f>TEXT(Employee_Sample_Data_1[[#This Row],[Hire Date]], "yyyy")</f>
        <v>1996</v>
      </c>
      <c r="M619" s="2">
        <v>42829</v>
      </c>
      <c r="N619" s="3">
        <v>0</v>
      </c>
      <c r="O619" s="9">
        <f>PRODUCT(Employee_Sample_Data_1[[#This Row],[Annual Salary]],Employee_Sample_Data_1[[#This Row],[Bonus %]])</f>
        <v>0</v>
      </c>
      <c r="P619" s="2">
        <f>ROUND(Employee_Sample_Data_1[[#This Row],[Annual Salary]]*(1+Employee_Sample_Data_1[[#This Row],[Bonus %]]), 0)</f>
        <v>42829</v>
      </c>
      <c r="Q619" t="s">
        <v>21</v>
      </c>
      <c r="R619" t="s">
        <v>22</v>
      </c>
      <c r="T619">
        <f ca="1">DATEDIF(Employee_Sample_Data_1[[#This Row],[Hire Date]], IF(Employee_Sample_Data_1[[#This Row],[Exit Date]] = "", TODAY(), Employee_Sample_Data_1[[#This Row],[Exit Date]]), "Y")</f>
        <v>29</v>
      </c>
    </row>
    <row r="620" spans="1:20" x14ac:dyDescent="0.25">
      <c r="A620" t="s">
        <v>1315</v>
      </c>
      <c r="B620" t="s">
        <v>1316</v>
      </c>
      <c r="C620" t="s">
        <v>265</v>
      </c>
      <c r="D620" t="s">
        <v>17</v>
      </c>
      <c r="E620" t="s">
        <v>33</v>
      </c>
      <c r="F620" t="s">
        <v>19</v>
      </c>
      <c r="G620" t="s">
        <v>40</v>
      </c>
      <c r="H620">
        <v>41</v>
      </c>
      <c r="I620" s="1">
        <v>40252</v>
      </c>
      <c r="J620" s="1" t="str">
        <f>TEXT(Employee_Sample_Data_1[[#This Row],[Hire Date]], "dddd")</f>
        <v>Monday</v>
      </c>
      <c r="K620" s="1" t="str">
        <f>TEXT(Employee_Sample_Data_1[[#This Row],[Hire Date]], "mmmm")</f>
        <v>March</v>
      </c>
      <c r="L620" s="1" t="str">
        <f>TEXT(Employee_Sample_Data_1[[#This Row],[Hire Date]], "yyyy")</f>
        <v>2010</v>
      </c>
      <c r="M620" s="2">
        <v>118973</v>
      </c>
      <c r="N620" s="3">
        <v>0.1</v>
      </c>
      <c r="O620" s="9">
        <f>PRODUCT(Employee_Sample_Data_1[[#This Row],[Annual Salary]],Employee_Sample_Data_1[[#This Row],[Bonus %]])</f>
        <v>11897.300000000001</v>
      </c>
      <c r="P620" s="2">
        <f>ROUND(Employee_Sample_Data_1[[#This Row],[Annual Salary]]*(1+Employee_Sample_Data_1[[#This Row],[Bonus %]]), 0)</f>
        <v>130870</v>
      </c>
      <c r="Q620" t="s">
        <v>21</v>
      </c>
      <c r="R620" t="s">
        <v>48</v>
      </c>
      <c r="T620">
        <f ca="1">DATEDIF(Employee_Sample_Data_1[[#This Row],[Hire Date]], IF(Employee_Sample_Data_1[[#This Row],[Exit Date]] = "", TODAY(), Employee_Sample_Data_1[[#This Row],[Exit Date]]), "Y")</f>
        <v>16</v>
      </c>
    </row>
    <row r="621" spans="1:20" x14ac:dyDescent="0.25">
      <c r="A621" t="s">
        <v>1317</v>
      </c>
      <c r="B621" t="s">
        <v>1318</v>
      </c>
      <c r="C621" t="s">
        <v>377</v>
      </c>
      <c r="D621" t="s">
        <v>32</v>
      </c>
      <c r="E621" t="s">
        <v>18</v>
      </c>
      <c r="F621" t="s">
        <v>39</v>
      </c>
      <c r="G621" t="s">
        <v>63</v>
      </c>
      <c r="H621">
        <v>56</v>
      </c>
      <c r="I621" s="1">
        <v>43463</v>
      </c>
      <c r="J621" s="1" t="str">
        <f>TEXT(Employee_Sample_Data_1[[#This Row],[Hire Date]], "dddd")</f>
        <v>Saturday</v>
      </c>
      <c r="K621" s="1" t="str">
        <f>TEXT(Employee_Sample_Data_1[[#This Row],[Hire Date]], "mmmm")</f>
        <v>December</v>
      </c>
      <c r="L621" s="1" t="str">
        <f>TEXT(Employee_Sample_Data_1[[#This Row],[Hire Date]], "yyyy")</f>
        <v>2018</v>
      </c>
      <c r="M621" s="2">
        <v>61251</v>
      </c>
      <c r="N621" s="3">
        <v>0</v>
      </c>
      <c r="O621" s="9">
        <f>PRODUCT(Employee_Sample_Data_1[[#This Row],[Annual Salary]],Employee_Sample_Data_1[[#This Row],[Bonus %]])</f>
        <v>0</v>
      </c>
      <c r="P621" s="2">
        <f>ROUND(Employee_Sample_Data_1[[#This Row],[Annual Salary]]*(1+Employee_Sample_Data_1[[#This Row],[Bonus %]]), 0)</f>
        <v>61251</v>
      </c>
      <c r="Q621" t="s">
        <v>21</v>
      </c>
      <c r="R621" t="s">
        <v>67</v>
      </c>
      <c r="T621">
        <f ca="1">DATEDIF(Employee_Sample_Data_1[[#This Row],[Hire Date]], IF(Employee_Sample_Data_1[[#This Row],[Exit Date]] = "", TODAY(), Employee_Sample_Data_1[[#This Row],[Exit Date]]), "Y")</f>
        <v>7</v>
      </c>
    </row>
    <row r="622" spans="1:20" x14ac:dyDescent="0.25">
      <c r="A622" t="s">
        <v>1319</v>
      </c>
      <c r="B622" t="s">
        <v>1320</v>
      </c>
      <c r="C622" t="s">
        <v>265</v>
      </c>
      <c r="D622" t="s">
        <v>17</v>
      </c>
      <c r="E622" t="s">
        <v>53</v>
      </c>
      <c r="F622" t="s">
        <v>19</v>
      </c>
      <c r="G622" t="s">
        <v>63</v>
      </c>
      <c r="H622">
        <v>49</v>
      </c>
      <c r="I622" s="1">
        <v>37370</v>
      </c>
      <c r="J622" s="1" t="str">
        <f>TEXT(Employee_Sample_Data_1[[#This Row],[Hire Date]], "dddd")</f>
        <v>Wednesday</v>
      </c>
      <c r="K622" s="1" t="str">
        <f>TEXT(Employee_Sample_Data_1[[#This Row],[Hire Date]], "mmmm")</f>
        <v>April</v>
      </c>
      <c r="L622" s="1" t="str">
        <f>TEXT(Employee_Sample_Data_1[[#This Row],[Hire Date]], "yyyy")</f>
        <v>2002</v>
      </c>
      <c r="M622" s="2">
        <v>108636</v>
      </c>
      <c r="N622" s="3">
        <v>0.1</v>
      </c>
      <c r="O622" s="9">
        <f>PRODUCT(Employee_Sample_Data_1[[#This Row],[Annual Salary]],Employee_Sample_Data_1[[#This Row],[Bonus %]])</f>
        <v>10863.6</v>
      </c>
      <c r="P622" s="2">
        <f>ROUND(Employee_Sample_Data_1[[#This Row],[Annual Salary]]*(1+Employee_Sample_Data_1[[#This Row],[Bonus %]]), 0)</f>
        <v>119500</v>
      </c>
      <c r="Q622" t="s">
        <v>21</v>
      </c>
      <c r="R622" t="s">
        <v>22</v>
      </c>
      <c r="T622">
        <f ca="1">DATEDIF(Employee_Sample_Data_1[[#This Row],[Hire Date]], IF(Employee_Sample_Data_1[[#This Row],[Exit Date]] = "", TODAY(), Employee_Sample_Data_1[[#This Row],[Exit Date]]), "Y")</f>
        <v>24</v>
      </c>
    </row>
    <row r="623" spans="1:20" x14ac:dyDescent="0.25">
      <c r="A623" t="s">
        <v>1321</v>
      </c>
      <c r="B623" t="s">
        <v>1322</v>
      </c>
      <c r="C623" t="s">
        <v>289</v>
      </c>
      <c r="D623" t="s">
        <v>17</v>
      </c>
      <c r="E623" t="s">
        <v>53</v>
      </c>
      <c r="F623" t="s">
        <v>39</v>
      </c>
      <c r="G623" t="s">
        <v>20</v>
      </c>
      <c r="H623">
        <v>32</v>
      </c>
      <c r="I623" s="1">
        <v>41753</v>
      </c>
      <c r="J623" s="1" t="str">
        <f>TEXT(Employee_Sample_Data_1[[#This Row],[Hire Date]], "dddd")</f>
        <v>Thursday</v>
      </c>
      <c r="K623" s="1" t="str">
        <f>TEXT(Employee_Sample_Data_1[[#This Row],[Hire Date]], "mmmm")</f>
        <v>April</v>
      </c>
      <c r="L623" s="1" t="str">
        <f>TEXT(Employee_Sample_Data_1[[#This Row],[Hire Date]], "yyyy")</f>
        <v>2014</v>
      </c>
      <c r="M623" s="2">
        <v>68780</v>
      </c>
      <c r="N623" s="3">
        <v>0</v>
      </c>
      <c r="O623" s="9">
        <f>PRODUCT(Employee_Sample_Data_1[[#This Row],[Annual Salary]],Employee_Sample_Data_1[[#This Row],[Bonus %]])</f>
        <v>0</v>
      </c>
      <c r="P623" s="2">
        <f>ROUND(Employee_Sample_Data_1[[#This Row],[Annual Salary]]*(1+Employee_Sample_Data_1[[#This Row],[Bonus %]]), 0)</f>
        <v>68780</v>
      </c>
      <c r="Q623" t="s">
        <v>34</v>
      </c>
      <c r="R623" t="s">
        <v>108</v>
      </c>
      <c r="T623">
        <f ca="1">DATEDIF(Employee_Sample_Data_1[[#This Row],[Hire Date]], IF(Employee_Sample_Data_1[[#This Row],[Exit Date]] = "", TODAY(), Employee_Sample_Data_1[[#This Row],[Exit Date]]), "Y")</f>
        <v>12</v>
      </c>
    </row>
    <row r="624" spans="1:20" x14ac:dyDescent="0.25">
      <c r="A624" t="s">
        <v>1323</v>
      </c>
      <c r="B624" t="s">
        <v>1324</v>
      </c>
      <c r="C624" t="s">
        <v>57</v>
      </c>
      <c r="D624" t="s">
        <v>52</v>
      </c>
      <c r="E624" t="s">
        <v>27</v>
      </c>
      <c r="F624" t="s">
        <v>39</v>
      </c>
      <c r="G624" t="s">
        <v>63</v>
      </c>
      <c r="H624">
        <v>30</v>
      </c>
      <c r="I624" s="1">
        <v>42592</v>
      </c>
      <c r="J624" s="1" t="str">
        <f>TEXT(Employee_Sample_Data_1[[#This Row],[Hire Date]], "dddd")</f>
        <v>Wednesday</v>
      </c>
      <c r="K624" s="1" t="str">
        <f>TEXT(Employee_Sample_Data_1[[#This Row],[Hire Date]], "mmmm")</f>
        <v>August</v>
      </c>
      <c r="L624" s="1" t="str">
        <f>TEXT(Employee_Sample_Data_1[[#This Row],[Hire Date]], "yyyy")</f>
        <v>2016</v>
      </c>
      <c r="M624" s="2">
        <v>60261</v>
      </c>
      <c r="N624" s="3">
        <v>0</v>
      </c>
      <c r="O624" s="9">
        <f>PRODUCT(Employee_Sample_Data_1[[#This Row],[Annual Salary]],Employee_Sample_Data_1[[#This Row],[Bonus %]])</f>
        <v>0</v>
      </c>
      <c r="P624" s="2">
        <f>ROUND(Employee_Sample_Data_1[[#This Row],[Annual Salary]]*(1+Employee_Sample_Data_1[[#This Row],[Bonus %]]), 0)</f>
        <v>60261</v>
      </c>
      <c r="Q624" t="s">
        <v>21</v>
      </c>
      <c r="R624" t="s">
        <v>41</v>
      </c>
      <c r="T624">
        <f ca="1">DATEDIF(Employee_Sample_Data_1[[#This Row],[Hire Date]], IF(Employee_Sample_Data_1[[#This Row],[Exit Date]] = "", TODAY(), Employee_Sample_Data_1[[#This Row],[Exit Date]]), "Y")</f>
        <v>9</v>
      </c>
    </row>
    <row r="625" spans="1:20" x14ac:dyDescent="0.25">
      <c r="A625" t="s">
        <v>1325</v>
      </c>
      <c r="B625" t="s">
        <v>1326</v>
      </c>
      <c r="C625" t="s">
        <v>66</v>
      </c>
      <c r="D625" t="s">
        <v>58</v>
      </c>
      <c r="E625" t="s">
        <v>53</v>
      </c>
      <c r="F625" t="s">
        <v>19</v>
      </c>
      <c r="G625" t="s">
        <v>20</v>
      </c>
      <c r="H625">
        <v>64</v>
      </c>
      <c r="I625" s="1">
        <v>37815</v>
      </c>
      <c r="J625" s="1" t="str">
        <f>TEXT(Employee_Sample_Data_1[[#This Row],[Hire Date]], "dddd")</f>
        <v>Sunday</v>
      </c>
      <c r="K625" s="1" t="str">
        <f>TEXT(Employee_Sample_Data_1[[#This Row],[Hire Date]], "mmmm")</f>
        <v>July</v>
      </c>
      <c r="L625" s="1" t="str">
        <f>TEXT(Employee_Sample_Data_1[[#This Row],[Hire Date]], "yyyy")</f>
        <v>2003</v>
      </c>
      <c r="M625" s="2">
        <v>100951</v>
      </c>
      <c r="N625" s="3">
        <v>0.05</v>
      </c>
      <c r="O625" s="9">
        <f>PRODUCT(Employee_Sample_Data_1[[#This Row],[Annual Salary]],Employee_Sample_Data_1[[#This Row],[Bonus %]])</f>
        <v>5047.55</v>
      </c>
      <c r="P625" s="2">
        <f>ROUND(Employee_Sample_Data_1[[#This Row],[Annual Salary]]*(1+Employee_Sample_Data_1[[#This Row],[Bonus %]]), 0)</f>
        <v>105999</v>
      </c>
      <c r="Q625" t="s">
        <v>21</v>
      </c>
      <c r="R625" t="s">
        <v>67</v>
      </c>
      <c r="T625">
        <f ca="1">DATEDIF(Employee_Sample_Data_1[[#This Row],[Hire Date]], IF(Employee_Sample_Data_1[[#This Row],[Exit Date]] = "", TODAY(), Employee_Sample_Data_1[[#This Row],[Exit Date]]), "Y")</f>
        <v>22</v>
      </c>
    </row>
    <row r="626" spans="1:20" x14ac:dyDescent="0.25">
      <c r="A626" t="s">
        <v>1327</v>
      </c>
      <c r="B626" t="s">
        <v>1328</v>
      </c>
      <c r="C626" t="s">
        <v>377</v>
      </c>
      <c r="D626" t="s">
        <v>32</v>
      </c>
      <c r="E626" t="s">
        <v>53</v>
      </c>
      <c r="F626" t="s">
        <v>19</v>
      </c>
      <c r="G626" t="s">
        <v>40</v>
      </c>
      <c r="H626">
        <v>57</v>
      </c>
      <c r="I626" s="1">
        <v>44762</v>
      </c>
      <c r="J626" s="1" t="str">
        <f>TEXT(Employee_Sample_Data_1[[#This Row],[Hire Date]], "dddd")</f>
        <v>Wednesday</v>
      </c>
      <c r="K626" s="1" t="str">
        <f>TEXT(Employee_Sample_Data_1[[#This Row],[Hire Date]], "mmmm")</f>
        <v>July</v>
      </c>
      <c r="L626" s="1" t="str">
        <f>TEXT(Employee_Sample_Data_1[[#This Row],[Hire Date]], "yyyy")</f>
        <v>2022</v>
      </c>
      <c r="M626" s="2">
        <v>93872</v>
      </c>
      <c r="N626" s="3">
        <v>0</v>
      </c>
      <c r="O626" s="9">
        <f>PRODUCT(Employee_Sample_Data_1[[#This Row],[Annual Salary]],Employee_Sample_Data_1[[#This Row],[Bonus %]])</f>
        <v>0</v>
      </c>
      <c r="P626" s="2">
        <f>ROUND(Employee_Sample_Data_1[[#This Row],[Annual Salary]]*(1+Employee_Sample_Data_1[[#This Row],[Bonus %]]), 0)</f>
        <v>93872</v>
      </c>
      <c r="Q626" t="s">
        <v>134</v>
      </c>
      <c r="R626" t="s">
        <v>180</v>
      </c>
      <c r="S626" s="1">
        <v>44902</v>
      </c>
      <c r="T626">
        <f ca="1">DATEDIF(Employee_Sample_Data_1[[#This Row],[Hire Date]], IF(Employee_Sample_Data_1[[#This Row],[Exit Date]] = "", TODAY(), Employee_Sample_Data_1[[#This Row],[Exit Date]]), "Y")</f>
        <v>0</v>
      </c>
    </row>
    <row r="627" spans="1:20" x14ac:dyDescent="0.25">
      <c r="A627" t="s">
        <v>1329</v>
      </c>
      <c r="B627" t="s">
        <v>1330</v>
      </c>
      <c r="C627" t="s">
        <v>86</v>
      </c>
      <c r="D627" t="s">
        <v>77</v>
      </c>
      <c r="E627" t="s">
        <v>53</v>
      </c>
      <c r="F627" t="s">
        <v>39</v>
      </c>
      <c r="G627" t="s">
        <v>63</v>
      </c>
      <c r="H627">
        <v>50</v>
      </c>
      <c r="I627" s="1">
        <v>43280</v>
      </c>
      <c r="J627" s="1" t="str">
        <f>TEXT(Employee_Sample_Data_1[[#This Row],[Hire Date]], "dddd")</f>
        <v>Friday</v>
      </c>
      <c r="K627" s="1" t="str">
        <f>TEXT(Employee_Sample_Data_1[[#This Row],[Hire Date]], "mmmm")</f>
        <v>June</v>
      </c>
      <c r="L627" s="1" t="str">
        <f>TEXT(Employee_Sample_Data_1[[#This Row],[Hire Date]], "yyyy")</f>
        <v>2018</v>
      </c>
      <c r="M627" s="2">
        <v>181570</v>
      </c>
      <c r="N627" s="3">
        <v>0.35</v>
      </c>
      <c r="O627" s="9">
        <f>PRODUCT(Employee_Sample_Data_1[[#This Row],[Annual Salary]],Employee_Sample_Data_1[[#This Row],[Bonus %]])</f>
        <v>63549.499999999993</v>
      </c>
      <c r="P627" s="2">
        <f>ROUND(Employee_Sample_Data_1[[#This Row],[Annual Salary]]*(1+Employee_Sample_Data_1[[#This Row],[Bonus %]]), 0)</f>
        <v>245120</v>
      </c>
      <c r="Q627" t="s">
        <v>21</v>
      </c>
      <c r="R627" t="s">
        <v>67</v>
      </c>
      <c r="S627" s="1">
        <v>44490</v>
      </c>
      <c r="T627">
        <f ca="1">DATEDIF(Employee_Sample_Data_1[[#This Row],[Hire Date]], IF(Employee_Sample_Data_1[[#This Row],[Exit Date]] = "", TODAY(), Employee_Sample_Data_1[[#This Row],[Exit Date]]), "Y")</f>
        <v>3</v>
      </c>
    </row>
    <row r="628" spans="1:20" x14ac:dyDescent="0.25">
      <c r="A628" t="s">
        <v>1331</v>
      </c>
      <c r="B628" t="s">
        <v>1332</v>
      </c>
      <c r="C628" t="s">
        <v>66</v>
      </c>
      <c r="D628" t="s">
        <v>26</v>
      </c>
      <c r="E628" t="s">
        <v>18</v>
      </c>
      <c r="F628" t="s">
        <v>19</v>
      </c>
      <c r="G628" t="s">
        <v>20</v>
      </c>
      <c r="H628">
        <v>61</v>
      </c>
      <c r="I628" s="1">
        <v>37894</v>
      </c>
      <c r="J628" s="1" t="str">
        <f>TEXT(Employee_Sample_Data_1[[#This Row],[Hire Date]], "dddd")</f>
        <v>Tuesday</v>
      </c>
      <c r="K628" s="1" t="str">
        <f>TEXT(Employee_Sample_Data_1[[#This Row],[Hire Date]], "mmmm")</f>
        <v>September</v>
      </c>
      <c r="L628" s="1" t="str">
        <f>TEXT(Employee_Sample_Data_1[[#This Row],[Hire Date]], "yyyy")</f>
        <v>2003</v>
      </c>
      <c r="M628" s="2">
        <v>101517</v>
      </c>
      <c r="N628" s="3">
        <v>0.09</v>
      </c>
      <c r="O628" s="9">
        <f>PRODUCT(Employee_Sample_Data_1[[#This Row],[Annual Salary]],Employee_Sample_Data_1[[#This Row],[Bonus %]])</f>
        <v>9136.5299999999988</v>
      </c>
      <c r="P628" s="2">
        <f>ROUND(Employee_Sample_Data_1[[#This Row],[Annual Salary]]*(1+Employee_Sample_Data_1[[#This Row],[Bonus %]]), 0)</f>
        <v>110654</v>
      </c>
      <c r="Q628" t="s">
        <v>21</v>
      </c>
      <c r="R628" t="s">
        <v>41</v>
      </c>
      <c r="T628">
        <f ca="1">DATEDIF(Employee_Sample_Data_1[[#This Row],[Hire Date]], IF(Employee_Sample_Data_1[[#This Row],[Exit Date]] = "", TODAY(), Employee_Sample_Data_1[[#This Row],[Exit Date]]), "Y")</f>
        <v>22</v>
      </c>
    </row>
    <row r="629" spans="1:20" x14ac:dyDescent="0.25">
      <c r="A629" t="s">
        <v>1333</v>
      </c>
      <c r="B629" t="s">
        <v>1334</v>
      </c>
      <c r="C629" t="s">
        <v>66</v>
      </c>
      <c r="D629" t="s">
        <v>58</v>
      </c>
      <c r="E629" t="s">
        <v>18</v>
      </c>
      <c r="F629" t="s">
        <v>19</v>
      </c>
      <c r="G629" t="s">
        <v>20</v>
      </c>
      <c r="H629">
        <v>43</v>
      </c>
      <c r="I629" s="1">
        <v>38747</v>
      </c>
      <c r="J629" s="1" t="str">
        <f>TEXT(Employee_Sample_Data_1[[#This Row],[Hire Date]], "dddd")</f>
        <v>Monday</v>
      </c>
      <c r="K629" s="1" t="str">
        <f>TEXT(Employee_Sample_Data_1[[#This Row],[Hire Date]], "mmmm")</f>
        <v>January</v>
      </c>
      <c r="L629" s="1" t="str">
        <f>TEXT(Employee_Sample_Data_1[[#This Row],[Hire Date]], "yyyy")</f>
        <v>2006</v>
      </c>
      <c r="M629" s="2">
        <v>100822</v>
      </c>
      <c r="N629" s="3">
        <v>0.1</v>
      </c>
      <c r="O629" s="9">
        <f>PRODUCT(Employee_Sample_Data_1[[#This Row],[Annual Salary]],Employee_Sample_Data_1[[#This Row],[Bonus %]])</f>
        <v>10082.200000000001</v>
      </c>
      <c r="P629" s="2">
        <f>ROUND(Employee_Sample_Data_1[[#This Row],[Annual Salary]]*(1+Employee_Sample_Data_1[[#This Row],[Bonus %]]), 0)</f>
        <v>110904</v>
      </c>
      <c r="Q629" t="s">
        <v>34</v>
      </c>
      <c r="R629" t="s">
        <v>54</v>
      </c>
      <c r="T629">
        <f ca="1">DATEDIF(Employee_Sample_Data_1[[#This Row],[Hire Date]], IF(Employee_Sample_Data_1[[#This Row],[Exit Date]] = "", TODAY(), Employee_Sample_Data_1[[#This Row],[Exit Date]]), "Y")</f>
        <v>20</v>
      </c>
    </row>
    <row r="630" spans="1:20" x14ac:dyDescent="0.25">
      <c r="A630" t="s">
        <v>1335</v>
      </c>
      <c r="B630" t="s">
        <v>1336</v>
      </c>
      <c r="C630" t="s">
        <v>66</v>
      </c>
      <c r="D630" t="s">
        <v>77</v>
      </c>
      <c r="E630" t="s">
        <v>33</v>
      </c>
      <c r="F630" t="s">
        <v>39</v>
      </c>
      <c r="G630" t="s">
        <v>20</v>
      </c>
      <c r="H630">
        <v>26</v>
      </c>
      <c r="I630" s="1">
        <v>44622</v>
      </c>
      <c r="J630" s="1" t="str">
        <f>TEXT(Employee_Sample_Data_1[[#This Row],[Hire Date]], "dddd")</f>
        <v>Wednesday</v>
      </c>
      <c r="K630" s="1" t="str">
        <f>TEXT(Employee_Sample_Data_1[[#This Row],[Hire Date]], "mmmm")</f>
        <v>March</v>
      </c>
      <c r="L630" s="1" t="str">
        <f>TEXT(Employee_Sample_Data_1[[#This Row],[Hire Date]], "yyyy")</f>
        <v>2022</v>
      </c>
      <c r="M630" s="2">
        <v>128965</v>
      </c>
      <c r="N630" s="3">
        <v>0.09</v>
      </c>
      <c r="O630" s="9">
        <f>PRODUCT(Employee_Sample_Data_1[[#This Row],[Annual Salary]],Employee_Sample_Data_1[[#This Row],[Bonus %]])</f>
        <v>11606.85</v>
      </c>
      <c r="P630" s="2">
        <f>ROUND(Employee_Sample_Data_1[[#This Row],[Annual Salary]]*(1+Employee_Sample_Data_1[[#This Row],[Bonus %]]), 0)</f>
        <v>140572</v>
      </c>
      <c r="Q630" t="s">
        <v>21</v>
      </c>
      <c r="R630" t="s">
        <v>22</v>
      </c>
      <c r="T630">
        <f ca="1">DATEDIF(Employee_Sample_Data_1[[#This Row],[Hire Date]], IF(Employee_Sample_Data_1[[#This Row],[Exit Date]] = "", TODAY(), Employee_Sample_Data_1[[#This Row],[Exit Date]]), "Y")</f>
        <v>4</v>
      </c>
    </row>
    <row r="631" spans="1:20" x14ac:dyDescent="0.25">
      <c r="A631" t="s">
        <v>1337</v>
      </c>
      <c r="B631" t="s">
        <v>1338</v>
      </c>
      <c r="C631" t="s">
        <v>31</v>
      </c>
      <c r="D631" t="s">
        <v>32</v>
      </c>
      <c r="E631" t="s">
        <v>18</v>
      </c>
      <c r="F631" t="s">
        <v>39</v>
      </c>
      <c r="G631" t="s">
        <v>20</v>
      </c>
      <c r="H631">
        <v>54</v>
      </c>
      <c r="I631" s="1">
        <v>40864</v>
      </c>
      <c r="J631" s="1" t="str">
        <f>TEXT(Employee_Sample_Data_1[[#This Row],[Hire Date]], "dddd")</f>
        <v>Thursday</v>
      </c>
      <c r="K631" s="1" t="str">
        <f>TEXT(Employee_Sample_Data_1[[#This Row],[Hire Date]], "mmmm")</f>
        <v>November</v>
      </c>
      <c r="L631" s="1" t="str">
        <f>TEXT(Employee_Sample_Data_1[[#This Row],[Hire Date]], "yyyy")</f>
        <v>2011</v>
      </c>
      <c r="M631" s="2">
        <v>60513</v>
      </c>
      <c r="N631" s="3">
        <v>0</v>
      </c>
      <c r="O631" s="9">
        <f>PRODUCT(Employee_Sample_Data_1[[#This Row],[Annual Salary]],Employee_Sample_Data_1[[#This Row],[Bonus %]])</f>
        <v>0</v>
      </c>
      <c r="P631" s="2">
        <f>ROUND(Employee_Sample_Data_1[[#This Row],[Annual Salary]]*(1+Employee_Sample_Data_1[[#This Row],[Bonus %]]), 0)</f>
        <v>60513</v>
      </c>
      <c r="Q631" t="s">
        <v>21</v>
      </c>
      <c r="R631" t="s">
        <v>45</v>
      </c>
      <c r="T631">
        <f ca="1">DATEDIF(Employee_Sample_Data_1[[#This Row],[Hire Date]], IF(Employee_Sample_Data_1[[#This Row],[Exit Date]] = "", TODAY(), Employee_Sample_Data_1[[#This Row],[Exit Date]]), "Y")</f>
        <v>14</v>
      </c>
    </row>
    <row r="632" spans="1:20" x14ac:dyDescent="0.25">
      <c r="A632" t="s">
        <v>1339</v>
      </c>
      <c r="B632" t="s">
        <v>1340</v>
      </c>
      <c r="C632" t="s">
        <v>66</v>
      </c>
      <c r="D632" t="s">
        <v>58</v>
      </c>
      <c r="E632" t="s">
        <v>33</v>
      </c>
      <c r="F632" t="s">
        <v>39</v>
      </c>
      <c r="G632" t="s">
        <v>40</v>
      </c>
      <c r="H632">
        <v>49</v>
      </c>
      <c r="I632" s="1">
        <v>38392</v>
      </c>
      <c r="J632" s="1" t="str">
        <f>TEXT(Employee_Sample_Data_1[[#This Row],[Hire Date]], "dddd")</f>
        <v>Wednesday</v>
      </c>
      <c r="K632" s="1" t="str">
        <f>TEXT(Employee_Sample_Data_1[[#This Row],[Hire Date]], "mmmm")</f>
        <v>February</v>
      </c>
      <c r="L632" s="1" t="str">
        <f>TEXT(Employee_Sample_Data_1[[#This Row],[Hire Date]], "yyyy")</f>
        <v>2005</v>
      </c>
      <c r="M632" s="2">
        <v>107461</v>
      </c>
      <c r="N632" s="3">
        <v>0.08</v>
      </c>
      <c r="O632" s="9">
        <f>PRODUCT(Employee_Sample_Data_1[[#This Row],[Annual Salary]],Employee_Sample_Data_1[[#This Row],[Bonus %]])</f>
        <v>8596.880000000001</v>
      </c>
      <c r="P632" s="2">
        <f>ROUND(Employee_Sample_Data_1[[#This Row],[Annual Salary]]*(1+Employee_Sample_Data_1[[#This Row],[Bonus %]]), 0)</f>
        <v>116058</v>
      </c>
      <c r="Q632" t="s">
        <v>21</v>
      </c>
      <c r="R632" t="s">
        <v>41</v>
      </c>
      <c r="T632">
        <f ca="1">DATEDIF(Employee_Sample_Data_1[[#This Row],[Hire Date]], IF(Employee_Sample_Data_1[[#This Row],[Exit Date]] = "", TODAY(), Employee_Sample_Data_1[[#This Row],[Exit Date]]), "Y")</f>
        <v>21</v>
      </c>
    </row>
    <row r="633" spans="1:20" x14ac:dyDescent="0.25">
      <c r="A633" t="s">
        <v>1341</v>
      </c>
      <c r="B633" t="s">
        <v>1342</v>
      </c>
      <c r="C633" t="s">
        <v>57</v>
      </c>
      <c r="D633" t="s">
        <v>26</v>
      </c>
      <c r="E633" t="s">
        <v>33</v>
      </c>
      <c r="F633" t="s">
        <v>39</v>
      </c>
      <c r="G633" t="s">
        <v>63</v>
      </c>
      <c r="H633">
        <v>32</v>
      </c>
      <c r="I633" s="1">
        <v>43155</v>
      </c>
      <c r="J633" s="1" t="str">
        <f>TEXT(Employee_Sample_Data_1[[#This Row],[Hire Date]], "dddd")</f>
        <v>Saturday</v>
      </c>
      <c r="K633" s="1" t="str">
        <f>TEXT(Employee_Sample_Data_1[[#This Row],[Hire Date]], "mmmm")</f>
        <v>February</v>
      </c>
      <c r="L633" s="1" t="str">
        <f>TEXT(Employee_Sample_Data_1[[#This Row],[Hire Date]], "yyyy")</f>
        <v>2018</v>
      </c>
      <c r="M633" s="2">
        <v>66294</v>
      </c>
      <c r="N633" s="3">
        <v>0</v>
      </c>
      <c r="O633" s="9">
        <f>PRODUCT(Employee_Sample_Data_1[[#This Row],[Annual Salary]],Employee_Sample_Data_1[[#This Row],[Bonus %]])</f>
        <v>0</v>
      </c>
      <c r="P633" s="2">
        <f>ROUND(Employee_Sample_Data_1[[#This Row],[Annual Salary]]*(1+Employee_Sample_Data_1[[#This Row],[Bonus %]]), 0)</f>
        <v>66294</v>
      </c>
      <c r="Q633" t="s">
        <v>21</v>
      </c>
      <c r="R633" t="s">
        <v>22</v>
      </c>
      <c r="T633">
        <f ca="1">DATEDIF(Employee_Sample_Data_1[[#This Row],[Hire Date]], IF(Employee_Sample_Data_1[[#This Row],[Exit Date]] = "", TODAY(), Employee_Sample_Data_1[[#This Row],[Exit Date]]), "Y")</f>
        <v>8</v>
      </c>
    </row>
    <row r="634" spans="1:20" x14ac:dyDescent="0.25">
      <c r="A634" t="s">
        <v>1343</v>
      </c>
      <c r="B634" t="s">
        <v>1344</v>
      </c>
      <c r="C634" t="s">
        <v>80</v>
      </c>
      <c r="D634" t="s">
        <v>26</v>
      </c>
      <c r="E634" t="s">
        <v>33</v>
      </c>
      <c r="F634" t="s">
        <v>39</v>
      </c>
      <c r="G634" t="s">
        <v>40</v>
      </c>
      <c r="H634">
        <v>62</v>
      </c>
      <c r="I634" s="1">
        <v>39824</v>
      </c>
      <c r="J634" s="1" t="str">
        <f>TEXT(Employee_Sample_Data_1[[#This Row],[Hire Date]], "dddd")</f>
        <v>Sunday</v>
      </c>
      <c r="K634" s="1" t="str">
        <f>TEXT(Employee_Sample_Data_1[[#This Row],[Hire Date]], "mmmm")</f>
        <v>January</v>
      </c>
      <c r="L634" s="1" t="str">
        <f>TEXT(Employee_Sample_Data_1[[#This Row],[Hire Date]], "yyyy")</f>
        <v>2009</v>
      </c>
      <c r="M634" s="2">
        <v>157500</v>
      </c>
      <c r="N634" s="3">
        <v>0.15</v>
      </c>
      <c r="O634" s="9">
        <f>PRODUCT(Employee_Sample_Data_1[[#This Row],[Annual Salary]],Employee_Sample_Data_1[[#This Row],[Bonus %]])</f>
        <v>23625</v>
      </c>
      <c r="P634" s="2">
        <f>ROUND(Employee_Sample_Data_1[[#This Row],[Annual Salary]]*(1+Employee_Sample_Data_1[[#This Row],[Bonus %]]), 0)</f>
        <v>181125</v>
      </c>
      <c r="Q634" t="s">
        <v>21</v>
      </c>
      <c r="R634" t="s">
        <v>22</v>
      </c>
      <c r="T634">
        <f ca="1">DATEDIF(Employee_Sample_Data_1[[#This Row],[Hire Date]], IF(Employee_Sample_Data_1[[#This Row],[Exit Date]] = "", TODAY(), Employee_Sample_Data_1[[#This Row],[Exit Date]]), "Y")</f>
        <v>17</v>
      </c>
    </row>
    <row r="635" spans="1:20" x14ac:dyDescent="0.25">
      <c r="A635" t="s">
        <v>1345</v>
      </c>
      <c r="B635" t="s">
        <v>1346</v>
      </c>
      <c r="C635" t="s">
        <v>156</v>
      </c>
      <c r="D635" t="s">
        <v>32</v>
      </c>
      <c r="E635" t="s">
        <v>53</v>
      </c>
      <c r="F635" t="s">
        <v>39</v>
      </c>
      <c r="G635" t="s">
        <v>20</v>
      </c>
      <c r="H635">
        <v>64</v>
      </c>
      <c r="I635" s="1">
        <v>44854</v>
      </c>
      <c r="J635" s="1" t="str">
        <f>TEXT(Employee_Sample_Data_1[[#This Row],[Hire Date]], "dddd")</f>
        <v>Thursday</v>
      </c>
      <c r="K635" s="1" t="str">
        <f>TEXT(Employee_Sample_Data_1[[#This Row],[Hire Date]], "mmmm")</f>
        <v>October</v>
      </c>
      <c r="L635" s="1" t="str">
        <f>TEXT(Employee_Sample_Data_1[[#This Row],[Hire Date]], "yyyy")</f>
        <v>2022</v>
      </c>
      <c r="M635" s="2">
        <v>43271</v>
      </c>
      <c r="N635" s="3">
        <v>0</v>
      </c>
      <c r="O635" s="9">
        <f>PRODUCT(Employee_Sample_Data_1[[#This Row],[Annual Salary]],Employee_Sample_Data_1[[#This Row],[Bonus %]])</f>
        <v>0</v>
      </c>
      <c r="P635" s="2">
        <f>ROUND(Employee_Sample_Data_1[[#This Row],[Annual Salary]]*(1+Employee_Sample_Data_1[[#This Row],[Bonus %]]), 0)</f>
        <v>43271</v>
      </c>
      <c r="Q635" t="s">
        <v>34</v>
      </c>
      <c r="R635" t="s">
        <v>59</v>
      </c>
      <c r="T635">
        <f ca="1">DATEDIF(Employee_Sample_Data_1[[#This Row],[Hire Date]], IF(Employee_Sample_Data_1[[#This Row],[Exit Date]] = "", TODAY(), Employee_Sample_Data_1[[#This Row],[Exit Date]]), "Y")</f>
        <v>3</v>
      </c>
    </row>
    <row r="636" spans="1:20" x14ac:dyDescent="0.25">
      <c r="A636" t="s">
        <v>1347</v>
      </c>
      <c r="B636" t="s">
        <v>1348</v>
      </c>
      <c r="C636" t="s">
        <v>98</v>
      </c>
      <c r="D636" t="s">
        <v>32</v>
      </c>
      <c r="E636" t="s">
        <v>33</v>
      </c>
      <c r="F636" t="s">
        <v>39</v>
      </c>
      <c r="G636" t="s">
        <v>40</v>
      </c>
      <c r="H636">
        <v>52</v>
      </c>
      <c r="I636" s="1">
        <v>40713</v>
      </c>
      <c r="J636" s="1" t="str">
        <f>TEXT(Employee_Sample_Data_1[[#This Row],[Hire Date]], "dddd")</f>
        <v>Sunday</v>
      </c>
      <c r="K636" s="1" t="str">
        <f>TEXT(Employee_Sample_Data_1[[#This Row],[Hire Date]], "mmmm")</f>
        <v>June</v>
      </c>
      <c r="L636" s="1" t="str">
        <f>TEXT(Employee_Sample_Data_1[[#This Row],[Hire Date]], "yyyy")</f>
        <v>2011</v>
      </c>
      <c r="M636" s="2">
        <v>91518</v>
      </c>
      <c r="N636" s="3">
        <v>0</v>
      </c>
      <c r="O636" s="9">
        <f>PRODUCT(Employee_Sample_Data_1[[#This Row],[Annual Salary]],Employee_Sample_Data_1[[#This Row],[Bonus %]])</f>
        <v>0</v>
      </c>
      <c r="P636" s="2">
        <f>ROUND(Employee_Sample_Data_1[[#This Row],[Annual Salary]]*(1+Employee_Sample_Data_1[[#This Row],[Bonus %]]), 0)</f>
        <v>91518</v>
      </c>
      <c r="Q636" t="s">
        <v>134</v>
      </c>
      <c r="R636" t="s">
        <v>180</v>
      </c>
      <c r="T636">
        <f ca="1">DATEDIF(Employee_Sample_Data_1[[#This Row],[Hire Date]], IF(Employee_Sample_Data_1[[#This Row],[Exit Date]] = "", TODAY(), Employee_Sample_Data_1[[#This Row],[Exit Date]]), "Y")</f>
        <v>14</v>
      </c>
    </row>
    <row r="637" spans="1:20" x14ac:dyDescent="0.25">
      <c r="A637" t="s">
        <v>1349</v>
      </c>
      <c r="B637" t="s">
        <v>1350</v>
      </c>
      <c r="C637" t="s">
        <v>80</v>
      </c>
      <c r="D637" t="s">
        <v>123</v>
      </c>
      <c r="E637" t="s">
        <v>53</v>
      </c>
      <c r="F637" t="s">
        <v>39</v>
      </c>
      <c r="G637" t="s">
        <v>40</v>
      </c>
      <c r="H637">
        <v>42</v>
      </c>
      <c r="I637" s="1">
        <v>43570</v>
      </c>
      <c r="J637" s="1" t="str">
        <f>TEXT(Employee_Sample_Data_1[[#This Row],[Hire Date]], "dddd")</f>
        <v>Monday</v>
      </c>
      <c r="K637" s="1" t="str">
        <f>TEXT(Employee_Sample_Data_1[[#This Row],[Hire Date]], "mmmm")</f>
        <v>April</v>
      </c>
      <c r="L637" s="1" t="str">
        <f>TEXT(Employee_Sample_Data_1[[#This Row],[Hire Date]], "yyyy")</f>
        <v>2019</v>
      </c>
      <c r="M637" s="2">
        <v>130874</v>
      </c>
      <c r="N637" s="3">
        <v>0.12</v>
      </c>
      <c r="O637" s="9">
        <f>PRODUCT(Employee_Sample_Data_1[[#This Row],[Annual Salary]],Employee_Sample_Data_1[[#This Row],[Bonus %]])</f>
        <v>15704.88</v>
      </c>
      <c r="P637" s="2">
        <f>ROUND(Employee_Sample_Data_1[[#This Row],[Annual Salary]]*(1+Employee_Sample_Data_1[[#This Row],[Bonus %]]), 0)</f>
        <v>146579</v>
      </c>
      <c r="Q637" t="s">
        <v>21</v>
      </c>
      <c r="R637" t="s">
        <v>45</v>
      </c>
      <c r="T637">
        <f ca="1">DATEDIF(Employee_Sample_Data_1[[#This Row],[Hire Date]], IF(Employee_Sample_Data_1[[#This Row],[Exit Date]] = "", TODAY(), Employee_Sample_Data_1[[#This Row],[Exit Date]]), "Y")</f>
        <v>7</v>
      </c>
    </row>
    <row r="638" spans="1:20" x14ac:dyDescent="0.25">
      <c r="A638" t="s">
        <v>1351</v>
      </c>
      <c r="B638" t="s">
        <v>1352</v>
      </c>
      <c r="C638" t="s">
        <v>244</v>
      </c>
      <c r="D638" t="s">
        <v>123</v>
      </c>
      <c r="E638" t="s">
        <v>27</v>
      </c>
      <c r="F638" t="s">
        <v>19</v>
      </c>
      <c r="G638" t="s">
        <v>20</v>
      </c>
      <c r="H638">
        <v>45</v>
      </c>
      <c r="I638" s="1">
        <v>42878</v>
      </c>
      <c r="J638" s="1" t="str">
        <f>TEXT(Employee_Sample_Data_1[[#This Row],[Hire Date]], "dddd")</f>
        <v>Tuesday</v>
      </c>
      <c r="K638" s="1" t="str">
        <f>TEXT(Employee_Sample_Data_1[[#This Row],[Hire Date]], "mmmm")</f>
        <v>May</v>
      </c>
      <c r="L638" s="1" t="str">
        <f>TEXT(Employee_Sample_Data_1[[#This Row],[Hire Date]], "yyyy")</f>
        <v>2017</v>
      </c>
      <c r="M638" s="2">
        <v>66324</v>
      </c>
      <c r="N638" s="3">
        <v>0</v>
      </c>
      <c r="O638" s="9">
        <f>PRODUCT(Employee_Sample_Data_1[[#This Row],[Annual Salary]],Employee_Sample_Data_1[[#This Row],[Bonus %]])</f>
        <v>0</v>
      </c>
      <c r="P638" s="2">
        <f>ROUND(Employee_Sample_Data_1[[#This Row],[Annual Salary]]*(1+Employee_Sample_Data_1[[#This Row],[Bonus %]]), 0)</f>
        <v>66324</v>
      </c>
      <c r="Q638" t="s">
        <v>34</v>
      </c>
      <c r="R638" t="s">
        <v>108</v>
      </c>
      <c r="S638" s="1">
        <v>44449</v>
      </c>
      <c r="T638">
        <f ca="1">DATEDIF(Employee_Sample_Data_1[[#This Row],[Hire Date]], IF(Employee_Sample_Data_1[[#This Row],[Exit Date]] = "", TODAY(), Employee_Sample_Data_1[[#This Row],[Exit Date]]), "Y")</f>
        <v>4</v>
      </c>
    </row>
    <row r="639" spans="1:20" x14ac:dyDescent="0.25">
      <c r="A639" t="s">
        <v>1353</v>
      </c>
      <c r="B639" t="s">
        <v>1354</v>
      </c>
      <c r="C639" t="s">
        <v>57</v>
      </c>
      <c r="D639" t="s">
        <v>26</v>
      </c>
      <c r="E639" t="s">
        <v>27</v>
      </c>
      <c r="F639" t="s">
        <v>19</v>
      </c>
      <c r="G639" t="s">
        <v>20</v>
      </c>
      <c r="H639">
        <v>65</v>
      </c>
      <c r="I639" s="1">
        <v>35824</v>
      </c>
      <c r="J639" s="1" t="str">
        <f>TEXT(Employee_Sample_Data_1[[#This Row],[Hire Date]], "dddd")</f>
        <v>Thursday</v>
      </c>
      <c r="K639" s="1" t="str">
        <f>TEXT(Employee_Sample_Data_1[[#This Row],[Hire Date]], "mmmm")</f>
        <v>January</v>
      </c>
      <c r="L639" s="1" t="str">
        <f>TEXT(Employee_Sample_Data_1[[#This Row],[Hire Date]], "yyyy")</f>
        <v>1998</v>
      </c>
      <c r="M639" s="2">
        <v>63853</v>
      </c>
      <c r="N639" s="3">
        <v>0</v>
      </c>
      <c r="O639" s="9">
        <f>PRODUCT(Employee_Sample_Data_1[[#This Row],[Annual Salary]],Employee_Sample_Data_1[[#This Row],[Bonus %]])</f>
        <v>0</v>
      </c>
      <c r="P639" s="2">
        <f>ROUND(Employee_Sample_Data_1[[#This Row],[Annual Salary]]*(1+Employee_Sample_Data_1[[#This Row],[Bonus %]]), 0)</f>
        <v>63853</v>
      </c>
      <c r="Q639" t="s">
        <v>21</v>
      </c>
      <c r="R639" t="s">
        <v>45</v>
      </c>
      <c r="T639">
        <f ca="1">DATEDIF(Employee_Sample_Data_1[[#This Row],[Hire Date]], IF(Employee_Sample_Data_1[[#This Row],[Exit Date]] = "", TODAY(), Employee_Sample_Data_1[[#This Row],[Exit Date]]), "Y")</f>
        <v>28</v>
      </c>
    </row>
    <row r="640" spans="1:20" x14ac:dyDescent="0.25">
      <c r="A640" t="s">
        <v>1355</v>
      </c>
      <c r="B640" t="s">
        <v>1356</v>
      </c>
      <c r="C640" t="s">
        <v>66</v>
      </c>
      <c r="D640" t="s">
        <v>123</v>
      </c>
      <c r="E640" t="s">
        <v>27</v>
      </c>
      <c r="F640" t="s">
        <v>39</v>
      </c>
      <c r="G640" t="s">
        <v>20</v>
      </c>
      <c r="H640">
        <v>46</v>
      </c>
      <c r="I640" s="1">
        <v>44206</v>
      </c>
      <c r="J640" s="1" t="str">
        <f>TEXT(Employee_Sample_Data_1[[#This Row],[Hire Date]], "dddd")</f>
        <v>Sunday</v>
      </c>
      <c r="K640" s="1" t="str">
        <f>TEXT(Employee_Sample_Data_1[[#This Row],[Hire Date]], "mmmm")</f>
        <v>January</v>
      </c>
      <c r="L640" s="1" t="str">
        <f>TEXT(Employee_Sample_Data_1[[#This Row],[Hire Date]], "yyyy")</f>
        <v>2021</v>
      </c>
      <c r="M640" s="2">
        <v>104692</v>
      </c>
      <c r="N640" s="3">
        <v>0.08</v>
      </c>
      <c r="O640" s="9">
        <f>PRODUCT(Employee_Sample_Data_1[[#This Row],[Annual Salary]],Employee_Sample_Data_1[[#This Row],[Bonus %]])</f>
        <v>8375.36</v>
      </c>
      <c r="P640" s="2">
        <f>ROUND(Employee_Sample_Data_1[[#This Row],[Annual Salary]]*(1+Employee_Sample_Data_1[[#This Row],[Bonus %]]), 0)</f>
        <v>113067</v>
      </c>
      <c r="Q640" t="s">
        <v>34</v>
      </c>
      <c r="R640" t="s">
        <v>59</v>
      </c>
      <c r="T640">
        <f ca="1">DATEDIF(Employee_Sample_Data_1[[#This Row],[Hire Date]], IF(Employee_Sample_Data_1[[#This Row],[Exit Date]] = "", TODAY(), Employee_Sample_Data_1[[#This Row],[Exit Date]]), "Y")</f>
        <v>5</v>
      </c>
    </row>
    <row r="641" spans="1:20" x14ac:dyDescent="0.25">
      <c r="A641" t="s">
        <v>1357</v>
      </c>
      <c r="B641" t="s">
        <v>1358</v>
      </c>
      <c r="C641" t="s">
        <v>224</v>
      </c>
      <c r="D641" t="s">
        <v>32</v>
      </c>
      <c r="E641" t="s">
        <v>27</v>
      </c>
      <c r="F641" t="s">
        <v>39</v>
      </c>
      <c r="G641" t="s">
        <v>40</v>
      </c>
      <c r="H641">
        <v>64</v>
      </c>
      <c r="I641" s="1">
        <v>44868</v>
      </c>
      <c r="J641" s="1" t="str">
        <f>TEXT(Employee_Sample_Data_1[[#This Row],[Hire Date]], "dddd")</f>
        <v>Thursday</v>
      </c>
      <c r="K641" s="1" t="str">
        <f>TEXT(Employee_Sample_Data_1[[#This Row],[Hire Date]], "mmmm")</f>
        <v>November</v>
      </c>
      <c r="L641" s="1" t="str">
        <f>TEXT(Employee_Sample_Data_1[[#This Row],[Hire Date]], "yyyy")</f>
        <v>2022</v>
      </c>
      <c r="M641" s="2">
        <v>71864</v>
      </c>
      <c r="N641" s="3">
        <v>0</v>
      </c>
      <c r="O641" s="9">
        <f>PRODUCT(Employee_Sample_Data_1[[#This Row],[Annual Salary]],Employee_Sample_Data_1[[#This Row],[Bonus %]])</f>
        <v>0</v>
      </c>
      <c r="P641" s="2">
        <f>ROUND(Employee_Sample_Data_1[[#This Row],[Annual Salary]]*(1+Employee_Sample_Data_1[[#This Row],[Bonus %]]), 0)</f>
        <v>71864</v>
      </c>
      <c r="Q641" t="s">
        <v>134</v>
      </c>
      <c r="R641" t="s">
        <v>286</v>
      </c>
      <c r="T641">
        <f ca="1">DATEDIF(Employee_Sample_Data_1[[#This Row],[Hire Date]], IF(Employee_Sample_Data_1[[#This Row],[Exit Date]] = "", TODAY(), Employee_Sample_Data_1[[#This Row],[Exit Date]]), "Y")</f>
        <v>3</v>
      </c>
    </row>
    <row r="642" spans="1:20" x14ac:dyDescent="0.25">
      <c r="A642" t="s">
        <v>1359</v>
      </c>
      <c r="B642" t="s">
        <v>1360</v>
      </c>
      <c r="C642" t="s">
        <v>86</v>
      </c>
      <c r="D642" t="s">
        <v>77</v>
      </c>
      <c r="E642" t="s">
        <v>18</v>
      </c>
      <c r="F642" t="s">
        <v>39</v>
      </c>
      <c r="G642" t="s">
        <v>20</v>
      </c>
      <c r="H642">
        <v>45</v>
      </c>
      <c r="I642" s="1">
        <v>39386</v>
      </c>
      <c r="J642" s="1" t="str">
        <f>TEXT(Employee_Sample_Data_1[[#This Row],[Hire Date]], "dddd")</f>
        <v>Wednesday</v>
      </c>
      <c r="K642" s="1" t="str">
        <f>TEXT(Employee_Sample_Data_1[[#This Row],[Hire Date]], "mmmm")</f>
        <v>October</v>
      </c>
      <c r="L642" s="1" t="str">
        <f>TEXT(Employee_Sample_Data_1[[#This Row],[Hire Date]], "yyyy")</f>
        <v>2007</v>
      </c>
      <c r="M642" s="2">
        <v>216269</v>
      </c>
      <c r="N642" s="3">
        <v>0.37</v>
      </c>
      <c r="O642" s="9">
        <f>PRODUCT(Employee_Sample_Data_1[[#This Row],[Annual Salary]],Employee_Sample_Data_1[[#This Row],[Bonus %]])</f>
        <v>80019.53</v>
      </c>
      <c r="P642" s="2">
        <f>ROUND(Employee_Sample_Data_1[[#This Row],[Annual Salary]]*(1+Employee_Sample_Data_1[[#This Row],[Bonus %]]), 0)</f>
        <v>296289</v>
      </c>
      <c r="Q642" t="s">
        <v>21</v>
      </c>
      <c r="R642" t="s">
        <v>28</v>
      </c>
      <c r="S642" s="1">
        <v>40543</v>
      </c>
      <c r="T642">
        <f ca="1">DATEDIF(Employee_Sample_Data_1[[#This Row],[Hire Date]], IF(Employee_Sample_Data_1[[#This Row],[Exit Date]] = "", TODAY(), Employee_Sample_Data_1[[#This Row],[Exit Date]]), "Y")</f>
        <v>3</v>
      </c>
    </row>
    <row r="643" spans="1:20" x14ac:dyDescent="0.25">
      <c r="A643" t="s">
        <v>1361</v>
      </c>
      <c r="B643" t="s">
        <v>1362</v>
      </c>
      <c r="C643" t="s">
        <v>170</v>
      </c>
      <c r="D643" t="s">
        <v>32</v>
      </c>
      <c r="E643" t="s">
        <v>53</v>
      </c>
      <c r="F643" t="s">
        <v>39</v>
      </c>
      <c r="G643" t="s">
        <v>20</v>
      </c>
      <c r="H643">
        <v>32</v>
      </c>
      <c r="I643" s="1">
        <v>44547</v>
      </c>
      <c r="J643" s="1" t="str">
        <f>TEXT(Employee_Sample_Data_1[[#This Row],[Hire Date]], "dddd")</f>
        <v>Friday</v>
      </c>
      <c r="K643" s="1" t="str">
        <f>TEXT(Employee_Sample_Data_1[[#This Row],[Hire Date]], "mmmm")</f>
        <v>December</v>
      </c>
      <c r="L643" s="1" t="str">
        <f>TEXT(Employee_Sample_Data_1[[#This Row],[Hire Date]], "yyyy")</f>
        <v>2021</v>
      </c>
      <c r="M643" s="2">
        <v>73135</v>
      </c>
      <c r="N643" s="3">
        <v>0</v>
      </c>
      <c r="O643" s="9">
        <f>PRODUCT(Employee_Sample_Data_1[[#This Row],[Annual Salary]],Employee_Sample_Data_1[[#This Row],[Bonus %]])</f>
        <v>0</v>
      </c>
      <c r="P643" s="2">
        <f>ROUND(Employee_Sample_Data_1[[#This Row],[Annual Salary]]*(1+Employee_Sample_Data_1[[#This Row],[Bonus %]]), 0)</f>
        <v>73135</v>
      </c>
      <c r="Q643" t="s">
        <v>21</v>
      </c>
      <c r="R643" t="s">
        <v>48</v>
      </c>
      <c r="T643">
        <f ca="1">DATEDIF(Employee_Sample_Data_1[[#This Row],[Hire Date]], IF(Employee_Sample_Data_1[[#This Row],[Exit Date]] = "", TODAY(), Employee_Sample_Data_1[[#This Row],[Exit Date]]), "Y")</f>
        <v>4</v>
      </c>
    </row>
    <row r="644" spans="1:20" x14ac:dyDescent="0.25">
      <c r="A644" t="s">
        <v>1363</v>
      </c>
      <c r="B644" t="s">
        <v>1364</v>
      </c>
      <c r="C644" t="s">
        <v>44</v>
      </c>
      <c r="D644" t="s">
        <v>17</v>
      </c>
      <c r="E644" t="s">
        <v>27</v>
      </c>
      <c r="F644" t="s">
        <v>39</v>
      </c>
      <c r="G644" t="s">
        <v>20</v>
      </c>
      <c r="H644">
        <v>56</v>
      </c>
      <c r="I644" s="1">
        <v>44739</v>
      </c>
      <c r="J644" s="1" t="str">
        <f>TEXT(Employee_Sample_Data_1[[#This Row],[Hire Date]], "dddd")</f>
        <v>Monday</v>
      </c>
      <c r="K644" s="1" t="str">
        <f>TEXT(Employee_Sample_Data_1[[#This Row],[Hire Date]], "mmmm")</f>
        <v>June</v>
      </c>
      <c r="L644" s="1" t="str">
        <f>TEXT(Employee_Sample_Data_1[[#This Row],[Hire Date]], "yyyy")</f>
        <v>2022</v>
      </c>
      <c r="M644" s="2">
        <v>197579</v>
      </c>
      <c r="N644" s="3">
        <v>0.18</v>
      </c>
      <c r="O644" s="9">
        <f>PRODUCT(Employee_Sample_Data_1[[#This Row],[Annual Salary]],Employee_Sample_Data_1[[#This Row],[Bonus %]])</f>
        <v>35564.22</v>
      </c>
      <c r="P644" s="2">
        <f>ROUND(Employee_Sample_Data_1[[#This Row],[Annual Salary]]*(1+Employee_Sample_Data_1[[#This Row],[Bonus %]]), 0)</f>
        <v>233143</v>
      </c>
      <c r="Q644" t="s">
        <v>21</v>
      </c>
      <c r="R644" t="s">
        <v>28</v>
      </c>
      <c r="T644">
        <f ca="1">DATEDIF(Employee_Sample_Data_1[[#This Row],[Hire Date]], IF(Employee_Sample_Data_1[[#This Row],[Exit Date]] = "", TODAY(), Employee_Sample_Data_1[[#This Row],[Exit Date]]), "Y")</f>
        <v>3</v>
      </c>
    </row>
    <row r="645" spans="1:20" x14ac:dyDescent="0.25">
      <c r="A645" t="s">
        <v>1365</v>
      </c>
      <c r="B645" t="s">
        <v>1366</v>
      </c>
      <c r="C645" t="s">
        <v>70</v>
      </c>
      <c r="D645" t="s">
        <v>32</v>
      </c>
      <c r="E645" t="s">
        <v>27</v>
      </c>
      <c r="F645" t="s">
        <v>19</v>
      </c>
      <c r="G645" t="s">
        <v>20</v>
      </c>
      <c r="H645">
        <v>46</v>
      </c>
      <c r="I645" s="1">
        <v>40892</v>
      </c>
      <c r="J645" s="1" t="str">
        <f>TEXT(Employee_Sample_Data_1[[#This Row],[Hire Date]], "dddd")</f>
        <v>Thursday</v>
      </c>
      <c r="K645" s="1" t="str">
        <f>TEXT(Employee_Sample_Data_1[[#This Row],[Hire Date]], "mmmm")</f>
        <v>December</v>
      </c>
      <c r="L645" s="1" t="str">
        <f>TEXT(Employee_Sample_Data_1[[#This Row],[Hire Date]], "yyyy")</f>
        <v>2011</v>
      </c>
      <c r="M645" s="2">
        <v>59733</v>
      </c>
      <c r="N645" s="3">
        <v>0</v>
      </c>
      <c r="O645" s="9">
        <f>PRODUCT(Employee_Sample_Data_1[[#This Row],[Annual Salary]],Employee_Sample_Data_1[[#This Row],[Bonus %]])</f>
        <v>0</v>
      </c>
      <c r="P645" s="2">
        <f>ROUND(Employee_Sample_Data_1[[#This Row],[Annual Salary]]*(1+Employee_Sample_Data_1[[#This Row],[Bonus %]]), 0)</f>
        <v>59733</v>
      </c>
      <c r="Q645" t="s">
        <v>21</v>
      </c>
      <c r="R645" t="s">
        <v>45</v>
      </c>
      <c r="T645">
        <f ca="1">DATEDIF(Employee_Sample_Data_1[[#This Row],[Hire Date]], IF(Employee_Sample_Data_1[[#This Row],[Exit Date]] = "", TODAY(), Employee_Sample_Data_1[[#This Row],[Exit Date]]), "Y")</f>
        <v>14</v>
      </c>
    </row>
    <row r="646" spans="1:20" x14ac:dyDescent="0.25">
      <c r="A646" t="s">
        <v>1367</v>
      </c>
      <c r="B646" t="s">
        <v>1348</v>
      </c>
      <c r="C646" t="s">
        <v>86</v>
      </c>
      <c r="D646" t="s">
        <v>123</v>
      </c>
      <c r="E646" t="s">
        <v>27</v>
      </c>
      <c r="F646" t="s">
        <v>39</v>
      </c>
      <c r="G646" t="s">
        <v>40</v>
      </c>
      <c r="H646">
        <v>26</v>
      </c>
      <c r="I646" s="1">
        <v>43973</v>
      </c>
      <c r="J646" s="1" t="str">
        <f>TEXT(Employee_Sample_Data_1[[#This Row],[Hire Date]], "dddd")</f>
        <v>Friday</v>
      </c>
      <c r="K646" s="1" t="str">
        <f>TEXT(Employee_Sample_Data_1[[#This Row],[Hire Date]], "mmmm")</f>
        <v>May</v>
      </c>
      <c r="L646" s="1" t="str">
        <f>TEXT(Employee_Sample_Data_1[[#This Row],[Hire Date]], "yyyy")</f>
        <v>2020</v>
      </c>
      <c r="M646" s="2">
        <v>187792</v>
      </c>
      <c r="N646" s="3">
        <v>0.4</v>
      </c>
      <c r="O646" s="9">
        <f>PRODUCT(Employee_Sample_Data_1[[#This Row],[Annual Salary]],Employee_Sample_Data_1[[#This Row],[Bonus %]])</f>
        <v>75116.800000000003</v>
      </c>
      <c r="P646" s="2">
        <f>ROUND(Employee_Sample_Data_1[[#This Row],[Annual Salary]]*(1+Employee_Sample_Data_1[[#This Row],[Bonus %]]), 0)</f>
        <v>262909</v>
      </c>
      <c r="Q646" t="s">
        <v>21</v>
      </c>
      <c r="R646" t="s">
        <v>28</v>
      </c>
      <c r="T646">
        <f ca="1">DATEDIF(Employee_Sample_Data_1[[#This Row],[Hire Date]], IF(Employee_Sample_Data_1[[#This Row],[Exit Date]] = "", TODAY(), Employee_Sample_Data_1[[#This Row],[Exit Date]]), "Y")</f>
        <v>6</v>
      </c>
    </row>
    <row r="647" spans="1:20" x14ac:dyDescent="0.25">
      <c r="A647" t="s">
        <v>1368</v>
      </c>
      <c r="B647" t="s">
        <v>1369</v>
      </c>
      <c r="C647" t="s">
        <v>66</v>
      </c>
      <c r="D647" t="s">
        <v>123</v>
      </c>
      <c r="E647" t="s">
        <v>53</v>
      </c>
      <c r="F647" t="s">
        <v>39</v>
      </c>
      <c r="G647" t="s">
        <v>63</v>
      </c>
      <c r="H647">
        <v>59</v>
      </c>
      <c r="I647" s="1">
        <v>42742</v>
      </c>
      <c r="J647" s="1" t="str">
        <f>TEXT(Employee_Sample_Data_1[[#This Row],[Hire Date]], "dddd")</f>
        <v>Saturday</v>
      </c>
      <c r="K647" s="1" t="str">
        <f>TEXT(Employee_Sample_Data_1[[#This Row],[Hire Date]], "mmmm")</f>
        <v>January</v>
      </c>
      <c r="L647" s="1" t="str">
        <f>TEXT(Employee_Sample_Data_1[[#This Row],[Hire Date]], "yyyy")</f>
        <v>2017</v>
      </c>
      <c r="M647" s="2">
        <v>108612</v>
      </c>
      <c r="N647" s="3">
        <v>0.06</v>
      </c>
      <c r="O647" s="9">
        <f>PRODUCT(Employee_Sample_Data_1[[#This Row],[Annual Salary]],Employee_Sample_Data_1[[#This Row],[Bonus %]])</f>
        <v>6516.7199999999993</v>
      </c>
      <c r="P647" s="2">
        <f>ROUND(Employee_Sample_Data_1[[#This Row],[Annual Salary]]*(1+Employee_Sample_Data_1[[#This Row],[Bonus %]]), 0)</f>
        <v>115129</v>
      </c>
      <c r="Q647" t="s">
        <v>21</v>
      </c>
      <c r="R647" t="s">
        <v>48</v>
      </c>
      <c r="T647">
        <f ca="1">DATEDIF(Employee_Sample_Data_1[[#This Row],[Hire Date]], IF(Employee_Sample_Data_1[[#This Row],[Exit Date]] = "", TODAY(), Employee_Sample_Data_1[[#This Row],[Exit Date]]), "Y")</f>
        <v>9</v>
      </c>
    </row>
    <row r="648" spans="1:20" x14ac:dyDescent="0.25">
      <c r="A648" t="s">
        <v>1370</v>
      </c>
      <c r="B648" t="s">
        <v>1371</v>
      </c>
      <c r="C648" t="s">
        <v>62</v>
      </c>
      <c r="D648" t="s">
        <v>32</v>
      </c>
      <c r="E648" t="s">
        <v>27</v>
      </c>
      <c r="F648" t="s">
        <v>19</v>
      </c>
      <c r="G648" t="s">
        <v>81</v>
      </c>
      <c r="H648">
        <v>50</v>
      </c>
      <c r="I648" s="1">
        <v>43299</v>
      </c>
      <c r="J648" s="1" t="str">
        <f>TEXT(Employee_Sample_Data_1[[#This Row],[Hire Date]], "dddd")</f>
        <v>Wednesday</v>
      </c>
      <c r="K648" s="1" t="str">
        <f>TEXT(Employee_Sample_Data_1[[#This Row],[Hire Date]], "mmmm")</f>
        <v>July</v>
      </c>
      <c r="L648" s="1" t="str">
        <f>TEXT(Employee_Sample_Data_1[[#This Row],[Hire Date]], "yyyy")</f>
        <v>2018</v>
      </c>
      <c r="M648" s="2">
        <v>80350</v>
      </c>
      <c r="N648" s="3">
        <v>0</v>
      </c>
      <c r="O648" s="9">
        <f>PRODUCT(Employee_Sample_Data_1[[#This Row],[Annual Salary]],Employee_Sample_Data_1[[#This Row],[Bonus %]])</f>
        <v>0</v>
      </c>
      <c r="P648" s="2">
        <f>ROUND(Employee_Sample_Data_1[[#This Row],[Annual Salary]]*(1+Employee_Sample_Data_1[[#This Row],[Bonus %]]), 0)</f>
        <v>80350</v>
      </c>
      <c r="Q648" t="s">
        <v>21</v>
      </c>
      <c r="R648" t="s">
        <v>67</v>
      </c>
      <c r="T648">
        <f ca="1">DATEDIF(Employee_Sample_Data_1[[#This Row],[Hire Date]], IF(Employee_Sample_Data_1[[#This Row],[Exit Date]] = "", TODAY(), Employee_Sample_Data_1[[#This Row],[Exit Date]]), "Y")</f>
        <v>7</v>
      </c>
    </row>
    <row r="649" spans="1:20" x14ac:dyDescent="0.25">
      <c r="A649" t="s">
        <v>1372</v>
      </c>
      <c r="B649" t="s">
        <v>1373</v>
      </c>
      <c r="C649" t="s">
        <v>131</v>
      </c>
      <c r="D649" t="s">
        <v>17</v>
      </c>
      <c r="E649" t="s">
        <v>33</v>
      </c>
      <c r="F649" t="s">
        <v>39</v>
      </c>
      <c r="G649" t="s">
        <v>63</v>
      </c>
      <c r="H649">
        <v>32</v>
      </c>
      <c r="I649" s="1">
        <v>43729</v>
      </c>
      <c r="J649" s="1" t="str">
        <f>TEXT(Employee_Sample_Data_1[[#This Row],[Hire Date]], "dddd")</f>
        <v>Saturday</v>
      </c>
      <c r="K649" s="1" t="str">
        <f>TEXT(Employee_Sample_Data_1[[#This Row],[Hire Date]], "mmmm")</f>
        <v>September</v>
      </c>
      <c r="L649" s="1" t="str">
        <f>TEXT(Employee_Sample_Data_1[[#This Row],[Hire Date]], "yyyy")</f>
        <v>2019</v>
      </c>
      <c r="M649" s="2">
        <v>61243</v>
      </c>
      <c r="N649" s="3">
        <v>0</v>
      </c>
      <c r="O649" s="9">
        <f>PRODUCT(Employee_Sample_Data_1[[#This Row],[Annual Salary]],Employee_Sample_Data_1[[#This Row],[Bonus %]])</f>
        <v>0</v>
      </c>
      <c r="P649" s="2">
        <f>ROUND(Employee_Sample_Data_1[[#This Row],[Annual Salary]]*(1+Employee_Sample_Data_1[[#This Row],[Bonus %]]), 0)</f>
        <v>61243</v>
      </c>
      <c r="Q649" t="s">
        <v>21</v>
      </c>
      <c r="R649" t="s">
        <v>67</v>
      </c>
      <c r="T649">
        <f ca="1">DATEDIF(Employee_Sample_Data_1[[#This Row],[Hire Date]], IF(Employee_Sample_Data_1[[#This Row],[Exit Date]] = "", TODAY(), Employee_Sample_Data_1[[#This Row],[Exit Date]]), "Y")</f>
        <v>6</v>
      </c>
    </row>
    <row r="650" spans="1:20" x14ac:dyDescent="0.25">
      <c r="A650" t="s">
        <v>1374</v>
      </c>
      <c r="B650" t="s">
        <v>1375</v>
      </c>
      <c r="C650" t="s">
        <v>25</v>
      </c>
      <c r="D650" t="s">
        <v>58</v>
      </c>
      <c r="E650" t="s">
        <v>18</v>
      </c>
      <c r="F650" t="s">
        <v>19</v>
      </c>
      <c r="G650" t="s">
        <v>40</v>
      </c>
      <c r="H650">
        <v>56</v>
      </c>
      <c r="I650" s="1">
        <v>37358</v>
      </c>
      <c r="J650" s="1" t="str">
        <f>TEXT(Employee_Sample_Data_1[[#This Row],[Hire Date]], "dddd")</f>
        <v>Friday</v>
      </c>
      <c r="K650" s="1" t="str">
        <f>TEXT(Employee_Sample_Data_1[[#This Row],[Hire Date]], "mmmm")</f>
        <v>April</v>
      </c>
      <c r="L650" s="1" t="str">
        <f>TEXT(Employee_Sample_Data_1[[#This Row],[Hire Date]], "yyyy")</f>
        <v>2002</v>
      </c>
      <c r="M650" s="2">
        <v>48896</v>
      </c>
      <c r="N650" s="3">
        <v>0</v>
      </c>
      <c r="O650" s="9">
        <f>PRODUCT(Employee_Sample_Data_1[[#This Row],[Annual Salary]],Employee_Sample_Data_1[[#This Row],[Bonus %]])</f>
        <v>0</v>
      </c>
      <c r="P650" s="2">
        <f>ROUND(Employee_Sample_Data_1[[#This Row],[Annual Salary]]*(1+Employee_Sample_Data_1[[#This Row],[Bonus %]]), 0)</f>
        <v>48896</v>
      </c>
      <c r="Q650" t="s">
        <v>134</v>
      </c>
      <c r="R650" t="s">
        <v>286</v>
      </c>
      <c r="S650" s="1">
        <v>42808</v>
      </c>
      <c r="T650">
        <f ca="1">DATEDIF(Employee_Sample_Data_1[[#This Row],[Hire Date]], IF(Employee_Sample_Data_1[[#This Row],[Exit Date]] = "", TODAY(), Employee_Sample_Data_1[[#This Row],[Exit Date]]), "Y")</f>
        <v>14</v>
      </c>
    </row>
    <row r="651" spans="1:20" x14ac:dyDescent="0.25">
      <c r="A651" t="s">
        <v>1376</v>
      </c>
      <c r="B651" t="s">
        <v>1377</v>
      </c>
      <c r="C651" t="s">
        <v>410</v>
      </c>
      <c r="D651" t="s">
        <v>17</v>
      </c>
      <c r="E651" t="s">
        <v>33</v>
      </c>
      <c r="F651" t="s">
        <v>19</v>
      </c>
      <c r="G651" t="s">
        <v>20</v>
      </c>
      <c r="H651">
        <v>32</v>
      </c>
      <c r="I651" s="1">
        <v>43728</v>
      </c>
      <c r="J651" s="1" t="str">
        <f>TEXT(Employee_Sample_Data_1[[#This Row],[Hire Date]], "dddd")</f>
        <v>Friday</v>
      </c>
      <c r="K651" s="1" t="str">
        <f>TEXT(Employee_Sample_Data_1[[#This Row],[Hire Date]], "mmmm")</f>
        <v>September</v>
      </c>
      <c r="L651" s="1" t="str">
        <f>TEXT(Employee_Sample_Data_1[[#This Row],[Hire Date]], "yyyy")</f>
        <v>2019</v>
      </c>
      <c r="M651" s="2">
        <v>82887</v>
      </c>
      <c r="N651" s="3">
        <v>0</v>
      </c>
      <c r="O651" s="9">
        <f>PRODUCT(Employee_Sample_Data_1[[#This Row],[Annual Salary]],Employee_Sample_Data_1[[#This Row],[Bonus %]])</f>
        <v>0</v>
      </c>
      <c r="P651" s="2">
        <f>ROUND(Employee_Sample_Data_1[[#This Row],[Annual Salary]]*(1+Employee_Sample_Data_1[[#This Row],[Bonus %]]), 0)</f>
        <v>82887</v>
      </c>
      <c r="Q651" t="s">
        <v>34</v>
      </c>
      <c r="R651" t="s">
        <v>59</v>
      </c>
      <c r="S651" s="1">
        <v>43847</v>
      </c>
      <c r="T651">
        <f ca="1">DATEDIF(Employee_Sample_Data_1[[#This Row],[Hire Date]], IF(Employee_Sample_Data_1[[#This Row],[Exit Date]] = "", TODAY(), Employee_Sample_Data_1[[#This Row],[Exit Date]]), "Y")</f>
        <v>0</v>
      </c>
    </row>
    <row r="652" spans="1:20" x14ac:dyDescent="0.25">
      <c r="A652" t="s">
        <v>1378</v>
      </c>
      <c r="B652" t="s">
        <v>1379</v>
      </c>
      <c r="C652" t="s">
        <v>25</v>
      </c>
      <c r="D652" t="s">
        <v>77</v>
      </c>
      <c r="E652" t="s">
        <v>18</v>
      </c>
      <c r="F652" t="s">
        <v>19</v>
      </c>
      <c r="G652" t="s">
        <v>20</v>
      </c>
      <c r="H652">
        <v>45</v>
      </c>
      <c r="I652" s="1">
        <v>38682</v>
      </c>
      <c r="J652" s="1" t="str">
        <f>TEXT(Employee_Sample_Data_1[[#This Row],[Hire Date]], "dddd")</f>
        <v>Saturday</v>
      </c>
      <c r="K652" s="1" t="str">
        <f>TEXT(Employee_Sample_Data_1[[#This Row],[Hire Date]], "mmmm")</f>
        <v>November</v>
      </c>
      <c r="L652" s="1" t="str">
        <f>TEXT(Employee_Sample_Data_1[[#This Row],[Hire Date]], "yyyy")</f>
        <v>2005</v>
      </c>
      <c r="M652" s="2">
        <v>54742</v>
      </c>
      <c r="N652" s="3">
        <v>0</v>
      </c>
      <c r="O652" s="9">
        <f>PRODUCT(Employee_Sample_Data_1[[#This Row],[Annual Salary]],Employee_Sample_Data_1[[#This Row],[Bonus %]])</f>
        <v>0</v>
      </c>
      <c r="P652" s="2">
        <f>ROUND(Employee_Sample_Data_1[[#This Row],[Annual Salary]]*(1+Employee_Sample_Data_1[[#This Row],[Bonus %]]), 0)</f>
        <v>54742</v>
      </c>
      <c r="Q652" t="s">
        <v>34</v>
      </c>
      <c r="R652" t="s">
        <v>59</v>
      </c>
      <c r="T652">
        <f ca="1">DATEDIF(Employee_Sample_Data_1[[#This Row],[Hire Date]], IF(Employee_Sample_Data_1[[#This Row],[Exit Date]] = "", TODAY(), Employee_Sample_Data_1[[#This Row],[Exit Date]]), "Y")</f>
        <v>20</v>
      </c>
    </row>
    <row r="653" spans="1:20" x14ac:dyDescent="0.25">
      <c r="A653" t="s">
        <v>1380</v>
      </c>
      <c r="B653" t="s">
        <v>1381</v>
      </c>
      <c r="C653" t="s">
        <v>80</v>
      </c>
      <c r="D653" t="s">
        <v>77</v>
      </c>
      <c r="E653" t="s">
        <v>27</v>
      </c>
      <c r="F653" t="s">
        <v>19</v>
      </c>
      <c r="G653" t="s">
        <v>20</v>
      </c>
      <c r="H653">
        <v>43</v>
      </c>
      <c r="I653" s="1">
        <v>39282</v>
      </c>
      <c r="J653" s="1" t="str">
        <f>TEXT(Employee_Sample_Data_1[[#This Row],[Hire Date]], "dddd")</f>
        <v>Thursday</v>
      </c>
      <c r="K653" s="1" t="str">
        <f>TEXT(Employee_Sample_Data_1[[#This Row],[Hire Date]], "mmmm")</f>
        <v>July</v>
      </c>
      <c r="L653" s="1" t="str">
        <f>TEXT(Employee_Sample_Data_1[[#This Row],[Hire Date]], "yyyy")</f>
        <v>2007</v>
      </c>
      <c r="M653" s="2">
        <v>134544</v>
      </c>
      <c r="N653" s="3">
        <v>0.13</v>
      </c>
      <c r="O653" s="9">
        <f>PRODUCT(Employee_Sample_Data_1[[#This Row],[Annual Salary]],Employee_Sample_Data_1[[#This Row],[Bonus %]])</f>
        <v>17490.72</v>
      </c>
      <c r="P653" s="2">
        <f>ROUND(Employee_Sample_Data_1[[#This Row],[Annual Salary]]*(1+Employee_Sample_Data_1[[#This Row],[Bonus %]]), 0)</f>
        <v>152035</v>
      </c>
      <c r="Q653" t="s">
        <v>21</v>
      </c>
      <c r="R653" t="s">
        <v>45</v>
      </c>
      <c r="T653">
        <f ca="1">DATEDIF(Employee_Sample_Data_1[[#This Row],[Hire Date]], IF(Employee_Sample_Data_1[[#This Row],[Exit Date]] = "", TODAY(), Employee_Sample_Data_1[[#This Row],[Exit Date]]), "Y")</f>
        <v>18</v>
      </c>
    </row>
    <row r="654" spans="1:20" x14ac:dyDescent="0.25">
      <c r="A654" t="s">
        <v>1382</v>
      </c>
      <c r="B654" t="s">
        <v>1383</v>
      </c>
      <c r="C654" t="s">
        <v>66</v>
      </c>
      <c r="D654" t="s">
        <v>32</v>
      </c>
      <c r="E654" t="s">
        <v>53</v>
      </c>
      <c r="F654" t="s">
        <v>39</v>
      </c>
      <c r="G654" t="s">
        <v>20</v>
      </c>
      <c r="H654">
        <v>45</v>
      </c>
      <c r="I654" s="1">
        <v>37751</v>
      </c>
      <c r="J654" s="1" t="str">
        <f>TEXT(Employee_Sample_Data_1[[#This Row],[Hire Date]], "dddd")</f>
        <v>Saturday</v>
      </c>
      <c r="K654" s="1" t="str">
        <f>TEXT(Employee_Sample_Data_1[[#This Row],[Hire Date]], "mmmm")</f>
        <v>May</v>
      </c>
      <c r="L654" s="1" t="str">
        <f>TEXT(Employee_Sample_Data_1[[#This Row],[Hire Date]], "yyyy")</f>
        <v>2003</v>
      </c>
      <c r="M654" s="2">
        <v>128115</v>
      </c>
      <c r="N654" s="3">
        <v>0.06</v>
      </c>
      <c r="O654" s="9">
        <f>PRODUCT(Employee_Sample_Data_1[[#This Row],[Annual Salary]],Employee_Sample_Data_1[[#This Row],[Bonus %]])</f>
        <v>7686.9</v>
      </c>
      <c r="P654" s="2">
        <f>ROUND(Employee_Sample_Data_1[[#This Row],[Annual Salary]]*(1+Employee_Sample_Data_1[[#This Row],[Bonus %]]), 0)</f>
        <v>135802</v>
      </c>
      <c r="Q654" t="s">
        <v>21</v>
      </c>
      <c r="R654" t="s">
        <v>45</v>
      </c>
      <c r="T654">
        <f ca="1">DATEDIF(Employee_Sample_Data_1[[#This Row],[Hire Date]], IF(Employee_Sample_Data_1[[#This Row],[Exit Date]] = "", TODAY(), Employee_Sample_Data_1[[#This Row],[Exit Date]]), "Y")</f>
        <v>23</v>
      </c>
    </row>
    <row r="655" spans="1:20" x14ac:dyDescent="0.25">
      <c r="A655" t="s">
        <v>1384</v>
      </c>
      <c r="B655" t="s">
        <v>1385</v>
      </c>
      <c r="C655" t="s">
        <v>25</v>
      </c>
      <c r="D655" t="s">
        <v>52</v>
      </c>
      <c r="E655" t="s">
        <v>53</v>
      </c>
      <c r="F655" t="s">
        <v>19</v>
      </c>
      <c r="G655" t="s">
        <v>20</v>
      </c>
      <c r="H655">
        <v>38</v>
      </c>
      <c r="I655" s="1">
        <v>41454</v>
      </c>
      <c r="J655" s="1" t="str">
        <f>TEXT(Employee_Sample_Data_1[[#This Row],[Hire Date]], "dddd")</f>
        <v>Saturday</v>
      </c>
      <c r="K655" s="1" t="str">
        <f>TEXT(Employee_Sample_Data_1[[#This Row],[Hire Date]], "mmmm")</f>
        <v>June</v>
      </c>
      <c r="L655" s="1" t="str">
        <f>TEXT(Employee_Sample_Data_1[[#This Row],[Hire Date]], "yyyy")</f>
        <v>2013</v>
      </c>
      <c r="M655" s="2">
        <v>54713</v>
      </c>
      <c r="N655" s="3">
        <v>0</v>
      </c>
      <c r="O655" s="9">
        <f>PRODUCT(Employee_Sample_Data_1[[#This Row],[Annual Salary]],Employee_Sample_Data_1[[#This Row],[Bonus %]])</f>
        <v>0</v>
      </c>
      <c r="P655" s="2">
        <f>ROUND(Employee_Sample_Data_1[[#This Row],[Annual Salary]]*(1+Employee_Sample_Data_1[[#This Row],[Bonus %]]), 0)</f>
        <v>54713</v>
      </c>
      <c r="Q655" t="s">
        <v>21</v>
      </c>
      <c r="R655" t="s">
        <v>22</v>
      </c>
      <c r="T655">
        <f ca="1">DATEDIF(Employee_Sample_Data_1[[#This Row],[Hire Date]], IF(Employee_Sample_Data_1[[#This Row],[Exit Date]] = "", TODAY(), Employee_Sample_Data_1[[#This Row],[Exit Date]]), "Y")</f>
        <v>12</v>
      </c>
    </row>
    <row r="656" spans="1:20" x14ac:dyDescent="0.25">
      <c r="A656" t="s">
        <v>1386</v>
      </c>
      <c r="B656" t="s">
        <v>1387</v>
      </c>
      <c r="C656" t="s">
        <v>57</v>
      </c>
      <c r="D656" t="s">
        <v>26</v>
      </c>
      <c r="E656" t="s">
        <v>33</v>
      </c>
      <c r="F656" t="s">
        <v>39</v>
      </c>
      <c r="G656" t="s">
        <v>63</v>
      </c>
      <c r="H656">
        <v>46</v>
      </c>
      <c r="I656" s="1">
        <v>41860</v>
      </c>
      <c r="J656" s="1" t="str">
        <f>TEXT(Employee_Sample_Data_1[[#This Row],[Hire Date]], "dddd")</f>
        <v>Saturday</v>
      </c>
      <c r="K656" s="1" t="str">
        <f>TEXT(Employee_Sample_Data_1[[#This Row],[Hire Date]], "mmmm")</f>
        <v>August</v>
      </c>
      <c r="L656" s="1" t="str">
        <f>TEXT(Employee_Sample_Data_1[[#This Row],[Hire Date]], "yyyy")</f>
        <v>2014</v>
      </c>
      <c r="M656" s="2">
        <v>63987</v>
      </c>
      <c r="N656" s="3">
        <v>0</v>
      </c>
      <c r="O656" s="9">
        <f>PRODUCT(Employee_Sample_Data_1[[#This Row],[Annual Salary]],Employee_Sample_Data_1[[#This Row],[Bonus %]])</f>
        <v>0</v>
      </c>
      <c r="P656" s="2">
        <f>ROUND(Employee_Sample_Data_1[[#This Row],[Annual Salary]]*(1+Employee_Sample_Data_1[[#This Row],[Bonus %]]), 0)</f>
        <v>63987</v>
      </c>
      <c r="Q656" t="s">
        <v>21</v>
      </c>
      <c r="R656" t="s">
        <v>41</v>
      </c>
      <c r="T656">
        <f ca="1">DATEDIF(Employee_Sample_Data_1[[#This Row],[Hire Date]], IF(Employee_Sample_Data_1[[#This Row],[Exit Date]] = "", TODAY(), Employee_Sample_Data_1[[#This Row],[Exit Date]]), "Y")</f>
        <v>11</v>
      </c>
    </row>
    <row r="657" spans="1:20" x14ac:dyDescent="0.25">
      <c r="A657" t="s">
        <v>1388</v>
      </c>
      <c r="B657" t="s">
        <v>1389</v>
      </c>
      <c r="C657" t="s">
        <v>38</v>
      </c>
      <c r="D657" t="s">
        <v>32</v>
      </c>
      <c r="E657" t="s">
        <v>33</v>
      </c>
      <c r="F657" t="s">
        <v>19</v>
      </c>
      <c r="G657" t="s">
        <v>20</v>
      </c>
      <c r="H657">
        <v>26</v>
      </c>
      <c r="I657" s="1">
        <v>44558</v>
      </c>
      <c r="J657" s="1" t="str">
        <f>TEXT(Employee_Sample_Data_1[[#This Row],[Hire Date]], "dddd")</f>
        <v>Tuesday</v>
      </c>
      <c r="K657" s="1" t="str">
        <f>TEXT(Employee_Sample_Data_1[[#This Row],[Hire Date]], "mmmm")</f>
        <v>December</v>
      </c>
      <c r="L657" s="1" t="str">
        <f>TEXT(Employee_Sample_Data_1[[#This Row],[Hire Date]], "yyyy")</f>
        <v>2021</v>
      </c>
      <c r="M657" s="2">
        <v>86288</v>
      </c>
      <c r="N657" s="3">
        <v>0</v>
      </c>
      <c r="O657" s="9">
        <f>PRODUCT(Employee_Sample_Data_1[[#This Row],[Annual Salary]],Employee_Sample_Data_1[[#This Row],[Bonus %]])</f>
        <v>0</v>
      </c>
      <c r="P657" s="2">
        <f>ROUND(Employee_Sample_Data_1[[#This Row],[Annual Salary]]*(1+Employee_Sample_Data_1[[#This Row],[Bonus %]]), 0)</f>
        <v>86288</v>
      </c>
      <c r="Q657" t="s">
        <v>21</v>
      </c>
      <c r="R657" t="s">
        <v>22</v>
      </c>
      <c r="T657">
        <f ca="1">DATEDIF(Employee_Sample_Data_1[[#This Row],[Hire Date]], IF(Employee_Sample_Data_1[[#This Row],[Exit Date]] = "", TODAY(), Employee_Sample_Data_1[[#This Row],[Exit Date]]), "Y")</f>
        <v>4</v>
      </c>
    </row>
    <row r="658" spans="1:20" x14ac:dyDescent="0.25">
      <c r="A658" t="s">
        <v>1390</v>
      </c>
      <c r="B658" t="s">
        <v>1391</v>
      </c>
      <c r="C658" t="s">
        <v>410</v>
      </c>
      <c r="D658" t="s">
        <v>17</v>
      </c>
      <c r="E658" t="s">
        <v>27</v>
      </c>
      <c r="F658" t="s">
        <v>39</v>
      </c>
      <c r="G658" t="s">
        <v>40</v>
      </c>
      <c r="H658">
        <v>27</v>
      </c>
      <c r="I658" s="1">
        <v>44059</v>
      </c>
      <c r="J658" s="1" t="str">
        <f>TEXT(Employee_Sample_Data_1[[#This Row],[Hire Date]], "dddd")</f>
        <v>Sunday</v>
      </c>
      <c r="K658" s="1" t="str">
        <f>TEXT(Employee_Sample_Data_1[[#This Row],[Hire Date]], "mmmm")</f>
        <v>August</v>
      </c>
      <c r="L658" s="1" t="str">
        <f>TEXT(Employee_Sample_Data_1[[#This Row],[Hire Date]], "yyyy")</f>
        <v>2020</v>
      </c>
      <c r="M658" s="2">
        <v>61693</v>
      </c>
      <c r="N658" s="3">
        <v>0</v>
      </c>
      <c r="O658" s="9">
        <f>PRODUCT(Employee_Sample_Data_1[[#This Row],[Annual Salary]],Employee_Sample_Data_1[[#This Row],[Bonus %]])</f>
        <v>0</v>
      </c>
      <c r="P658" s="2">
        <f>ROUND(Employee_Sample_Data_1[[#This Row],[Annual Salary]]*(1+Employee_Sample_Data_1[[#This Row],[Bonus %]]), 0)</f>
        <v>61693</v>
      </c>
      <c r="Q658" t="s">
        <v>134</v>
      </c>
      <c r="R658" t="s">
        <v>180</v>
      </c>
      <c r="S658" s="1">
        <v>44158</v>
      </c>
      <c r="T658">
        <f ca="1">DATEDIF(Employee_Sample_Data_1[[#This Row],[Hire Date]], IF(Employee_Sample_Data_1[[#This Row],[Exit Date]] = "", TODAY(), Employee_Sample_Data_1[[#This Row],[Exit Date]]), "Y")</f>
        <v>0</v>
      </c>
    </row>
    <row r="659" spans="1:20" x14ac:dyDescent="0.25">
      <c r="A659" t="s">
        <v>1392</v>
      </c>
      <c r="B659" t="s">
        <v>1393</v>
      </c>
      <c r="C659" t="s">
        <v>62</v>
      </c>
      <c r="D659" t="s">
        <v>32</v>
      </c>
      <c r="E659" t="s">
        <v>18</v>
      </c>
      <c r="F659" t="s">
        <v>39</v>
      </c>
      <c r="G659" t="s">
        <v>20</v>
      </c>
      <c r="H659">
        <v>48</v>
      </c>
      <c r="I659" s="1">
        <v>44501</v>
      </c>
      <c r="J659" s="1" t="str">
        <f>TEXT(Employee_Sample_Data_1[[#This Row],[Hire Date]], "dddd")</f>
        <v>Monday</v>
      </c>
      <c r="K659" s="1" t="str">
        <f>TEXT(Employee_Sample_Data_1[[#This Row],[Hire Date]], "mmmm")</f>
        <v>November</v>
      </c>
      <c r="L659" s="1" t="str">
        <f>TEXT(Employee_Sample_Data_1[[#This Row],[Hire Date]], "yyyy")</f>
        <v>2021</v>
      </c>
      <c r="M659" s="2">
        <v>75624</v>
      </c>
      <c r="N659" s="3">
        <v>0</v>
      </c>
      <c r="O659" s="9">
        <f>PRODUCT(Employee_Sample_Data_1[[#This Row],[Annual Salary]],Employee_Sample_Data_1[[#This Row],[Bonus %]])</f>
        <v>0</v>
      </c>
      <c r="P659" s="2">
        <f>ROUND(Employee_Sample_Data_1[[#This Row],[Annual Salary]]*(1+Employee_Sample_Data_1[[#This Row],[Bonus %]]), 0)</f>
        <v>75624</v>
      </c>
      <c r="Q659" t="s">
        <v>34</v>
      </c>
      <c r="R659" t="s">
        <v>59</v>
      </c>
      <c r="T659">
        <f ca="1">DATEDIF(Employee_Sample_Data_1[[#This Row],[Hire Date]], IF(Employee_Sample_Data_1[[#This Row],[Exit Date]] = "", TODAY(), Employee_Sample_Data_1[[#This Row],[Exit Date]]), "Y")</f>
        <v>4</v>
      </c>
    </row>
    <row r="660" spans="1:20" x14ac:dyDescent="0.25">
      <c r="A660" t="s">
        <v>1394</v>
      </c>
      <c r="B660" t="s">
        <v>1395</v>
      </c>
      <c r="C660" t="s">
        <v>66</v>
      </c>
      <c r="D660" t="s">
        <v>123</v>
      </c>
      <c r="E660" t="s">
        <v>27</v>
      </c>
      <c r="F660" t="s">
        <v>39</v>
      </c>
      <c r="G660" t="s">
        <v>63</v>
      </c>
      <c r="H660">
        <v>57</v>
      </c>
      <c r="I660" s="1">
        <v>41411</v>
      </c>
      <c r="J660" s="1" t="str">
        <f>TEXT(Employee_Sample_Data_1[[#This Row],[Hire Date]], "dddd")</f>
        <v>Friday</v>
      </c>
      <c r="K660" s="1" t="str">
        <f>TEXT(Employee_Sample_Data_1[[#This Row],[Hire Date]], "mmmm")</f>
        <v>May</v>
      </c>
      <c r="L660" s="1" t="str">
        <f>TEXT(Employee_Sample_Data_1[[#This Row],[Hire Date]], "yyyy")</f>
        <v>2013</v>
      </c>
      <c r="M660" s="2">
        <v>122979</v>
      </c>
      <c r="N660" s="3">
        <v>0.06</v>
      </c>
      <c r="O660" s="9">
        <f>PRODUCT(Employee_Sample_Data_1[[#This Row],[Annual Salary]],Employee_Sample_Data_1[[#This Row],[Bonus %]])</f>
        <v>7378.74</v>
      </c>
      <c r="P660" s="2">
        <f>ROUND(Employee_Sample_Data_1[[#This Row],[Annual Salary]]*(1+Employee_Sample_Data_1[[#This Row],[Bonus %]]), 0)</f>
        <v>130358</v>
      </c>
      <c r="Q660" t="s">
        <v>21</v>
      </c>
      <c r="R660" t="s">
        <v>48</v>
      </c>
      <c r="T660">
        <f ca="1">DATEDIF(Employee_Sample_Data_1[[#This Row],[Hire Date]], IF(Employee_Sample_Data_1[[#This Row],[Exit Date]] = "", TODAY(), Employee_Sample_Data_1[[#This Row],[Exit Date]]), "Y")</f>
        <v>13</v>
      </c>
    </row>
    <row r="661" spans="1:20" x14ac:dyDescent="0.25">
      <c r="A661" t="s">
        <v>1396</v>
      </c>
      <c r="B661" t="s">
        <v>1397</v>
      </c>
      <c r="C661" t="s">
        <v>265</v>
      </c>
      <c r="D661" t="s">
        <v>17</v>
      </c>
      <c r="E661" t="s">
        <v>53</v>
      </c>
      <c r="F661" t="s">
        <v>19</v>
      </c>
      <c r="G661" t="s">
        <v>63</v>
      </c>
      <c r="H661">
        <v>58</v>
      </c>
      <c r="I661" s="1">
        <v>37627</v>
      </c>
      <c r="J661" s="1" t="str">
        <f>TEXT(Employee_Sample_Data_1[[#This Row],[Hire Date]], "dddd")</f>
        <v>Monday</v>
      </c>
      <c r="K661" s="1" t="str">
        <f>TEXT(Employee_Sample_Data_1[[#This Row],[Hire Date]], "mmmm")</f>
        <v>January</v>
      </c>
      <c r="L661" s="1" t="str">
        <f>TEXT(Employee_Sample_Data_1[[#This Row],[Hire Date]], "yyyy")</f>
        <v>2003</v>
      </c>
      <c r="M661" s="2">
        <v>91729</v>
      </c>
      <c r="N661" s="3">
        <v>0.13</v>
      </c>
      <c r="O661" s="9">
        <f>PRODUCT(Employee_Sample_Data_1[[#This Row],[Annual Salary]],Employee_Sample_Data_1[[#This Row],[Bonus %]])</f>
        <v>11924.77</v>
      </c>
      <c r="P661" s="2">
        <f>ROUND(Employee_Sample_Data_1[[#This Row],[Annual Salary]]*(1+Employee_Sample_Data_1[[#This Row],[Bonus %]]), 0)</f>
        <v>103654</v>
      </c>
      <c r="Q661" t="s">
        <v>21</v>
      </c>
      <c r="R661" t="s">
        <v>28</v>
      </c>
      <c r="T661">
        <f ca="1">DATEDIF(Employee_Sample_Data_1[[#This Row],[Hire Date]], IF(Employee_Sample_Data_1[[#This Row],[Exit Date]] = "", TODAY(), Employee_Sample_Data_1[[#This Row],[Exit Date]]), "Y")</f>
        <v>23</v>
      </c>
    </row>
    <row r="662" spans="1:20" x14ac:dyDescent="0.25">
      <c r="A662" t="s">
        <v>1398</v>
      </c>
      <c r="B662" t="s">
        <v>1399</v>
      </c>
      <c r="C662" t="s">
        <v>66</v>
      </c>
      <c r="D662" t="s">
        <v>58</v>
      </c>
      <c r="E662" t="s">
        <v>27</v>
      </c>
      <c r="F662" t="s">
        <v>19</v>
      </c>
      <c r="G662" t="s">
        <v>63</v>
      </c>
      <c r="H662">
        <v>48</v>
      </c>
      <c r="I662" s="1">
        <v>40314</v>
      </c>
      <c r="J662" s="1" t="str">
        <f>TEXT(Employee_Sample_Data_1[[#This Row],[Hire Date]], "dddd")</f>
        <v>Sunday</v>
      </c>
      <c r="K662" s="1" t="str">
        <f>TEXT(Employee_Sample_Data_1[[#This Row],[Hire Date]], "mmmm")</f>
        <v>May</v>
      </c>
      <c r="L662" s="1" t="str">
        <f>TEXT(Employee_Sample_Data_1[[#This Row],[Hire Date]], "yyyy")</f>
        <v>2010</v>
      </c>
      <c r="M662" s="2">
        <v>117736</v>
      </c>
      <c r="N662" s="3">
        <v>0.05</v>
      </c>
      <c r="O662" s="9">
        <f>PRODUCT(Employee_Sample_Data_1[[#This Row],[Annual Salary]],Employee_Sample_Data_1[[#This Row],[Bonus %]])</f>
        <v>5886.8</v>
      </c>
      <c r="P662" s="2">
        <f>ROUND(Employee_Sample_Data_1[[#This Row],[Annual Salary]]*(1+Employee_Sample_Data_1[[#This Row],[Bonus %]]), 0)</f>
        <v>123623</v>
      </c>
      <c r="Q662" t="s">
        <v>21</v>
      </c>
      <c r="R662" t="s">
        <v>22</v>
      </c>
      <c r="T662">
        <f ca="1">DATEDIF(Employee_Sample_Data_1[[#This Row],[Hire Date]], IF(Employee_Sample_Data_1[[#This Row],[Exit Date]] = "", TODAY(), Employee_Sample_Data_1[[#This Row],[Exit Date]]), "Y")</f>
        <v>16</v>
      </c>
    </row>
    <row r="663" spans="1:20" x14ac:dyDescent="0.25">
      <c r="A663" t="s">
        <v>1400</v>
      </c>
      <c r="B663" t="s">
        <v>1401</v>
      </c>
      <c r="C663" t="s">
        <v>80</v>
      </c>
      <c r="D663" t="s">
        <v>123</v>
      </c>
      <c r="E663" t="s">
        <v>33</v>
      </c>
      <c r="F663" t="s">
        <v>19</v>
      </c>
      <c r="G663" t="s">
        <v>20</v>
      </c>
      <c r="H663">
        <v>54</v>
      </c>
      <c r="I663" s="1">
        <v>34779</v>
      </c>
      <c r="J663" s="1" t="str">
        <f>TEXT(Employee_Sample_Data_1[[#This Row],[Hire Date]], "dddd")</f>
        <v>Tuesday</v>
      </c>
      <c r="K663" s="1" t="str">
        <f>TEXT(Employee_Sample_Data_1[[#This Row],[Hire Date]], "mmmm")</f>
        <v>March</v>
      </c>
      <c r="L663" s="1" t="str">
        <f>TEXT(Employee_Sample_Data_1[[#This Row],[Hire Date]], "yyyy")</f>
        <v>1995</v>
      </c>
      <c r="M663" s="2">
        <v>154658</v>
      </c>
      <c r="N663" s="3">
        <v>0.12</v>
      </c>
      <c r="O663" s="9">
        <f>PRODUCT(Employee_Sample_Data_1[[#This Row],[Annual Salary]],Employee_Sample_Data_1[[#This Row],[Bonus %]])</f>
        <v>18558.96</v>
      </c>
      <c r="P663" s="2">
        <f>ROUND(Employee_Sample_Data_1[[#This Row],[Annual Salary]]*(1+Employee_Sample_Data_1[[#This Row],[Bonus %]]), 0)</f>
        <v>173217</v>
      </c>
      <c r="Q663" t="s">
        <v>34</v>
      </c>
      <c r="R663" t="s">
        <v>54</v>
      </c>
      <c r="T663">
        <f ca="1">DATEDIF(Employee_Sample_Data_1[[#This Row],[Hire Date]], IF(Employee_Sample_Data_1[[#This Row],[Exit Date]] = "", TODAY(), Employee_Sample_Data_1[[#This Row],[Exit Date]]), "Y")</f>
        <v>31</v>
      </c>
    </row>
    <row r="664" spans="1:20" x14ac:dyDescent="0.25">
      <c r="A664" t="s">
        <v>1402</v>
      </c>
      <c r="B664" t="s">
        <v>1403</v>
      </c>
      <c r="C664" t="s">
        <v>170</v>
      </c>
      <c r="D664" t="s">
        <v>32</v>
      </c>
      <c r="E664" t="s">
        <v>33</v>
      </c>
      <c r="F664" t="s">
        <v>19</v>
      </c>
      <c r="G664" t="s">
        <v>20</v>
      </c>
      <c r="H664">
        <v>29</v>
      </c>
      <c r="I664" s="1">
        <v>44046</v>
      </c>
      <c r="J664" s="1" t="str">
        <f>TEXT(Employee_Sample_Data_1[[#This Row],[Hire Date]], "dddd")</f>
        <v>Monday</v>
      </c>
      <c r="K664" s="1" t="str">
        <f>TEXT(Employee_Sample_Data_1[[#This Row],[Hire Date]], "mmmm")</f>
        <v>August</v>
      </c>
      <c r="L664" s="1" t="str">
        <f>TEXT(Employee_Sample_Data_1[[#This Row],[Hire Date]], "yyyy")</f>
        <v>2020</v>
      </c>
      <c r="M664" s="2">
        <v>84397</v>
      </c>
      <c r="N664" s="3">
        <v>0</v>
      </c>
      <c r="O664" s="9">
        <f>PRODUCT(Employee_Sample_Data_1[[#This Row],[Annual Salary]],Employee_Sample_Data_1[[#This Row],[Bonus %]])</f>
        <v>0</v>
      </c>
      <c r="P664" s="2">
        <f>ROUND(Employee_Sample_Data_1[[#This Row],[Annual Salary]]*(1+Employee_Sample_Data_1[[#This Row],[Bonus %]]), 0)</f>
        <v>84397</v>
      </c>
      <c r="Q664" t="s">
        <v>21</v>
      </c>
      <c r="R664" t="s">
        <v>41</v>
      </c>
      <c r="T664">
        <f ca="1">DATEDIF(Employee_Sample_Data_1[[#This Row],[Hire Date]], IF(Employee_Sample_Data_1[[#This Row],[Exit Date]] = "", TODAY(), Employee_Sample_Data_1[[#This Row],[Exit Date]]), "Y")</f>
        <v>5</v>
      </c>
    </row>
    <row r="665" spans="1:20" x14ac:dyDescent="0.25">
      <c r="A665" t="s">
        <v>1404</v>
      </c>
      <c r="B665" t="s">
        <v>1405</v>
      </c>
      <c r="C665" t="s">
        <v>44</v>
      </c>
      <c r="D665" t="s">
        <v>52</v>
      </c>
      <c r="E665" t="s">
        <v>53</v>
      </c>
      <c r="F665" t="s">
        <v>39</v>
      </c>
      <c r="G665" t="s">
        <v>20</v>
      </c>
      <c r="H665">
        <v>50</v>
      </c>
      <c r="I665" s="1">
        <v>35664</v>
      </c>
      <c r="J665" s="1" t="str">
        <f>TEXT(Employee_Sample_Data_1[[#This Row],[Hire Date]], "dddd")</f>
        <v>Friday</v>
      </c>
      <c r="K665" s="1" t="str">
        <f>TEXT(Employee_Sample_Data_1[[#This Row],[Hire Date]], "mmmm")</f>
        <v>August</v>
      </c>
      <c r="L665" s="1" t="str">
        <f>TEXT(Employee_Sample_Data_1[[#This Row],[Hire Date]], "yyyy")</f>
        <v>1997</v>
      </c>
      <c r="M665" s="2">
        <v>159285</v>
      </c>
      <c r="N665" s="3">
        <v>0.15</v>
      </c>
      <c r="O665" s="9">
        <f>PRODUCT(Employee_Sample_Data_1[[#This Row],[Annual Salary]],Employee_Sample_Data_1[[#This Row],[Bonus %]])</f>
        <v>23892.75</v>
      </c>
      <c r="P665" s="2">
        <f>ROUND(Employee_Sample_Data_1[[#This Row],[Annual Salary]]*(1+Employee_Sample_Data_1[[#This Row],[Bonus %]]), 0)</f>
        <v>183178</v>
      </c>
      <c r="Q665" t="s">
        <v>21</v>
      </c>
      <c r="R665" t="s">
        <v>45</v>
      </c>
      <c r="T665">
        <f ca="1">DATEDIF(Employee_Sample_Data_1[[#This Row],[Hire Date]], IF(Employee_Sample_Data_1[[#This Row],[Exit Date]] = "", TODAY(), Employee_Sample_Data_1[[#This Row],[Exit Date]]), "Y")</f>
        <v>28</v>
      </c>
    </row>
    <row r="666" spans="1:20" x14ac:dyDescent="0.25">
      <c r="A666" t="s">
        <v>1406</v>
      </c>
      <c r="B666" t="s">
        <v>1407</v>
      </c>
      <c r="C666" t="s">
        <v>57</v>
      </c>
      <c r="D666" t="s">
        <v>52</v>
      </c>
      <c r="E666" t="s">
        <v>33</v>
      </c>
      <c r="F666" t="s">
        <v>39</v>
      </c>
      <c r="G666" t="s">
        <v>63</v>
      </c>
      <c r="H666">
        <v>49</v>
      </c>
      <c r="I666" s="1">
        <v>38144</v>
      </c>
      <c r="J666" s="1" t="str">
        <f>TEXT(Employee_Sample_Data_1[[#This Row],[Hire Date]], "dddd")</f>
        <v>Sunday</v>
      </c>
      <c r="K666" s="1" t="str">
        <f>TEXT(Employee_Sample_Data_1[[#This Row],[Hire Date]], "mmmm")</f>
        <v>June</v>
      </c>
      <c r="L666" s="1" t="str">
        <f>TEXT(Employee_Sample_Data_1[[#This Row],[Hire Date]], "yyyy")</f>
        <v>2004</v>
      </c>
      <c r="M666" s="2">
        <v>59854</v>
      </c>
      <c r="N666" s="3">
        <v>0</v>
      </c>
      <c r="O666" s="9">
        <f>PRODUCT(Employee_Sample_Data_1[[#This Row],[Annual Salary]],Employee_Sample_Data_1[[#This Row],[Bonus %]])</f>
        <v>0</v>
      </c>
      <c r="P666" s="2">
        <f>ROUND(Employee_Sample_Data_1[[#This Row],[Annual Salary]]*(1+Employee_Sample_Data_1[[#This Row],[Bonus %]]), 0)</f>
        <v>59854</v>
      </c>
      <c r="Q666" t="s">
        <v>21</v>
      </c>
      <c r="R666" t="s">
        <v>67</v>
      </c>
      <c r="T666">
        <f ca="1">DATEDIF(Employee_Sample_Data_1[[#This Row],[Hire Date]], IF(Employee_Sample_Data_1[[#This Row],[Exit Date]] = "", TODAY(), Employee_Sample_Data_1[[#This Row],[Exit Date]]), "Y")</f>
        <v>22</v>
      </c>
    </row>
    <row r="667" spans="1:20" x14ac:dyDescent="0.25">
      <c r="A667" t="s">
        <v>1408</v>
      </c>
      <c r="B667" t="s">
        <v>1409</v>
      </c>
      <c r="C667" t="s">
        <v>224</v>
      </c>
      <c r="D667" t="s">
        <v>32</v>
      </c>
      <c r="E667" t="s">
        <v>33</v>
      </c>
      <c r="F667" t="s">
        <v>19</v>
      </c>
      <c r="G667" t="s">
        <v>63</v>
      </c>
      <c r="H667">
        <v>64</v>
      </c>
      <c r="I667" s="1">
        <v>43238</v>
      </c>
      <c r="J667" s="1" t="str">
        <f>TEXT(Employee_Sample_Data_1[[#This Row],[Hire Date]], "dddd")</f>
        <v>Friday</v>
      </c>
      <c r="K667" s="1" t="str">
        <f>TEXT(Employee_Sample_Data_1[[#This Row],[Hire Date]], "mmmm")</f>
        <v>May</v>
      </c>
      <c r="L667" s="1" t="str">
        <f>TEXT(Employee_Sample_Data_1[[#This Row],[Hire Date]], "yyyy")</f>
        <v>2018</v>
      </c>
      <c r="M667" s="2">
        <v>87521</v>
      </c>
      <c r="N667" s="3">
        <v>0</v>
      </c>
      <c r="O667" s="9">
        <f>PRODUCT(Employee_Sample_Data_1[[#This Row],[Annual Salary]],Employee_Sample_Data_1[[#This Row],[Bonus %]])</f>
        <v>0</v>
      </c>
      <c r="P667" s="2">
        <f>ROUND(Employee_Sample_Data_1[[#This Row],[Annual Salary]]*(1+Employee_Sample_Data_1[[#This Row],[Bonus %]]), 0)</f>
        <v>87521</v>
      </c>
      <c r="Q667" t="s">
        <v>21</v>
      </c>
      <c r="R667" t="s">
        <v>41</v>
      </c>
      <c r="S667" s="1">
        <v>44357</v>
      </c>
      <c r="T667">
        <f ca="1">DATEDIF(Employee_Sample_Data_1[[#This Row],[Hire Date]], IF(Employee_Sample_Data_1[[#This Row],[Exit Date]] = "", TODAY(), Employee_Sample_Data_1[[#This Row],[Exit Date]]), "Y")</f>
        <v>3</v>
      </c>
    </row>
    <row r="668" spans="1:20" x14ac:dyDescent="0.25">
      <c r="A668" t="s">
        <v>1410</v>
      </c>
      <c r="B668" t="s">
        <v>1411</v>
      </c>
      <c r="C668" t="s">
        <v>44</v>
      </c>
      <c r="D668" t="s">
        <v>77</v>
      </c>
      <c r="E668" t="s">
        <v>33</v>
      </c>
      <c r="F668" t="s">
        <v>19</v>
      </c>
      <c r="G668" t="s">
        <v>40</v>
      </c>
      <c r="H668">
        <v>36</v>
      </c>
      <c r="I668" s="1">
        <v>42264</v>
      </c>
      <c r="J668" s="1" t="str">
        <f>TEXT(Employee_Sample_Data_1[[#This Row],[Hire Date]], "dddd")</f>
        <v>Thursday</v>
      </c>
      <c r="K668" s="1" t="str">
        <f>TEXT(Employee_Sample_Data_1[[#This Row],[Hire Date]], "mmmm")</f>
        <v>September</v>
      </c>
      <c r="L668" s="1" t="str">
        <f>TEXT(Employee_Sample_Data_1[[#This Row],[Hire Date]], "yyyy")</f>
        <v>2015</v>
      </c>
      <c r="M668" s="2">
        <v>179166</v>
      </c>
      <c r="N668" s="3">
        <v>0.17</v>
      </c>
      <c r="O668" s="9">
        <f>PRODUCT(Employee_Sample_Data_1[[#This Row],[Annual Salary]],Employee_Sample_Data_1[[#This Row],[Bonus %]])</f>
        <v>30458.22</v>
      </c>
      <c r="P668" s="2">
        <f>ROUND(Employee_Sample_Data_1[[#This Row],[Annual Salary]]*(1+Employee_Sample_Data_1[[#This Row],[Bonus %]]), 0)</f>
        <v>209624</v>
      </c>
      <c r="Q668" t="s">
        <v>134</v>
      </c>
      <c r="R668" t="s">
        <v>286</v>
      </c>
      <c r="T668">
        <f ca="1">DATEDIF(Employee_Sample_Data_1[[#This Row],[Hire Date]], IF(Employee_Sample_Data_1[[#This Row],[Exit Date]] = "", TODAY(), Employee_Sample_Data_1[[#This Row],[Exit Date]]), "Y")</f>
        <v>10</v>
      </c>
    </row>
    <row r="669" spans="1:20" x14ac:dyDescent="0.25">
      <c r="A669" t="s">
        <v>1412</v>
      </c>
      <c r="B669" t="s">
        <v>1413</v>
      </c>
      <c r="C669" t="s">
        <v>16</v>
      </c>
      <c r="D669" t="s">
        <v>17</v>
      </c>
      <c r="E669" t="s">
        <v>27</v>
      </c>
      <c r="F669" t="s">
        <v>39</v>
      </c>
      <c r="G669" t="s">
        <v>20</v>
      </c>
      <c r="H669">
        <v>55</v>
      </c>
      <c r="I669" s="1">
        <v>36248</v>
      </c>
      <c r="J669" s="1" t="str">
        <f>TEXT(Employee_Sample_Data_1[[#This Row],[Hire Date]], "dddd")</f>
        <v>Monday</v>
      </c>
      <c r="K669" s="1" t="str">
        <f>TEXT(Employee_Sample_Data_1[[#This Row],[Hire Date]], "mmmm")</f>
        <v>March</v>
      </c>
      <c r="L669" s="1" t="str">
        <f>TEXT(Employee_Sample_Data_1[[#This Row],[Hire Date]], "yyyy")</f>
        <v>1999</v>
      </c>
      <c r="M669" s="2">
        <v>120092</v>
      </c>
      <c r="N669" s="3">
        <v>0</v>
      </c>
      <c r="O669" s="9">
        <f>PRODUCT(Employee_Sample_Data_1[[#This Row],[Annual Salary]],Employee_Sample_Data_1[[#This Row],[Bonus %]])</f>
        <v>0</v>
      </c>
      <c r="P669" s="2">
        <f>ROUND(Employee_Sample_Data_1[[#This Row],[Annual Salary]]*(1+Employee_Sample_Data_1[[#This Row],[Bonus %]]), 0)</f>
        <v>120092</v>
      </c>
      <c r="Q669" t="s">
        <v>34</v>
      </c>
      <c r="R669" t="s">
        <v>54</v>
      </c>
      <c r="T669">
        <f ca="1">DATEDIF(Employee_Sample_Data_1[[#This Row],[Hire Date]], IF(Employee_Sample_Data_1[[#This Row],[Exit Date]] = "", TODAY(), Employee_Sample_Data_1[[#This Row],[Exit Date]]), "Y")</f>
        <v>27</v>
      </c>
    </row>
    <row r="670" spans="1:20" x14ac:dyDescent="0.25">
      <c r="A670" t="s">
        <v>1414</v>
      </c>
      <c r="B670" t="s">
        <v>1415</v>
      </c>
      <c r="C670" t="s">
        <v>44</v>
      </c>
      <c r="D670" t="s">
        <v>17</v>
      </c>
      <c r="E670" t="s">
        <v>27</v>
      </c>
      <c r="F670" t="s">
        <v>19</v>
      </c>
      <c r="G670" t="s">
        <v>20</v>
      </c>
      <c r="H670">
        <v>53</v>
      </c>
      <c r="I670" s="1">
        <v>42174</v>
      </c>
      <c r="J670" s="1" t="str">
        <f>TEXT(Employee_Sample_Data_1[[#This Row],[Hire Date]], "dddd")</f>
        <v>Friday</v>
      </c>
      <c r="K670" s="1" t="str">
        <f>TEXT(Employee_Sample_Data_1[[#This Row],[Hire Date]], "mmmm")</f>
        <v>June</v>
      </c>
      <c r="L670" s="1" t="str">
        <f>TEXT(Employee_Sample_Data_1[[#This Row],[Hire Date]], "yyyy")</f>
        <v>2015</v>
      </c>
      <c r="M670" s="2">
        <v>168142</v>
      </c>
      <c r="N670" s="3">
        <v>0.27</v>
      </c>
      <c r="O670" s="9">
        <f>PRODUCT(Employee_Sample_Data_1[[#This Row],[Annual Salary]],Employee_Sample_Data_1[[#This Row],[Bonus %]])</f>
        <v>45398.340000000004</v>
      </c>
      <c r="P670" s="2">
        <f>ROUND(Employee_Sample_Data_1[[#This Row],[Annual Salary]]*(1+Employee_Sample_Data_1[[#This Row],[Bonus %]]), 0)</f>
        <v>213540</v>
      </c>
      <c r="Q670" t="s">
        <v>34</v>
      </c>
      <c r="R670" t="s">
        <v>108</v>
      </c>
      <c r="T670">
        <f ca="1">DATEDIF(Employee_Sample_Data_1[[#This Row],[Hire Date]], IF(Employee_Sample_Data_1[[#This Row],[Exit Date]] = "", TODAY(), Employee_Sample_Data_1[[#This Row],[Exit Date]]), "Y")</f>
        <v>10</v>
      </c>
    </row>
    <row r="671" spans="1:20" x14ac:dyDescent="0.25">
      <c r="A671" t="s">
        <v>1416</v>
      </c>
      <c r="B671" t="s">
        <v>1417</v>
      </c>
      <c r="C671" t="s">
        <v>44</v>
      </c>
      <c r="D671" t="s">
        <v>58</v>
      </c>
      <c r="E671" t="s">
        <v>27</v>
      </c>
      <c r="F671" t="s">
        <v>39</v>
      </c>
      <c r="G671" t="s">
        <v>40</v>
      </c>
      <c r="H671">
        <v>54</v>
      </c>
      <c r="I671" s="1">
        <v>34799</v>
      </c>
      <c r="J671" s="1" t="str">
        <f>TEXT(Employee_Sample_Data_1[[#This Row],[Hire Date]], "dddd")</f>
        <v>Monday</v>
      </c>
      <c r="K671" s="1" t="str">
        <f>TEXT(Employee_Sample_Data_1[[#This Row],[Hire Date]], "mmmm")</f>
        <v>April</v>
      </c>
      <c r="L671" s="1" t="str">
        <f>TEXT(Employee_Sample_Data_1[[#This Row],[Hire Date]], "yyyy")</f>
        <v>1995</v>
      </c>
      <c r="M671" s="2">
        <v>195662</v>
      </c>
      <c r="N671" s="3">
        <v>0.15</v>
      </c>
      <c r="O671" s="9">
        <f>PRODUCT(Employee_Sample_Data_1[[#This Row],[Annual Salary]],Employee_Sample_Data_1[[#This Row],[Bonus %]])</f>
        <v>29349.3</v>
      </c>
      <c r="P671" s="2">
        <f>ROUND(Employee_Sample_Data_1[[#This Row],[Annual Salary]]*(1+Employee_Sample_Data_1[[#This Row],[Bonus %]]), 0)</f>
        <v>225011</v>
      </c>
      <c r="Q671" t="s">
        <v>21</v>
      </c>
      <c r="R671" t="s">
        <v>22</v>
      </c>
      <c r="T671">
        <f ca="1">DATEDIF(Employee_Sample_Data_1[[#This Row],[Hire Date]], IF(Employee_Sample_Data_1[[#This Row],[Exit Date]] = "", TODAY(), Employee_Sample_Data_1[[#This Row],[Exit Date]]), "Y")</f>
        <v>31</v>
      </c>
    </row>
    <row r="672" spans="1:20" x14ac:dyDescent="0.25">
      <c r="A672" t="s">
        <v>1418</v>
      </c>
      <c r="B672" t="s">
        <v>1419</v>
      </c>
      <c r="C672" t="s">
        <v>70</v>
      </c>
      <c r="D672" t="s">
        <v>32</v>
      </c>
      <c r="E672" t="s">
        <v>18</v>
      </c>
      <c r="F672" t="s">
        <v>19</v>
      </c>
      <c r="G672" t="s">
        <v>63</v>
      </c>
      <c r="H672">
        <v>41</v>
      </c>
      <c r="I672" s="1">
        <v>41260</v>
      </c>
      <c r="J672" s="1" t="str">
        <f>TEXT(Employee_Sample_Data_1[[#This Row],[Hire Date]], "dddd")</f>
        <v>Monday</v>
      </c>
      <c r="K672" s="1" t="str">
        <f>TEXT(Employee_Sample_Data_1[[#This Row],[Hire Date]], "mmmm")</f>
        <v>December</v>
      </c>
      <c r="L672" s="1" t="str">
        <f>TEXT(Employee_Sample_Data_1[[#This Row],[Hire Date]], "yyyy")</f>
        <v>2012</v>
      </c>
      <c r="M672" s="2">
        <v>49986</v>
      </c>
      <c r="N672" s="3">
        <v>0</v>
      </c>
      <c r="O672" s="9">
        <f>PRODUCT(Employee_Sample_Data_1[[#This Row],[Annual Salary]],Employee_Sample_Data_1[[#This Row],[Bonus %]])</f>
        <v>0</v>
      </c>
      <c r="P672" s="2">
        <f>ROUND(Employee_Sample_Data_1[[#This Row],[Annual Salary]]*(1+Employee_Sample_Data_1[[#This Row],[Bonus %]]), 0)</f>
        <v>49986</v>
      </c>
      <c r="Q672" t="s">
        <v>21</v>
      </c>
      <c r="R672" t="s">
        <v>67</v>
      </c>
      <c r="T672">
        <f ca="1">DATEDIF(Employee_Sample_Data_1[[#This Row],[Hire Date]], IF(Employee_Sample_Data_1[[#This Row],[Exit Date]] = "", TODAY(), Employee_Sample_Data_1[[#This Row],[Exit Date]]), "Y")</f>
        <v>13</v>
      </c>
    </row>
    <row r="673" spans="1:20" x14ac:dyDescent="0.25">
      <c r="A673" t="s">
        <v>1420</v>
      </c>
      <c r="B673" t="s">
        <v>1421</v>
      </c>
      <c r="C673" t="s">
        <v>86</v>
      </c>
      <c r="D673" t="s">
        <v>52</v>
      </c>
      <c r="E673" t="s">
        <v>27</v>
      </c>
      <c r="F673" t="s">
        <v>19</v>
      </c>
      <c r="G673" t="s">
        <v>40</v>
      </c>
      <c r="H673">
        <v>27</v>
      </c>
      <c r="I673" s="1">
        <v>44064</v>
      </c>
      <c r="J673" s="1" t="str">
        <f>TEXT(Employee_Sample_Data_1[[#This Row],[Hire Date]], "dddd")</f>
        <v>Friday</v>
      </c>
      <c r="K673" s="1" t="str">
        <f>TEXT(Employee_Sample_Data_1[[#This Row],[Hire Date]], "mmmm")</f>
        <v>August</v>
      </c>
      <c r="L673" s="1" t="str">
        <f>TEXT(Employee_Sample_Data_1[[#This Row],[Hire Date]], "yyyy")</f>
        <v>2020</v>
      </c>
      <c r="M673" s="2">
        <v>181587</v>
      </c>
      <c r="N673" s="3">
        <v>0.38</v>
      </c>
      <c r="O673" s="9">
        <f>PRODUCT(Employee_Sample_Data_1[[#This Row],[Annual Salary]],Employee_Sample_Data_1[[#This Row],[Bonus %]])</f>
        <v>69003.06</v>
      </c>
      <c r="P673" s="2">
        <f>ROUND(Employee_Sample_Data_1[[#This Row],[Annual Salary]]*(1+Employee_Sample_Data_1[[#This Row],[Bonus %]]), 0)</f>
        <v>250590</v>
      </c>
      <c r="Q673" t="s">
        <v>134</v>
      </c>
      <c r="R673" t="s">
        <v>286</v>
      </c>
      <c r="T673">
        <f ca="1">DATEDIF(Employee_Sample_Data_1[[#This Row],[Hire Date]], IF(Employee_Sample_Data_1[[#This Row],[Exit Date]] = "", TODAY(), Employee_Sample_Data_1[[#This Row],[Exit Date]]), "Y")</f>
        <v>5</v>
      </c>
    </row>
    <row r="674" spans="1:20" x14ac:dyDescent="0.25">
      <c r="A674" t="s">
        <v>1422</v>
      </c>
      <c r="B674" t="s">
        <v>1423</v>
      </c>
      <c r="C674" t="s">
        <v>86</v>
      </c>
      <c r="D674" t="s">
        <v>123</v>
      </c>
      <c r="E674" t="s">
        <v>53</v>
      </c>
      <c r="F674" t="s">
        <v>39</v>
      </c>
      <c r="G674" t="s">
        <v>20</v>
      </c>
      <c r="H674">
        <v>51</v>
      </c>
      <c r="I674" s="1">
        <v>36733</v>
      </c>
      <c r="J674" s="1" t="str">
        <f>TEXT(Employee_Sample_Data_1[[#This Row],[Hire Date]], "dddd")</f>
        <v>Wednesday</v>
      </c>
      <c r="K674" s="1" t="str">
        <f>TEXT(Employee_Sample_Data_1[[#This Row],[Hire Date]], "mmmm")</f>
        <v>July</v>
      </c>
      <c r="L674" s="1" t="str">
        <f>TEXT(Employee_Sample_Data_1[[#This Row],[Hire Date]], "yyyy")</f>
        <v>2000</v>
      </c>
      <c r="M674" s="2">
        <v>199736</v>
      </c>
      <c r="N674" s="3">
        <v>0.35</v>
      </c>
      <c r="O674" s="9">
        <f>PRODUCT(Employee_Sample_Data_1[[#This Row],[Annual Salary]],Employee_Sample_Data_1[[#This Row],[Bonus %]])</f>
        <v>69907.599999999991</v>
      </c>
      <c r="P674" s="2">
        <f>ROUND(Employee_Sample_Data_1[[#This Row],[Annual Salary]]*(1+Employee_Sample_Data_1[[#This Row],[Bonus %]]), 0)</f>
        <v>269644</v>
      </c>
      <c r="Q674" t="s">
        <v>21</v>
      </c>
      <c r="R674" t="s">
        <v>45</v>
      </c>
      <c r="T674">
        <f ca="1">DATEDIF(Employee_Sample_Data_1[[#This Row],[Hire Date]], IF(Employee_Sample_Data_1[[#This Row],[Exit Date]] = "", TODAY(), Employee_Sample_Data_1[[#This Row],[Exit Date]]), "Y")</f>
        <v>25</v>
      </c>
    </row>
    <row r="675" spans="1:20" x14ac:dyDescent="0.25">
      <c r="A675" t="s">
        <v>1424</v>
      </c>
      <c r="B675" t="s">
        <v>1425</v>
      </c>
      <c r="C675" t="s">
        <v>86</v>
      </c>
      <c r="D675" t="s">
        <v>52</v>
      </c>
      <c r="E675" t="s">
        <v>27</v>
      </c>
      <c r="F675" t="s">
        <v>19</v>
      </c>
      <c r="G675" t="s">
        <v>20</v>
      </c>
      <c r="H675">
        <v>45</v>
      </c>
      <c r="I675" s="1">
        <v>41646</v>
      </c>
      <c r="J675" s="1" t="str">
        <f>TEXT(Employee_Sample_Data_1[[#This Row],[Hire Date]], "dddd")</f>
        <v>Tuesday</v>
      </c>
      <c r="K675" s="1" t="str">
        <f>TEXT(Employee_Sample_Data_1[[#This Row],[Hire Date]], "mmmm")</f>
        <v>January</v>
      </c>
      <c r="L675" s="1" t="str">
        <f>TEXT(Employee_Sample_Data_1[[#This Row],[Hire Date]], "yyyy")</f>
        <v>2014</v>
      </c>
      <c r="M675" s="2">
        <v>250639</v>
      </c>
      <c r="N675" s="3">
        <v>0.34</v>
      </c>
      <c r="O675" s="9">
        <f>PRODUCT(Employee_Sample_Data_1[[#This Row],[Annual Salary]],Employee_Sample_Data_1[[#This Row],[Bonus %]])</f>
        <v>85217.260000000009</v>
      </c>
      <c r="P675" s="2">
        <f>ROUND(Employee_Sample_Data_1[[#This Row],[Annual Salary]]*(1+Employee_Sample_Data_1[[#This Row],[Bonus %]]), 0)</f>
        <v>335856</v>
      </c>
      <c r="Q675" t="s">
        <v>34</v>
      </c>
      <c r="R675" t="s">
        <v>35</v>
      </c>
      <c r="T675">
        <f ca="1">DATEDIF(Employee_Sample_Data_1[[#This Row],[Hire Date]], IF(Employee_Sample_Data_1[[#This Row],[Exit Date]] = "", TODAY(), Employee_Sample_Data_1[[#This Row],[Exit Date]]), "Y")</f>
        <v>12</v>
      </c>
    </row>
    <row r="676" spans="1:20" x14ac:dyDescent="0.25">
      <c r="A676" t="s">
        <v>1426</v>
      </c>
      <c r="B676" t="s">
        <v>1427</v>
      </c>
      <c r="C676" t="s">
        <v>402</v>
      </c>
      <c r="D676" t="s">
        <v>26</v>
      </c>
      <c r="E676" t="s">
        <v>27</v>
      </c>
      <c r="F676" t="s">
        <v>19</v>
      </c>
      <c r="G676" t="s">
        <v>40</v>
      </c>
      <c r="H676">
        <v>34</v>
      </c>
      <c r="I676" s="1">
        <v>44607</v>
      </c>
      <c r="J676" s="1" t="str">
        <f>TEXT(Employee_Sample_Data_1[[#This Row],[Hire Date]], "dddd")</f>
        <v>Tuesday</v>
      </c>
      <c r="K676" s="1" t="str">
        <f>TEXT(Employee_Sample_Data_1[[#This Row],[Hire Date]], "mmmm")</f>
        <v>February</v>
      </c>
      <c r="L676" s="1" t="str">
        <f>TEXT(Employee_Sample_Data_1[[#This Row],[Hire Date]], "yyyy")</f>
        <v>2022</v>
      </c>
      <c r="M676" s="2">
        <v>80655</v>
      </c>
      <c r="N676" s="3">
        <v>0</v>
      </c>
      <c r="O676" s="9">
        <f>PRODUCT(Employee_Sample_Data_1[[#This Row],[Annual Salary]],Employee_Sample_Data_1[[#This Row],[Bonus %]])</f>
        <v>0</v>
      </c>
      <c r="P676" s="2">
        <f>ROUND(Employee_Sample_Data_1[[#This Row],[Annual Salary]]*(1+Employee_Sample_Data_1[[#This Row],[Bonus %]]), 0)</f>
        <v>80655</v>
      </c>
      <c r="Q676" t="s">
        <v>134</v>
      </c>
      <c r="R676" t="s">
        <v>180</v>
      </c>
      <c r="T676">
        <f ca="1">DATEDIF(Employee_Sample_Data_1[[#This Row],[Hire Date]], IF(Employee_Sample_Data_1[[#This Row],[Exit Date]] = "", TODAY(), Employee_Sample_Data_1[[#This Row],[Exit Date]]), "Y")</f>
        <v>4</v>
      </c>
    </row>
    <row r="677" spans="1:20" x14ac:dyDescent="0.25">
      <c r="A677" t="s">
        <v>1428</v>
      </c>
      <c r="B677" t="s">
        <v>1429</v>
      </c>
      <c r="C677" t="s">
        <v>57</v>
      </c>
      <c r="D677" t="s">
        <v>58</v>
      </c>
      <c r="E677" t="s">
        <v>33</v>
      </c>
      <c r="F677" t="s">
        <v>39</v>
      </c>
      <c r="G677" t="s">
        <v>20</v>
      </c>
      <c r="H677">
        <v>33</v>
      </c>
      <c r="I677" s="1">
        <v>44157</v>
      </c>
      <c r="J677" s="1" t="str">
        <f>TEXT(Employee_Sample_Data_1[[#This Row],[Hire Date]], "dddd")</f>
        <v>Sunday</v>
      </c>
      <c r="K677" s="1" t="str">
        <f>TEXT(Employee_Sample_Data_1[[#This Row],[Hire Date]], "mmmm")</f>
        <v>November</v>
      </c>
      <c r="L677" s="1" t="str">
        <f>TEXT(Employee_Sample_Data_1[[#This Row],[Hire Date]], "yyyy")</f>
        <v>2020</v>
      </c>
      <c r="M677" s="2">
        <v>64327</v>
      </c>
      <c r="N677" s="3">
        <v>0</v>
      </c>
      <c r="O677" s="9">
        <f>PRODUCT(Employee_Sample_Data_1[[#This Row],[Annual Salary]],Employee_Sample_Data_1[[#This Row],[Bonus %]])</f>
        <v>0</v>
      </c>
      <c r="P677" s="2">
        <f>ROUND(Employee_Sample_Data_1[[#This Row],[Annual Salary]]*(1+Employee_Sample_Data_1[[#This Row],[Bonus %]]), 0)</f>
        <v>64327</v>
      </c>
      <c r="Q677" t="s">
        <v>34</v>
      </c>
      <c r="R677" t="s">
        <v>54</v>
      </c>
      <c r="T677">
        <f ca="1">DATEDIF(Employee_Sample_Data_1[[#This Row],[Hire Date]], IF(Employee_Sample_Data_1[[#This Row],[Exit Date]] = "", TODAY(), Employee_Sample_Data_1[[#This Row],[Exit Date]]), "Y")</f>
        <v>5</v>
      </c>
    </row>
    <row r="678" spans="1:20" x14ac:dyDescent="0.25">
      <c r="A678" t="s">
        <v>1430</v>
      </c>
      <c r="B678" t="s">
        <v>1431</v>
      </c>
      <c r="C678" t="s">
        <v>57</v>
      </c>
      <c r="D678" t="s">
        <v>52</v>
      </c>
      <c r="E678" t="s">
        <v>33</v>
      </c>
      <c r="F678" t="s">
        <v>39</v>
      </c>
      <c r="G678" t="s">
        <v>63</v>
      </c>
      <c r="H678">
        <v>37</v>
      </c>
      <c r="I678" s="1">
        <v>43412</v>
      </c>
      <c r="J678" s="1" t="str">
        <f>TEXT(Employee_Sample_Data_1[[#This Row],[Hire Date]], "dddd")</f>
        <v>Thursday</v>
      </c>
      <c r="K678" s="1" t="str">
        <f>TEXT(Employee_Sample_Data_1[[#This Row],[Hire Date]], "mmmm")</f>
        <v>November</v>
      </c>
      <c r="L678" s="1" t="str">
        <f>TEXT(Employee_Sample_Data_1[[#This Row],[Hire Date]], "yyyy")</f>
        <v>2018</v>
      </c>
      <c r="M678" s="2">
        <v>72005</v>
      </c>
      <c r="N678" s="3">
        <v>0</v>
      </c>
      <c r="O678" s="9">
        <f>PRODUCT(Employee_Sample_Data_1[[#This Row],[Annual Salary]],Employee_Sample_Data_1[[#This Row],[Bonus %]])</f>
        <v>0</v>
      </c>
      <c r="P678" s="2">
        <f>ROUND(Employee_Sample_Data_1[[#This Row],[Annual Salary]]*(1+Employee_Sample_Data_1[[#This Row],[Bonus %]]), 0)</f>
        <v>72005</v>
      </c>
      <c r="Q678" t="s">
        <v>21</v>
      </c>
      <c r="R678" t="s">
        <v>45</v>
      </c>
      <c r="S678" s="1">
        <v>44404</v>
      </c>
      <c r="T678">
        <f ca="1">DATEDIF(Employee_Sample_Data_1[[#This Row],[Hire Date]], IF(Employee_Sample_Data_1[[#This Row],[Exit Date]] = "", TODAY(), Employee_Sample_Data_1[[#This Row],[Exit Date]]), "Y")</f>
        <v>2</v>
      </c>
    </row>
    <row r="679" spans="1:20" x14ac:dyDescent="0.25">
      <c r="A679" t="s">
        <v>1432</v>
      </c>
      <c r="B679" t="s">
        <v>1433</v>
      </c>
      <c r="C679" t="s">
        <v>410</v>
      </c>
      <c r="D679" t="s">
        <v>17</v>
      </c>
      <c r="E679" t="s">
        <v>53</v>
      </c>
      <c r="F679" t="s">
        <v>39</v>
      </c>
      <c r="G679" t="s">
        <v>20</v>
      </c>
      <c r="H679">
        <v>56</v>
      </c>
      <c r="I679" s="1">
        <v>41024</v>
      </c>
      <c r="J679" s="1" t="str">
        <f>TEXT(Employee_Sample_Data_1[[#This Row],[Hire Date]], "dddd")</f>
        <v>Wednesday</v>
      </c>
      <c r="K679" s="1" t="str">
        <f>TEXT(Employee_Sample_Data_1[[#This Row],[Hire Date]], "mmmm")</f>
        <v>April</v>
      </c>
      <c r="L679" s="1" t="str">
        <f>TEXT(Employee_Sample_Data_1[[#This Row],[Hire Date]], "yyyy")</f>
        <v>2012</v>
      </c>
      <c r="M679" s="2">
        <v>62497</v>
      </c>
      <c r="N679" s="3">
        <v>0</v>
      </c>
      <c r="O679" s="9">
        <f>PRODUCT(Employee_Sample_Data_1[[#This Row],[Annual Salary]],Employee_Sample_Data_1[[#This Row],[Bonus %]])</f>
        <v>0</v>
      </c>
      <c r="P679" s="2">
        <f>ROUND(Employee_Sample_Data_1[[#This Row],[Annual Salary]]*(1+Employee_Sample_Data_1[[#This Row],[Bonus %]]), 0)</f>
        <v>62497</v>
      </c>
      <c r="Q679" t="s">
        <v>21</v>
      </c>
      <c r="R679" t="s">
        <v>41</v>
      </c>
      <c r="T679">
        <f ca="1">DATEDIF(Employee_Sample_Data_1[[#This Row],[Hire Date]], IF(Employee_Sample_Data_1[[#This Row],[Exit Date]] = "", TODAY(), Employee_Sample_Data_1[[#This Row],[Exit Date]]), "Y")</f>
        <v>14</v>
      </c>
    </row>
    <row r="680" spans="1:20" x14ac:dyDescent="0.25">
      <c r="A680" t="s">
        <v>1434</v>
      </c>
      <c r="B680" t="s">
        <v>1435</v>
      </c>
      <c r="C680" t="s">
        <v>402</v>
      </c>
      <c r="D680" t="s">
        <v>26</v>
      </c>
      <c r="E680" t="s">
        <v>33</v>
      </c>
      <c r="F680" t="s">
        <v>19</v>
      </c>
      <c r="G680" t="s">
        <v>63</v>
      </c>
      <c r="H680">
        <v>46</v>
      </c>
      <c r="I680" s="1">
        <v>37676</v>
      </c>
      <c r="J680" s="1" t="str">
        <f>TEXT(Employee_Sample_Data_1[[#This Row],[Hire Date]], "dddd")</f>
        <v>Monday</v>
      </c>
      <c r="K680" s="1" t="str">
        <f>TEXT(Employee_Sample_Data_1[[#This Row],[Hire Date]], "mmmm")</f>
        <v>February</v>
      </c>
      <c r="L680" s="1" t="str">
        <f>TEXT(Employee_Sample_Data_1[[#This Row],[Hire Date]], "yyyy")</f>
        <v>2003</v>
      </c>
      <c r="M680" s="2">
        <v>74912</v>
      </c>
      <c r="N680" s="3">
        <v>0</v>
      </c>
      <c r="O680" s="9">
        <f>PRODUCT(Employee_Sample_Data_1[[#This Row],[Annual Salary]],Employee_Sample_Data_1[[#This Row],[Bonus %]])</f>
        <v>0</v>
      </c>
      <c r="P680" s="2">
        <f>ROUND(Employee_Sample_Data_1[[#This Row],[Annual Salary]]*(1+Employee_Sample_Data_1[[#This Row],[Bonus %]]), 0)</f>
        <v>74912</v>
      </c>
      <c r="Q680" t="s">
        <v>21</v>
      </c>
      <c r="R680" t="s">
        <v>48</v>
      </c>
      <c r="T680">
        <f ca="1">DATEDIF(Employee_Sample_Data_1[[#This Row],[Hire Date]], IF(Employee_Sample_Data_1[[#This Row],[Exit Date]] = "", TODAY(), Employee_Sample_Data_1[[#This Row],[Exit Date]]), "Y")</f>
        <v>23</v>
      </c>
    </row>
    <row r="681" spans="1:20" x14ac:dyDescent="0.25">
      <c r="A681" t="s">
        <v>1436</v>
      </c>
      <c r="B681" t="s">
        <v>1437</v>
      </c>
      <c r="C681" t="s">
        <v>128</v>
      </c>
      <c r="D681" t="s">
        <v>123</v>
      </c>
      <c r="E681" t="s">
        <v>53</v>
      </c>
      <c r="F681" t="s">
        <v>19</v>
      </c>
      <c r="G681" t="s">
        <v>63</v>
      </c>
      <c r="H681">
        <v>45</v>
      </c>
      <c r="I681" s="1">
        <v>36969</v>
      </c>
      <c r="J681" s="1" t="str">
        <f>TEXT(Employee_Sample_Data_1[[#This Row],[Hire Date]], "dddd")</f>
        <v>Monday</v>
      </c>
      <c r="K681" s="1" t="str">
        <f>TEXT(Employee_Sample_Data_1[[#This Row],[Hire Date]], "mmmm")</f>
        <v>March</v>
      </c>
      <c r="L681" s="1" t="str">
        <f>TEXT(Employee_Sample_Data_1[[#This Row],[Hire Date]], "yyyy")</f>
        <v>2001</v>
      </c>
      <c r="M681" s="2">
        <v>50393</v>
      </c>
      <c r="N681" s="3">
        <v>0</v>
      </c>
      <c r="O681" s="9">
        <f>PRODUCT(Employee_Sample_Data_1[[#This Row],[Annual Salary]],Employee_Sample_Data_1[[#This Row],[Bonus %]])</f>
        <v>0</v>
      </c>
      <c r="P681" s="2">
        <f>ROUND(Employee_Sample_Data_1[[#This Row],[Annual Salary]]*(1+Employee_Sample_Data_1[[#This Row],[Bonus %]]), 0)</f>
        <v>50393</v>
      </c>
      <c r="Q681" t="s">
        <v>21</v>
      </c>
      <c r="R681" t="s">
        <v>67</v>
      </c>
      <c r="S681" s="1">
        <v>40711</v>
      </c>
      <c r="T681">
        <f ca="1">DATEDIF(Employee_Sample_Data_1[[#This Row],[Hire Date]], IF(Employee_Sample_Data_1[[#This Row],[Exit Date]] = "", TODAY(), Employee_Sample_Data_1[[#This Row],[Exit Date]]), "Y")</f>
        <v>10</v>
      </c>
    </row>
    <row r="682" spans="1:20" x14ac:dyDescent="0.25">
      <c r="A682" t="s">
        <v>1438</v>
      </c>
      <c r="B682" t="s">
        <v>1439</v>
      </c>
      <c r="C682" t="s">
        <v>170</v>
      </c>
      <c r="D682" t="s">
        <v>32</v>
      </c>
      <c r="E682" t="s">
        <v>18</v>
      </c>
      <c r="F682" t="s">
        <v>19</v>
      </c>
      <c r="G682" t="s">
        <v>40</v>
      </c>
      <c r="H682">
        <v>32</v>
      </c>
      <c r="I682" s="1">
        <v>44330</v>
      </c>
      <c r="J682" s="1" t="str">
        <f>TEXT(Employee_Sample_Data_1[[#This Row],[Hire Date]], "dddd")</f>
        <v>Friday</v>
      </c>
      <c r="K682" s="1" t="str">
        <f>TEXT(Employee_Sample_Data_1[[#This Row],[Hire Date]], "mmmm")</f>
        <v>May</v>
      </c>
      <c r="L682" s="1" t="str">
        <f>TEXT(Employee_Sample_Data_1[[#This Row],[Hire Date]], "yyyy")</f>
        <v>2021</v>
      </c>
      <c r="M682" s="2">
        <v>79670</v>
      </c>
      <c r="N682" s="3">
        <v>0</v>
      </c>
      <c r="O682" s="9">
        <f>PRODUCT(Employee_Sample_Data_1[[#This Row],[Annual Salary]],Employee_Sample_Data_1[[#This Row],[Bonus %]])</f>
        <v>0</v>
      </c>
      <c r="P682" s="2">
        <f>ROUND(Employee_Sample_Data_1[[#This Row],[Annual Salary]]*(1+Employee_Sample_Data_1[[#This Row],[Bonus %]]), 0)</f>
        <v>79670</v>
      </c>
      <c r="Q682" t="s">
        <v>21</v>
      </c>
      <c r="R682" t="s">
        <v>22</v>
      </c>
      <c r="T682">
        <f ca="1">DATEDIF(Employee_Sample_Data_1[[#This Row],[Hire Date]], IF(Employee_Sample_Data_1[[#This Row],[Exit Date]] = "", TODAY(), Employee_Sample_Data_1[[#This Row],[Exit Date]]), "Y")</f>
        <v>5</v>
      </c>
    </row>
    <row r="683" spans="1:20" x14ac:dyDescent="0.25">
      <c r="A683" t="s">
        <v>1440</v>
      </c>
      <c r="B683" t="s">
        <v>1441</v>
      </c>
      <c r="C683" t="s">
        <v>80</v>
      </c>
      <c r="D683" t="s">
        <v>52</v>
      </c>
      <c r="E683" t="s">
        <v>27</v>
      </c>
      <c r="F683" t="s">
        <v>39</v>
      </c>
      <c r="G683" t="s">
        <v>81</v>
      </c>
      <c r="H683">
        <v>51</v>
      </c>
      <c r="I683" s="1">
        <v>36214</v>
      </c>
      <c r="J683" s="1" t="str">
        <f>TEXT(Employee_Sample_Data_1[[#This Row],[Hire Date]], "dddd")</f>
        <v>Tuesday</v>
      </c>
      <c r="K683" s="1" t="str">
        <f>TEXT(Employee_Sample_Data_1[[#This Row],[Hire Date]], "mmmm")</f>
        <v>February</v>
      </c>
      <c r="L683" s="1" t="str">
        <f>TEXT(Employee_Sample_Data_1[[#This Row],[Hire Date]], "yyyy")</f>
        <v>1999</v>
      </c>
      <c r="M683" s="2">
        <v>148942</v>
      </c>
      <c r="N683" s="3">
        <v>0.13</v>
      </c>
      <c r="O683" s="9">
        <f>PRODUCT(Employee_Sample_Data_1[[#This Row],[Annual Salary]],Employee_Sample_Data_1[[#This Row],[Bonus %]])</f>
        <v>19362.46</v>
      </c>
      <c r="P683" s="2">
        <f>ROUND(Employee_Sample_Data_1[[#This Row],[Annual Salary]]*(1+Employee_Sample_Data_1[[#This Row],[Bonus %]]), 0)</f>
        <v>168304</v>
      </c>
      <c r="Q683" t="s">
        <v>21</v>
      </c>
      <c r="R683" t="s">
        <v>22</v>
      </c>
      <c r="S683" s="1">
        <v>39279</v>
      </c>
      <c r="T683">
        <f ca="1">DATEDIF(Employee_Sample_Data_1[[#This Row],[Hire Date]], IF(Employee_Sample_Data_1[[#This Row],[Exit Date]] = "", TODAY(), Employee_Sample_Data_1[[#This Row],[Exit Date]]), "Y")</f>
        <v>8</v>
      </c>
    </row>
    <row r="684" spans="1:20" x14ac:dyDescent="0.25">
      <c r="A684" t="s">
        <v>1442</v>
      </c>
      <c r="B684" t="s">
        <v>1443</v>
      </c>
      <c r="C684" t="s">
        <v>91</v>
      </c>
      <c r="D684" t="s">
        <v>32</v>
      </c>
      <c r="E684" t="s">
        <v>33</v>
      </c>
      <c r="F684" t="s">
        <v>19</v>
      </c>
      <c r="G684" t="s">
        <v>63</v>
      </c>
      <c r="H684">
        <v>29</v>
      </c>
      <c r="I684" s="1">
        <v>43199</v>
      </c>
      <c r="J684" s="1" t="str">
        <f>TEXT(Employee_Sample_Data_1[[#This Row],[Hire Date]], "dddd")</f>
        <v>Monday</v>
      </c>
      <c r="K684" s="1" t="str">
        <f>TEXT(Employee_Sample_Data_1[[#This Row],[Hire Date]], "mmmm")</f>
        <v>April</v>
      </c>
      <c r="L684" s="1" t="str">
        <f>TEXT(Employee_Sample_Data_1[[#This Row],[Hire Date]], "yyyy")</f>
        <v>2018</v>
      </c>
      <c r="M684" s="2">
        <v>98504</v>
      </c>
      <c r="N684" s="3">
        <v>0</v>
      </c>
      <c r="O684" s="9">
        <f>PRODUCT(Employee_Sample_Data_1[[#This Row],[Annual Salary]],Employee_Sample_Data_1[[#This Row],[Bonus %]])</f>
        <v>0</v>
      </c>
      <c r="P684" s="2">
        <f>ROUND(Employee_Sample_Data_1[[#This Row],[Annual Salary]]*(1+Employee_Sample_Data_1[[#This Row],[Bonus %]]), 0)</f>
        <v>98504</v>
      </c>
      <c r="Q684" t="s">
        <v>21</v>
      </c>
      <c r="R684" t="s">
        <v>67</v>
      </c>
      <c r="S684" s="1">
        <v>44754</v>
      </c>
      <c r="T684">
        <f ca="1">DATEDIF(Employee_Sample_Data_1[[#This Row],[Hire Date]], IF(Employee_Sample_Data_1[[#This Row],[Exit Date]] = "", TODAY(), Employee_Sample_Data_1[[#This Row],[Exit Date]]), "Y")</f>
        <v>4</v>
      </c>
    </row>
    <row r="685" spans="1:20" x14ac:dyDescent="0.25">
      <c r="A685" t="s">
        <v>1444</v>
      </c>
      <c r="B685" t="s">
        <v>1445</v>
      </c>
      <c r="C685" t="s">
        <v>91</v>
      </c>
      <c r="D685" t="s">
        <v>32</v>
      </c>
      <c r="E685" t="s">
        <v>18</v>
      </c>
      <c r="F685" t="s">
        <v>19</v>
      </c>
      <c r="G685" t="s">
        <v>63</v>
      </c>
      <c r="H685">
        <v>38</v>
      </c>
      <c r="I685" s="1">
        <v>42358</v>
      </c>
      <c r="J685" s="1" t="str">
        <f>TEXT(Employee_Sample_Data_1[[#This Row],[Hire Date]], "dddd")</f>
        <v>Sunday</v>
      </c>
      <c r="K685" s="1" t="str">
        <f>TEXT(Employee_Sample_Data_1[[#This Row],[Hire Date]], "mmmm")</f>
        <v>December</v>
      </c>
      <c r="L685" s="1" t="str">
        <f>TEXT(Employee_Sample_Data_1[[#This Row],[Hire Date]], "yyyy")</f>
        <v>2015</v>
      </c>
      <c r="M685" s="2">
        <v>70588</v>
      </c>
      <c r="N685" s="3">
        <v>0</v>
      </c>
      <c r="O685" s="9">
        <f>PRODUCT(Employee_Sample_Data_1[[#This Row],[Annual Salary]],Employee_Sample_Data_1[[#This Row],[Bonus %]])</f>
        <v>0</v>
      </c>
      <c r="P685" s="2">
        <f>ROUND(Employee_Sample_Data_1[[#This Row],[Annual Salary]]*(1+Employee_Sample_Data_1[[#This Row],[Bonus %]]), 0)</f>
        <v>70588</v>
      </c>
      <c r="Q685" t="s">
        <v>21</v>
      </c>
      <c r="R685" t="s">
        <v>67</v>
      </c>
      <c r="T685">
        <f ca="1">DATEDIF(Employee_Sample_Data_1[[#This Row],[Hire Date]], IF(Employee_Sample_Data_1[[#This Row],[Exit Date]] = "", TODAY(), Employee_Sample_Data_1[[#This Row],[Exit Date]]), "Y")</f>
        <v>10</v>
      </c>
    </row>
    <row r="686" spans="1:20" x14ac:dyDescent="0.25">
      <c r="A686" t="s">
        <v>1446</v>
      </c>
      <c r="B686" t="s">
        <v>1447</v>
      </c>
      <c r="C686" t="s">
        <v>25</v>
      </c>
      <c r="D686" t="s">
        <v>52</v>
      </c>
      <c r="E686" t="s">
        <v>27</v>
      </c>
      <c r="F686" t="s">
        <v>39</v>
      </c>
      <c r="G686" t="s">
        <v>63</v>
      </c>
      <c r="H686">
        <v>58</v>
      </c>
      <c r="I686" s="1">
        <v>37216</v>
      </c>
      <c r="J686" s="1" t="str">
        <f>TEXT(Employee_Sample_Data_1[[#This Row],[Hire Date]], "dddd")</f>
        <v>Wednesday</v>
      </c>
      <c r="K686" s="1" t="str">
        <f>TEXT(Employee_Sample_Data_1[[#This Row],[Hire Date]], "mmmm")</f>
        <v>November</v>
      </c>
      <c r="L686" s="1" t="str">
        <f>TEXT(Employee_Sample_Data_1[[#This Row],[Hire Date]], "yyyy")</f>
        <v>2001</v>
      </c>
      <c r="M686" s="2">
        <v>58336</v>
      </c>
      <c r="N686" s="3">
        <v>0</v>
      </c>
      <c r="O686" s="9">
        <f>PRODUCT(Employee_Sample_Data_1[[#This Row],[Annual Salary]],Employee_Sample_Data_1[[#This Row],[Bonus %]])</f>
        <v>0</v>
      </c>
      <c r="P686" s="2">
        <f>ROUND(Employee_Sample_Data_1[[#This Row],[Annual Salary]]*(1+Employee_Sample_Data_1[[#This Row],[Bonus %]]), 0)</f>
        <v>58336</v>
      </c>
      <c r="Q686" t="s">
        <v>21</v>
      </c>
      <c r="R686" t="s">
        <v>67</v>
      </c>
      <c r="T686">
        <f ca="1">DATEDIF(Employee_Sample_Data_1[[#This Row],[Hire Date]], IF(Employee_Sample_Data_1[[#This Row],[Exit Date]] = "", TODAY(), Employee_Sample_Data_1[[#This Row],[Exit Date]]), "Y")</f>
        <v>24</v>
      </c>
    </row>
    <row r="687" spans="1:20" x14ac:dyDescent="0.25">
      <c r="A687" t="s">
        <v>1448</v>
      </c>
      <c r="B687" t="s">
        <v>1449</v>
      </c>
      <c r="C687" t="s">
        <v>405</v>
      </c>
      <c r="D687" t="s">
        <v>17</v>
      </c>
      <c r="E687" t="s">
        <v>27</v>
      </c>
      <c r="F687" t="s">
        <v>39</v>
      </c>
      <c r="G687" t="s">
        <v>20</v>
      </c>
      <c r="H687">
        <v>45</v>
      </c>
      <c r="I687" s="1">
        <v>40795</v>
      </c>
      <c r="J687" s="1" t="str">
        <f>TEXT(Employee_Sample_Data_1[[#This Row],[Hire Date]], "dddd")</f>
        <v>Friday</v>
      </c>
      <c r="K687" s="1" t="str">
        <f>TEXT(Employee_Sample_Data_1[[#This Row],[Hire Date]], "mmmm")</f>
        <v>September</v>
      </c>
      <c r="L687" s="1" t="str">
        <f>TEXT(Employee_Sample_Data_1[[#This Row],[Hire Date]], "yyyy")</f>
        <v>2011</v>
      </c>
      <c r="M687" s="2">
        <v>86001</v>
      </c>
      <c r="N687" s="3">
        <v>0</v>
      </c>
      <c r="O687" s="9">
        <f>PRODUCT(Employee_Sample_Data_1[[#This Row],[Annual Salary]],Employee_Sample_Data_1[[#This Row],[Bonus %]])</f>
        <v>0</v>
      </c>
      <c r="P687" s="2">
        <f>ROUND(Employee_Sample_Data_1[[#This Row],[Annual Salary]]*(1+Employee_Sample_Data_1[[#This Row],[Bonus %]]), 0)</f>
        <v>86001</v>
      </c>
      <c r="Q687" t="s">
        <v>21</v>
      </c>
      <c r="R687" t="s">
        <v>45</v>
      </c>
      <c r="T687">
        <f ca="1">DATEDIF(Employee_Sample_Data_1[[#This Row],[Hire Date]], IF(Employee_Sample_Data_1[[#This Row],[Exit Date]] = "", TODAY(), Employee_Sample_Data_1[[#This Row],[Exit Date]]), "Y")</f>
        <v>14</v>
      </c>
    </row>
    <row r="688" spans="1:20" x14ac:dyDescent="0.25">
      <c r="A688" t="s">
        <v>1450</v>
      </c>
      <c r="B688" t="s">
        <v>1451</v>
      </c>
      <c r="C688" t="s">
        <v>51</v>
      </c>
      <c r="D688" t="s">
        <v>26</v>
      </c>
      <c r="E688" t="s">
        <v>53</v>
      </c>
      <c r="F688" t="s">
        <v>19</v>
      </c>
      <c r="G688" t="s">
        <v>20</v>
      </c>
      <c r="H688">
        <v>49</v>
      </c>
      <c r="I688" s="1">
        <v>42260</v>
      </c>
      <c r="J688" s="1" t="str">
        <f>TEXT(Employee_Sample_Data_1[[#This Row],[Hire Date]], "dddd")</f>
        <v>Sunday</v>
      </c>
      <c r="K688" s="1" t="str">
        <f>TEXT(Employee_Sample_Data_1[[#This Row],[Hire Date]], "mmmm")</f>
        <v>September</v>
      </c>
      <c r="L688" s="1" t="str">
        <f>TEXT(Employee_Sample_Data_1[[#This Row],[Hire Date]], "yyyy")</f>
        <v>2015</v>
      </c>
      <c r="M688" s="2">
        <v>91121</v>
      </c>
      <c r="N688" s="3">
        <v>0</v>
      </c>
      <c r="O688" s="9">
        <f>PRODUCT(Employee_Sample_Data_1[[#This Row],[Annual Salary]],Employee_Sample_Data_1[[#This Row],[Bonus %]])</f>
        <v>0</v>
      </c>
      <c r="P688" s="2">
        <f>ROUND(Employee_Sample_Data_1[[#This Row],[Annual Salary]]*(1+Employee_Sample_Data_1[[#This Row],[Bonus %]]), 0)</f>
        <v>91121</v>
      </c>
      <c r="Q688" t="s">
        <v>21</v>
      </c>
      <c r="R688" t="s">
        <v>41</v>
      </c>
      <c r="S688" s="1">
        <v>43822</v>
      </c>
      <c r="T688">
        <f ca="1">DATEDIF(Employee_Sample_Data_1[[#This Row],[Hire Date]], IF(Employee_Sample_Data_1[[#This Row],[Exit Date]] = "", TODAY(), Employee_Sample_Data_1[[#This Row],[Exit Date]]), "Y")</f>
        <v>4</v>
      </c>
    </row>
    <row r="689" spans="1:20" x14ac:dyDescent="0.25">
      <c r="A689" t="s">
        <v>1452</v>
      </c>
      <c r="B689" t="s">
        <v>1453</v>
      </c>
      <c r="C689" t="s">
        <v>44</v>
      </c>
      <c r="D689" t="s">
        <v>123</v>
      </c>
      <c r="E689" t="s">
        <v>27</v>
      </c>
      <c r="F689" t="s">
        <v>39</v>
      </c>
      <c r="G689" t="s">
        <v>20</v>
      </c>
      <c r="H689">
        <v>50</v>
      </c>
      <c r="I689" s="1">
        <v>40785</v>
      </c>
      <c r="J689" s="1" t="str">
        <f>TEXT(Employee_Sample_Data_1[[#This Row],[Hire Date]], "dddd")</f>
        <v>Tuesday</v>
      </c>
      <c r="K689" s="1" t="str">
        <f>TEXT(Employee_Sample_Data_1[[#This Row],[Hire Date]], "mmmm")</f>
        <v>August</v>
      </c>
      <c r="L689" s="1" t="str">
        <f>TEXT(Employee_Sample_Data_1[[#This Row],[Hire Date]], "yyyy")</f>
        <v>2011</v>
      </c>
      <c r="M689" s="2">
        <v>183308</v>
      </c>
      <c r="N689" s="3">
        <v>0.24</v>
      </c>
      <c r="O689" s="9">
        <f>PRODUCT(Employee_Sample_Data_1[[#This Row],[Annual Salary]],Employee_Sample_Data_1[[#This Row],[Bonus %]])</f>
        <v>43993.919999999998</v>
      </c>
      <c r="P689" s="2">
        <f>ROUND(Employee_Sample_Data_1[[#This Row],[Annual Salary]]*(1+Employee_Sample_Data_1[[#This Row],[Bonus %]]), 0)</f>
        <v>227302</v>
      </c>
      <c r="Q689" t="s">
        <v>21</v>
      </c>
      <c r="R689" t="s">
        <v>67</v>
      </c>
      <c r="T689">
        <f ca="1">DATEDIF(Employee_Sample_Data_1[[#This Row],[Hire Date]], IF(Employee_Sample_Data_1[[#This Row],[Exit Date]] = "", TODAY(), Employee_Sample_Data_1[[#This Row],[Exit Date]]), "Y")</f>
        <v>14</v>
      </c>
    </row>
    <row r="690" spans="1:20" x14ac:dyDescent="0.25">
      <c r="A690" t="s">
        <v>1454</v>
      </c>
      <c r="B690" t="s">
        <v>1455</v>
      </c>
      <c r="C690" t="s">
        <v>377</v>
      </c>
      <c r="D690" t="s">
        <v>32</v>
      </c>
      <c r="E690" t="s">
        <v>18</v>
      </c>
      <c r="F690" t="s">
        <v>19</v>
      </c>
      <c r="G690" t="s">
        <v>63</v>
      </c>
      <c r="H690">
        <v>32</v>
      </c>
      <c r="I690" s="1">
        <v>44260</v>
      </c>
      <c r="J690" s="1" t="str">
        <f>TEXT(Employee_Sample_Data_1[[#This Row],[Hire Date]], "dddd")</f>
        <v>Friday</v>
      </c>
      <c r="K690" s="1" t="str">
        <f>TEXT(Employee_Sample_Data_1[[#This Row],[Hire Date]], "mmmm")</f>
        <v>March</v>
      </c>
      <c r="L690" s="1" t="str">
        <f>TEXT(Employee_Sample_Data_1[[#This Row],[Hire Date]], "yyyy")</f>
        <v>2021</v>
      </c>
      <c r="M690" s="2">
        <v>71674</v>
      </c>
      <c r="N690" s="3">
        <v>0</v>
      </c>
      <c r="O690" s="9">
        <f>PRODUCT(Employee_Sample_Data_1[[#This Row],[Annual Salary]],Employee_Sample_Data_1[[#This Row],[Bonus %]])</f>
        <v>0</v>
      </c>
      <c r="P690" s="2">
        <f>ROUND(Employee_Sample_Data_1[[#This Row],[Annual Salary]]*(1+Employee_Sample_Data_1[[#This Row],[Bonus %]]), 0)</f>
        <v>71674</v>
      </c>
      <c r="Q690" t="s">
        <v>21</v>
      </c>
      <c r="R690" t="s">
        <v>28</v>
      </c>
      <c r="S690" s="1">
        <v>44364</v>
      </c>
      <c r="T690">
        <f ca="1">DATEDIF(Employee_Sample_Data_1[[#This Row],[Hire Date]], IF(Employee_Sample_Data_1[[#This Row],[Exit Date]] = "", TODAY(), Employee_Sample_Data_1[[#This Row],[Exit Date]]), "Y")</f>
        <v>0</v>
      </c>
    </row>
    <row r="691" spans="1:20" x14ac:dyDescent="0.25">
      <c r="A691" t="s">
        <v>1456</v>
      </c>
      <c r="B691" t="s">
        <v>1457</v>
      </c>
      <c r="C691" t="s">
        <v>195</v>
      </c>
      <c r="D691" t="s">
        <v>17</v>
      </c>
      <c r="E691" t="s">
        <v>18</v>
      </c>
      <c r="F691" t="s">
        <v>19</v>
      </c>
      <c r="G691" t="s">
        <v>20</v>
      </c>
      <c r="H691">
        <v>29</v>
      </c>
      <c r="I691" s="1">
        <v>42738</v>
      </c>
      <c r="J691" s="1" t="str">
        <f>TEXT(Employee_Sample_Data_1[[#This Row],[Hire Date]], "dddd")</f>
        <v>Tuesday</v>
      </c>
      <c r="K691" s="1" t="str">
        <f>TEXT(Employee_Sample_Data_1[[#This Row],[Hire Date]], "mmmm")</f>
        <v>January</v>
      </c>
      <c r="L691" s="1" t="str">
        <f>TEXT(Employee_Sample_Data_1[[#This Row],[Hire Date]], "yyyy")</f>
        <v>2017</v>
      </c>
      <c r="M691" s="2">
        <v>118639</v>
      </c>
      <c r="N691" s="3">
        <v>0</v>
      </c>
      <c r="O691" s="9">
        <f>PRODUCT(Employee_Sample_Data_1[[#This Row],[Annual Salary]],Employee_Sample_Data_1[[#This Row],[Bonus %]])</f>
        <v>0</v>
      </c>
      <c r="P691" s="2">
        <f>ROUND(Employee_Sample_Data_1[[#This Row],[Annual Salary]]*(1+Employee_Sample_Data_1[[#This Row],[Bonus %]]), 0)</f>
        <v>118639</v>
      </c>
      <c r="Q691" t="s">
        <v>21</v>
      </c>
      <c r="R691" t="s">
        <v>48</v>
      </c>
      <c r="T691">
        <f ca="1">DATEDIF(Employee_Sample_Data_1[[#This Row],[Hire Date]], IF(Employee_Sample_Data_1[[#This Row],[Exit Date]] = "", TODAY(), Employee_Sample_Data_1[[#This Row],[Exit Date]]), "Y")</f>
        <v>9</v>
      </c>
    </row>
    <row r="692" spans="1:20" x14ac:dyDescent="0.25">
      <c r="A692" t="s">
        <v>1458</v>
      </c>
      <c r="B692" t="s">
        <v>1459</v>
      </c>
      <c r="C692" t="s">
        <v>170</v>
      </c>
      <c r="D692" t="s">
        <v>32</v>
      </c>
      <c r="E692" t="s">
        <v>27</v>
      </c>
      <c r="F692" t="s">
        <v>19</v>
      </c>
      <c r="G692" t="s">
        <v>20</v>
      </c>
      <c r="H692">
        <v>34</v>
      </c>
      <c r="I692" s="1">
        <v>43414</v>
      </c>
      <c r="J692" s="1" t="str">
        <f>TEXT(Employee_Sample_Data_1[[#This Row],[Hire Date]], "dddd")</f>
        <v>Saturday</v>
      </c>
      <c r="K692" s="1" t="str">
        <f>TEXT(Employee_Sample_Data_1[[#This Row],[Hire Date]], "mmmm")</f>
        <v>November</v>
      </c>
      <c r="L692" s="1" t="str">
        <f>TEXT(Employee_Sample_Data_1[[#This Row],[Hire Date]], "yyyy")</f>
        <v>2018</v>
      </c>
      <c r="M692" s="2">
        <v>71808</v>
      </c>
      <c r="N692" s="3">
        <v>0</v>
      </c>
      <c r="O692" s="9">
        <f>PRODUCT(Employee_Sample_Data_1[[#This Row],[Annual Salary]],Employee_Sample_Data_1[[#This Row],[Bonus %]])</f>
        <v>0</v>
      </c>
      <c r="P692" s="2">
        <f>ROUND(Employee_Sample_Data_1[[#This Row],[Annual Salary]]*(1+Employee_Sample_Data_1[[#This Row],[Bonus %]]), 0)</f>
        <v>71808</v>
      </c>
      <c r="Q692" t="s">
        <v>34</v>
      </c>
      <c r="R692" t="s">
        <v>59</v>
      </c>
      <c r="T692">
        <f ca="1">DATEDIF(Employee_Sample_Data_1[[#This Row],[Hire Date]], IF(Employee_Sample_Data_1[[#This Row],[Exit Date]] = "", TODAY(), Employee_Sample_Data_1[[#This Row],[Exit Date]]), "Y")</f>
        <v>7</v>
      </c>
    </row>
    <row r="693" spans="1:20" x14ac:dyDescent="0.25">
      <c r="A693" t="s">
        <v>1460</v>
      </c>
      <c r="B693" t="s">
        <v>1461</v>
      </c>
      <c r="C693" t="s">
        <v>80</v>
      </c>
      <c r="D693" t="s">
        <v>123</v>
      </c>
      <c r="E693" t="s">
        <v>18</v>
      </c>
      <c r="F693" t="s">
        <v>19</v>
      </c>
      <c r="G693" t="s">
        <v>20</v>
      </c>
      <c r="H693">
        <v>50</v>
      </c>
      <c r="I693" s="1">
        <v>43611</v>
      </c>
      <c r="J693" s="1" t="str">
        <f>TEXT(Employee_Sample_Data_1[[#This Row],[Hire Date]], "dddd")</f>
        <v>Sunday</v>
      </c>
      <c r="K693" s="1" t="str">
        <f>TEXT(Employee_Sample_Data_1[[#This Row],[Hire Date]], "mmmm")</f>
        <v>May</v>
      </c>
      <c r="L693" s="1" t="str">
        <f>TEXT(Employee_Sample_Data_1[[#This Row],[Hire Date]], "yyyy")</f>
        <v>2019</v>
      </c>
      <c r="M693" s="2">
        <v>156374</v>
      </c>
      <c r="N693" s="3">
        <v>0.15</v>
      </c>
      <c r="O693" s="9">
        <f>PRODUCT(Employee_Sample_Data_1[[#This Row],[Annual Salary]],Employee_Sample_Data_1[[#This Row],[Bonus %]])</f>
        <v>23456.1</v>
      </c>
      <c r="P693" s="2">
        <f>ROUND(Employee_Sample_Data_1[[#This Row],[Annual Salary]]*(1+Employee_Sample_Data_1[[#This Row],[Bonus %]]), 0)</f>
        <v>179830</v>
      </c>
      <c r="Q693" t="s">
        <v>34</v>
      </c>
      <c r="R693" t="s">
        <v>108</v>
      </c>
      <c r="T693">
        <f ca="1">DATEDIF(Employee_Sample_Data_1[[#This Row],[Hire Date]], IF(Employee_Sample_Data_1[[#This Row],[Exit Date]] = "", TODAY(), Employee_Sample_Data_1[[#This Row],[Exit Date]]), "Y")</f>
        <v>7</v>
      </c>
    </row>
    <row r="694" spans="1:20" x14ac:dyDescent="0.25">
      <c r="A694" t="s">
        <v>1462</v>
      </c>
      <c r="B694" t="s">
        <v>1463</v>
      </c>
      <c r="C694" t="s">
        <v>70</v>
      </c>
      <c r="D694" t="s">
        <v>32</v>
      </c>
      <c r="E694" t="s">
        <v>18</v>
      </c>
      <c r="F694" t="s">
        <v>39</v>
      </c>
      <c r="G694" t="s">
        <v>20</v>
      </c>
      <c r="H694">
        <v>27</v>
      </c>
      <c r="I694" s="1">
        <v>44265</v>
      </c>
      <c r="J694" s="1" t="str">
        <f>TEXT(Employee_Sample_Data_1[[#This Row],[Hire Date]], "dddd")</f>
        <v>Wednesday</v>
      </c>
      <c r="K694" s="1" t="str">
        <f>TEXT(Employee_Sample_Data_1[[#This Row],[Hire Date]], "mmmm")</f>
        <v>March</v>
      </c>
      <c r="L694" s="1" t="str">
        <f>TEXT(Employee_Sample_Data_1[[#This Row],[Hire Date]], "yyyy")</f>
        <v>2021</v>
      </c>
      <c r="M694" s="2">
        <v>51133</v>
      </c>
      <c r="N694" s="3">
        <v>0</v>
      </c>
      <c r="O694" s="9">
        <f>PRODUCT(Employee_Sample_Data_1[[#This Row],[Annual Salary]],Employee_Sample_Data_1[[#This Row],[Bonus %]])</f>
        <v>0</v>
      </c>
      <c r="P694" s="2">
        <f>ROUND(Employee_Sample_Data_1[[#This Row],[Annual Salary]]*(1+Employee_Sample_Data_1[[#This Row],[Bonus %]]), 0)</f>
        <v>51133</v>
      </c>
      <c r="Q694" t="s">
        <v>21</v>
      </c>
      <c r="R694" t="s">
        <v>28</v>
      </c>
      <c r="T694">
        <f ca="1">DATEDIF(Employee_Sample_Data_1[[#This Row],[Hire Date]], IF(Employee_Sample_Data_1[[#This Row],[Exit Date]] = "", TODAY(), Employee_Sample_Data_1[[#This Row],[Exit Date]]), "Y")</f>
        <v>5</v>
      </c>
    </row>
    <row r="695" spans="1:20" x14ac:dyDescent="0.25">
      <c r="A695" t="s">
        <v>1464</v>
      </c>
      <c r="B695" t="s">
        <v>1465</v>
      </c>
      <c r="C695" t="s">
        <v>410</v>
      </c>
      <c r="D695" t="s">
        <v>17</v>
      </c>
      <c r="E695" t="s">
        <v>53</v>
      </c>
      <c r="F695" t="s">
        <v>19</v>
      </c>
      <c r="G695" t="s">
        <v>40</v>
      </c>
      <c r="H695">
        <v>60</v>
      </c>
      <c r="I695" s="1">
        <v>39624</v>
      </c>
      <c r="J695" s="1" t="str">
        <f>TEXT(Employee_Sample_Data_1[[#This Row],[Hire Date]], "dddd")</f>
        <v>Wednesday</v>
      </c>
      <c r="K695" s="1" t="str">
        <f>TEXT(Employee_Sample_Data_1[[#This Row],[Hire Date]], "mmmm")</f>
        <v>June</v>
      </c>
      <c r="L695" s="1" t="str">
        <f>TEXT(Employee_Sample_Data_1[[#This Row],[Hire Date]], "yyyy")</f>
        <v>2008</v>
      </c>
      <c r="M695" s="2">
        <v>86761</v>
      </c>
      <c r="N695" s="3">
        <v>0</v>
      </c>
      <c r="O695" s="9">
        <f>PRODUCT(Employee_Sample_Data_1[[#This Row],[Annual Salary]],Employee_Sample_Data_1[[#This Row],[Bonus %]])</f>
        <v>0</v>
      </c>
      <c r="P695" s="2">
        <f>ROUND(Employee_Sample_Data_1[[#This Row],[Annual Salary]]*(1+Employee_Sample_Data_1[[#This Row],[Bonus %]]), 0)</f>
        <v>86761</v>
      </c>
      <c r="Q695" t="s">
        <v>134</v>
      </c>
      <c r="R695" t="s">
        <v>135</v>
      </c>
      <c r="T695">
        <f ca="1">DATEDIF(Employee_Sample_Data_1[[#This Row],[Hire Date]], IF(Employee_Sample_Data_1[[#This Row],[Exit Date]] = "", TODAY(), Employee_Sample_Data_1[[#This Row],[Exit Date]]), "Y")</f>
        <v>17</v>
      </c>
    </row>
    <row r="696" spans="1:20" x14ac:dyDescent="0.25">
      <c r="A696" t="s">
        <v>1466</v>
      </c>
      <c r="B696" t="s">
        <v>1467</v>
      </c>
      <c r="C696" t="s">
        <v>66</v>
      </c>
      <c r="D696" t="s">
        <v>32</v>
      </c>
      <c r="E696" t="s">
        <v>18</v>
      </c>
      <c r="F696" t="s">
        <v>39</v>
      </c>
      <c r="G696" t="s">
        <v>20</v>
      </c>
      <c r="H696">
        <v>65</v>
      </c>
      <c r="I696" s="1">
        <v>34520</v>
      </c>
      <c r="J696" s="1" t="str">
        <f>TEXT(Employee_Sample_Data_1[[#This Row],[Hire Date]], "dddd")</f>
        <v>Tuesday</v>
      </c>
      <c r="K696" s="1" t="str">
        <f>TEXT(Employee_Sample_Data_1[[#This Row],[Hire Date]], "mmmm")</f>
        <v>July</v>
      </c>
      <c r="L696" s="1" t="str">
        <f>TEXT(Employee_Sample_Data_1[[#This Row],[Hire Date]], "yyyy")</f>
        <v>1994</v>
      </c>
      <c r="M696" s="2">
        <v>125213</v>
      </c>
      <c r="N696" s="3">
        <v>7.0000000000000007E-2</v>
      </c>
      <c r="O696" s="9">
        <f>PRODUCT(Employee_Sample_Data_1[[#This Row],[Annual Salary]],Employee_Sample_Data_1[[#This Row],[Bonus %]])</f>
        <v>8764.9100000000017</v>
      </c>
      <c r="P696" s="2">
        <f>ROUND(Employee_Sample_Data_1[[#This Row],[Annual Salary]]*(1+Employee_Sample_Data_1[[#This Row],[Bonus %]]), 0)</f>
        <v>133978</v>
      </c>
      <c r="Q696" t="s">
        <v>21</v>
      </c>
      <c r="R696" t="s">
        <v>41</v>
      </c>
      <c r="T696">
        <f ca="1">DATEDIF(Employee_Sample_Data_1[[#This Row],[Hire Date]], IF(Employee_Sample_Data_1[[#This Row],[Exit Date]] = "", TODAY(), Employee_Sample_Data_1[[#This Row],[Exit Date]]), "Y")</f>
        <v>31</v>
      </c>
    </row>
    <row r="697" spans="1:20" x14ac:dyDescent="0.25">
      <c r="A697" t="s">
        <v>1468</v>
      </c>
      <c r="B697" t="s">
        <v>1469</v>
      </c>
      <c r="C697" t="s">
        <v>66</v>
      </c>
      <c r="D697" t="s">
        <v>26</v>
      </c>
      <c r="E697" t="s">
        <v>18</v>
      </c>
      <c r="F697" t="s">
        <v>19</v>
      </c>
      <c r="G697" t="s">
        <v>20</v>
      </c>
      <c r="H697">
        <v>43</v>
      </c>
      <c r="I697" s="1">
        <v>39717</v>
      </c>
      <c r="J697" s="1" t="str">
        <f>TEXT(Employee_Sample_Data_1[[#This Row],[Hire Date]], "dddd")</f>
        <v>Friday</v>
      </c>
      <c r="K697" s="1" t="str">
        <f>TEXT(Employee_Sample_Data_1[[#This Row],[Hire Date]], "mmmm")</f>
        <v>September</v>
      </c>
      <c r="L697" s="1" t="str">
        <f>TEXT(Employee_Sample_Data_1[[#This Row],[Hire Date]], "yyyy")</f>
        <v>2008</v>
      </c>
      <c r="M697" s="2">
        <v>120305</v>
      </c>
      <c r="N697" s="3">
        <v>7.0000000000000007E-2</v>
      </c>
      <c r="O697" s="9">
        <f>PRODUCT(Employee_Sample_Data_1[[#This Row],[Annual Salary]],Employee_Sample_Data_1[[#This Row],[Bonus %]])</f>
        <v>8421.35</v>
      </c>
      <c r="P697" s="2">
        <f>ROUND(Employee_Sample_Data_1[[#This Row],[Annual Salary]]*(1+Employee_Sample_Data_1[[#This Row],[Bonus %]]), 0)</f>
        <v>128726</v>
      </c>
      <c r="Q697" t="s">
        <v>34</v>
      </c>
      <c r="R697" t="s">
        <v>35</v>
      </c>
      <c r="T697">
        <f ca="1">DATEDIF(Employee_Sample_Data_1[[#This Row],[Hire Date]], IF(Employee_Sample_Data_1[[#This Row],[Exit Date]] = "", TODAY(), Employee_Sample_Data_1[[#This Row],[Exit Date]]), "Y")</f>
        <v>17</v>
      </c>
    </row>
    <row r="698" spans="1:20" x14ac:dyDescent="0.25">
      <c r="A698" t="s">
        <v>1470</v>
      </c>
      <c r="B698" t="s">
        <v>1471</v>
      </c>
      <c r="C698" t="s">
        <v>80</v>
      </c>
      <c r="D698" t="s">
        <v>77</v>
      </c>
      <c r="E698" t="s">
        <v>33</v>
      </c>
      <c r="F698" t="s">
        <v>39</v>
      </c>
      <c r="G698" t="s">
        <v>63</v>
      </c>
      <c r="H698">
        <v>45</v>
      </c>
      <c r="I698" s="1">
        <v>41534</v>
      </c>
      <c r="J698" s="1" t="str">
        <f>TEXT(Employee_Sample_Data_1[[#This Row],[Hire Date]], "dddd")</f>
        <v>Tuesday</v>
      </c>
      <c r="K698" s="1" t="str">
        <f>TEXT(Employee_Sample_Data_1[[#This Row],[Hire Date]], "mmmm")</f>
        <v>September</v>
      </c>
      <c r="L698" s="1" t="str">
        <f>TEXT(Employee_Sample_Data_1[[#This Row],[Hire Date]], "yyyy")</f>
        <v>2013</v>
      </c>
      <c r="M698" s="2">
        <v>138355</v>
      </c>
      <c r="N698" s="3">
        <v>0.14000000000000001</v>
      </c>
      <c r="O698" s="9">
        <f>PRODUCT(Employee_Sample_Data_1[[#This Row],[Annual Salary]],Employee_Sample_Data_1[[#This Row],[Bonus %]])</f>
        <v>19369.7</v>
      </c>
      <c r="P698" s="2">
        <f>ROUND(Employee_Sample_Data_1[[#This Row],[Annual Salary]]*(1+Employee_Sample_Data_1[[#This Row],[Bonus %]]), 0)</f>
        <v>157725</v>
      </c>
      <c r="Q698" t="s">
        <v>21</v>
      </c>
      <c r="R698" t="s">
        <v>22</v>
      </c>
      <c r="T698">
        <f ca="1">DATEDIF(Employee_Sample_Data_1[[#This Row],[Hire Date]], IF(Employee_Sample_Data_1[[#This Row],[Exit Date]] = "", TODAY(), Employee_Sample_Data_1[[#This Row],[Exit Date]]), "Y")</f>
        <v>12</v>
      </c>
    </row>
    <row r="699" spans="1:20" x14ac:dyDescent="0.25">
      <c r="A699" t="s">
        <v>1472</v>
      </c>
      <c r="B699" t="s">
        <v>1473</v>
      </c>
      <c r="C699" t="s">
        <v>352</v>
      </c>
      <c r="D699" t="s">
        <v>32</v>
      </c>
      <c r="E699" t="s">
        <v>27</v>
      </c>
      <c r="F699" t="s">
        <v>19</v>
      </c>
      <c r="G699" t="s">
        <v>20</v>
      </c>
      <c r="H699">
        <v>28</v>
      </c>
      <c r="I699" s="1">
        <v>44381</v>
      </c>
      <c r="J699" s="1" t="str">
        <f>TEXT(Employee_Sample_Data_1[[#This Row],[Hire Date]], "dddd")</f>
        <v>Sunday</v>
      </c>
      <c r="K699" s="1" t="str">
        <f>TEXT(Employee_Sample_Data_1[[#This Row],[Hire Date]], "mmmm")</f>
        <v>July</v>
      </c>
      <c r="L699" s="1" t="str">
        <f>TEXT(Employee_Sample_Data_1[[#This Row],[Hire Date]], "yyyy")</f>
        <v>2021</v>
      </c>
      <c r="M699" s="2">
        <v>70996</v>
      </c>
      <c r="N699" s="3">
        <v>0</v>
      </c>
      <c r="O699" s="9">
        <f>PRODUCT(Employee_Sample_Data_1[[#This Row],[Annual Salary]],Employee_Sample_Data_1[[#This Row],[Bonus %]])</f>
        <v>0</v>
      </c>
      <c r="P699" s="2">
        <f>ROUND(Employee_Sample_Data_1[[#This Row],[Annual Salary]]*(1+Employee_Sample_Data_1[[#This Row],[Bonus %]]), 0)</f>
        <v>70996</v>
      </c>
      <c r="Q699" t="s">
        <v>21</v>
      </c>
      <c r="R699" t="s">
        <v>45</v>
      </c>
      <c r="T699">
        <f ca="1">DATEDIF(Employee_Sample_Data_1[[#This Row],[Hire Date]], IF(Employee_Sample_Data_1[[#This Row],[Exit Date]] = "", TODAY(), Employee_Sample_Data_1[[#This Row],[Exit Date]]), "Y")</f>
        <v>4</v>
      </c>
    </row>
    <row r="700" spans="1:20" x14ac:dyDescent="0.25">
      <c r="A700" t="s">
        <v>1474</v>
      </c>
      <c r="B700" t="s">
        <v>1475</v>
      </c>
      <c r="C700" t="s">
        <v>177</v>
      </c>
      <c r="D700" t="s">
        <v>32</v>
      </c>
      <c r="E700" t="s">
        <v>18</v>
      </c>
      <c r="F700" t="s">
        <v>19</v>
      </c>
      <c r="G700" t="s">
        <v>63</v>
      </c>
      <c r="H700">
        <v>34</v>
      </c>
      <c r="I700" s="1">
        <v>42002</v>
      </c>
      <c r="J700" s="1" t="str">
        <f>TEXT(Employee_Sample_Data_1[[#This Row],[Hire Date]], "dddd")</f>
        <v>Monday</v>
      </c>
      <c r="K700" s="1" t="str">
        <f>TEXT(Employee_Sample_Data_1[[#This Row],[Hire Date]], "mmmm")</f>
        <v>December</v>
      </c>
      <c r="L700" s="1" t="str">
        <f>TEXT(Employee_Sample_Data_1[[#This Row],[Hire Date]], "yyyy")</f>
        <v>2014</v>
      </c>
      <c r="M700" s="2">
        <v>77024</v>
      </c>
      <c r="N700" s="3">
        <v>0.09</v>
      </c>
      <c r="O700" s="9">
        <f>PRODUCT(Employee_Sample_Data_1[[#This Row],[Annual Salary]],Employee_Sample_Data_1[[#This Row],[Bonus %]])</f>
        <v>6932.16</v>
      </c>
      <c r="P700" s="2">
        <f>ROUND(Employee_Sample_Data_1[[#This Row],[Annual Salary]]*(1+Employee_Sample_Data_1[[#This Row],[Bonus %]]), 0)</f>
        <v>83956</v>
      </c>
      <c r="Q700" t="s">
        <v>21</v>
      </c>
      <c r="R700" t="s">
        <v>48</v>
      </c>
      <c r="S700" s="1">
        <v>44492</v>
      </c>
      <c r="T700">
        <f ca="1">DATEDIF(Employee_Sample_Data_1[[#This Row],[Hire Date]], IF(Employee_Sample_Data_1[[#This Row],[Exit Date]] = "", TODAY(), Employee_Sample_Data_1[[#This Row],[Exit Date]]), "Y")</f>
        <v>6</v>
      </c>
    </row>
    <row r="701" spans="1:20" x14ac:dyDescent="0.25">
      <c r="A701" t="s">
        <v>1476</v>
      </c>
      <c r="B701" t="s">
        <v>1477</v>
      </c>
      <c r="C701" t="s">
        <v>156</v>
      </c>
      <c r="D701" t="s">
        <v>32</v>
      </c>
      <c r="E701" t="s">
        <v>53</v>
      </c>
      <c r="F701" t="s">
        <v>19</v>
      </c>
      <c r="G701" t="s">
        <v>81</v>
      </c>
      <c r="H701">
        <v>31</v>
      </c>
      <c r="I701" s="1">
        <v>42843</v>
      </c>
      <c r="J701" s="1" t="str">
        <f>TEXT(Employee_Sample_Data_1[[#This Row],[Hire Date]], "dddd")</f>
        <v>Tuesday</v>
      </c>
      <c r="K701" s="1" t="str">
        <f>TEXT(Employee_Sample_Data_1[[#This Row],[Hire Date]], "mmmm")</f>
        <v>April</v>
      </c>
      <c r="L701" s="1" t="str">
        <f>TEXT(Employee_Sample_Data_1[[#This Row],[Hire Date]], "yyyy")</f>
        <v>2017</v>
      </c>
      <c r="M701" s="2">
        <v>50022</v>
      </c>
      <c r="N701" s="3">
        <v>0</v>
      </c>
      <c r="O701" s="9">
        <f>PRODUCT(Employee_Sample_Data_1[[#This Row],[Annual Salary]],Employee_Sample_Data_1[[#This Row],[Bonus %]])</f>
        <v>0</v>
      </c>
      <c r="P701" s="2">
        <f>ROUND(Employee_Sample_Data_1[[#This Row],[Annual Salary]]*(1+Employee_Sample_Data_1[[#This Row],[Bonus %]]), 0)</f>
        <v>50022</v>
      </c>
      <c r="Q701" t="s">
        <v>21</v>
      </c>
      <c r="R701" t="s">
        <v>67</v>
      </c>
      <c r="T701">
        <f ca="1">DATEDIF(Employee_Sample_Data_1[[#This Row],[Hire Date]], IF(Employee_Sample_Data_1[[#This Row],[Exit Date]] = "", TODAY(), Employee_Sample_Data_1[[#This Row],[Exit Date]]), "Y")</f>
        <v>9</v>
      </c>
    </row>
    <row r="702" spans="1:20" x14ac:dyDescent="0.25">
      <c r="A702" t="s">
        <v>1478</v>
      </c>
      <c r="B702" t="s">
        <v>1479</v>
      </c>
      <c r="C702" t="s">
        <v>86</v>
      </c>
      <c r="D702" t="s">
        <v>26</v>
      </c>
      <c r="E702" t="s">
        <v>53</v>
      </c>
      <c r="F702" t="s">
        <v>19</v>
      </c>
      <c r="G702" t="s">
        <v>40</v>
      </c>
      <c r="H702">
        <v>29</v>
      </c>
      <c r="I702" s="1">
        <v>42741</v>
      </c>
      <c r="J702" s="1" t="str">
        <f>TEXT(Employee_Sample_Data_1[[#This Row],[Hire Date]], "dddd")</f>
        <v>Friday</v>
      </c>
      <c r="K702" s="1" t="str">
        <f>TEXT(Employee_Sample_Data_1[[#This Row],[Hire Date]], "mmmm")</f>
        <v>January</v>
      </c>
      <c r="L702" s="1" t="str">
        <f>TEXT(Employee_Sample_Data_1[[#This Row],[Hire Date]], "yyyy")</f>
        <v>2017</v>
      </c>
      <c r="M702" s="2">
        <v>204534</v>
      </c>
      <c r="N702" s="3">
        <v>0.38</v>
      </c>
      <c r="O702" s="9">
        <f>PRODUCT(Employee_Sample_Data_1[[#This Row],[Annual Salary]],Employee_Sample_Data_1[[#This Row],[Bonus %]])</f>
        <v>77722.92</v>
      </c>
      <c r="P702" s="2">
        <f>ROUND(Employee_Sample_Data_1[[#This Row],[Annual Salary]]*(1+Employee_Sample_Data_1[[#This Row],[Bonus %]]), 0)</f>
        <v>282257</v>
      </c>
      <c r="Q702" t="s">
        <v>21</v>
      </c>
      <c r="R702" t="s">
        <v>28</v>
      </c>
      <c r="T702">
        <f ca="1">DATEDIF(Employee_Sample_Data_1[[#This Row],[Hire Date]], IF(Employee_Sample_Data_1[[#This Row],[Exit Date]] = "", TODAY(), Employee_Sample_Data_1[[#This Row],[Exit Date]]), "Y")</f>
        <v>9</v>
      </c>
    </row>
    <row r="703" spans="1:20" x14ac:dyDescent="0.25">
      <c r="A703" t="s">
        <v>1480</v>
      </c>
      <c r="B703" t="s">
        <v>1481</v>
      </c>
      <c r="C703" t="s">
        <v>402</v>
      </c>
      <c r="D703" t="s">
        <v>26</v>
      </c>
      <c r="E703" t="s">
        <v>33</v>
      </c>
      <c r="F703" t="s">
        <v>19</v>
      </c>
      <c r="G703" t="s">
        <v>40</v>
      </c>
      <c r="H703">
        <v>49</v>
      </c>
      <c r="I703" s="1">
        <v>38708</v>
      </c>
      <c r="J703" s="1" t="str">
        <f>TEXT(Employee_Sample_Data_1[[#This Row],[Hire Date]], "dddd")</f>
        <v>Thursday</v>
      </c>
      <c r="K703" s="1" t="str">
        <f>TEXT(Employee_Sample_Data_1[[#This Row],[Hire Date]], "mmmm")</f>
        <v>December</v>
      </c>
      <c r="L703" s="1" t="str">
        <f>TEXT(Employee_Sample_Data_1[[#This Row],[Hire Date]], "yyyy")</f>
        <v>2005</v>
      </c>
      <c r="M703" s="2">
        <v>75814</v>
      </c>
      <c r="N703" s="3">
        <v>0</v>
      </c>
      <c r="O703" s="9">
        <f>PRODUCT(Employee_Sample_Data_1[[#This Row],[Annual Salary]],Employee_Sample_Data_1[[#This Row],[Bonus %]])</f>
        <v>0</v>
      </c>
      <c r="P703" s="2">
        <f>ROUND(Employee_Sample_Data_1[[#This Row],[Annual Salary]]*(1+Employee_Sample_Data_1[[#This Row],[Bonus %]]), 0)</f>
        <v>75814</v>
      </c>
      <c r="Q703" t="s">
        <v>21</v>
      </c>
      <c r="R703" t="s">
        <v>28</v>
      </c>
      <c r="T703">
        <f ca="1">DATEDIF(Employee_Sample_Data_1[[#This Row],[Hire Date]], IF(Employee_Sample_Data_1[[#This Row],[Exit Date]] = "", TODAY(), Employee_Sample_Data_1[[#This Row],[Exit Date]]), "Y")</f>
        <v>20</v>
      </c>
    </row>
    <row r="704" spans="1:20" x14ac:dyDescent="0.25">
      <c r="A704" t="s">
        <v>1482</v>
      </c>
      <c r="B704" t="s">
        <v>1483</v>
      </c>
      <c r="C704" t="s">
        <v>44</v>
      </c>
      <c r="D704" t="s">
        <v>26</v>
      </c>
      <c r="E704" t="s">
        <v>18</v>
      </c>
      <c r="F704" t="s">
        <v>19</v>
      </c>
      <c r="G704" t="s">
        <v>20</v>
      </c>
      <c r="H704">
        <v>47</v>
      </c>
      <c r="I704" s="1">
        <v>43661</v>
      </c>
      <c r="J704" s="1" t="str">
        <f>TEXT(Employee_Sample_Data_1[[#This Row],[Hire Date]], "dddd")</f>
        <v>Monday</v>
      </c>
      <c r="K704" s="1" t="str">
        <f>TEXT(Employee_Sample_Data_1[[#This Row],[Hire Date]], "mmmm")</f>
        <v>July</v>
      </c>
      <c r="L704" s="1" t="str">
        <f>TEXT(Employee_Sample_Data_1[[#This Row],[Hire Date]], "yyyy")</f>
        <v>2019</v>
      </c>
      <c r="M704" s="2">
        <v>169487</v>
      </c>
      <c r="N704" s="3">
        <v>0.23</v>
      </c>
      <c r="O704" s="9">
        <f>PRODUCT(Employee_Sample_Data_1[[#This Row],[Annual Salary]],Employee_Sample_Data_1[[#This Row],[Bonus %]])</f>
        <v>38982.01</v>
      </c>
      <c r="P704" s="2">
        <f>ROUND(Employee_Sample_Data_1[[#This Row],[Annual Salary]]*(1+Employee_Sample_Data_1[[#This Row],[Bonus %]]), 0)</f>
        <v>208469</v>
      </c>
      <c r="Q704" t="s">
        <v>21</v>
      </c>
      <c r="R704" t="s">
        <v>22</v>
      </c>
      <c r="T704">
        <f ca="1">DATEDIF(Employee_Sample_Data_1[[#This Row],[Hire Date]], IF(Employee_Sample_Data_1[[#This Row],[Exit Date]] = "", TODAY(), Employee_Sample_Data_1[[#This Row],[Exit Date]]), "Y")</f>
        <v>6</v>
      </c>
    </row>
    <row r="705" spans="1:20" x14ac:dyDescent="0.25">
      <c r="A705" t="s">
        <v>1484</v>
      </c>
      <c r="B705" t="s">
        <v>1485</v>
      </c>
      <c r="C705" t="s">
        <v>80</v>
      </c>
      <c r="D705" t="s">
        <v>32</v>
      </c>
      <c r="E705" t="s">
        <v>27</v>
      </c>
      <c r="F705" t="s">
        <v>39</v>
      </c>
      <c r="G705" t="s">
        <v>63</v>
      </c>
      <c r="H705">
        <v>56</v>
      </c>
      <c r="I705" s="1">
        <v>37382</v>
      </c>
      <c r="J705" s="1" t="str">
        <f>TEXT(Employee_Sample_Data_1[[#This Row],[Hire Date]], "dddd")</f>
        <v>Monday</v>
      </c>
      <c r="K705" s="1" t="str">
        <f>TEXT(Employee_Sample_Data_1[[#This Row],[Hire Date]], "mmmm")</f>
        <v>May</v>
      </c>
      <c r="L705" s="1" t="str">
        <f>TEXT(Employee_Sample_Data_1[[#This Row],[Hire Date]], "yyyy")</f>
        <v>2002</v>
      </c>
      <c r="M705" s="2">
        <v>156435</v>
      </c>
      <c r="N705" s="3">
        <v>0.1</v>
      </c>
      <c r="O705" s="9">
        <f>PRODUCT(Employee_Sample_Data_1[[#This Row],[Annual Salary]],Employee_Sample_Data_1[[#This Row],[Bonus %]])</f>
        <v>15643.5</v>
      </c>
      <c r="P705" s="2">
        <f>ROUND(Employee_Sample_Data_1[[#This Row],[Annual Salary]]*(1+Employee_Sample_Data_1[[#This Row],[Bonus %]]), 0)</f>
        <v>172079</v>
      </c>
      <c r="Q705" t="s">
        <v>21</v>
      </c>
      <c r="R705" t="s">
        <v>28</v>
      </c>
      <c r="T705">
        <f ca="1">DATEDIF(Employee_Sample_Data_1[[#This Row],[Hire Date]], IF(Employee_Sample_Data_1[[#This Row],[Exit Date]] = "", TODAY(), Employee_Sample_Data_1[[#This Row],[Exit Date]]), "Y")</f>
        <v>24</v>
      </c>
    </row>
    <row r="706" spans="1:20" x14ac:dyDescent="0.25">
      <c r="A706" t="s">
        <v>1486</v>
      </c>
      <c r="B706" t="s">
        <v>1487</v>
      </c>
      <c r="C706" t="s">
        <v>101</v>
      </c>
      <c r="D706" t="s">
        <v>26</v>
      </c>
      <c r="E706" t="s">
        <v>53</v>
      </c>
      <c r="F706" t="s">
        <v>19</v>
      </c>
      <c r="G706" t="s">
        <v>20</v>
      </c>
      <c r="H706">
        <v>52</v>
      </c>
      <c r="I706" s="1">
        <v>39071</v>
      </c>
      <c r="J706" s="1" t="str">
        <f>TEXT(Employee_Sample_Data_1[[#This Row],[Hire Date]], "dddd")</f>
        <v>Wednesday</v>
      </c>
      <c r="K706" s="1" t="str">
        <f>TEXT(Employee_Sample_Data_1[[#This Row],[Hire Date]], "mmmm")</f>
        <v>December</v>
      </c>
      <c r="L706" s="1" t="str">
        <f>TEXT(Employee_Sample_Data_1[[#This Row],[Hire Date]], "yyyy")</f>
        <v>2006</v>
      </c>
      <c r="M706" s="2">
        <v>59845</v>
      </c>
      <c r="N706" s="3">
        <v>0</v>
      </c>
      <c r="O706" s="9">
        <f>PRODUCT(Employee_Sample_Data_1[[#This Row],[Annual Salary]],Employee_Sample_Data_1[[#This Row],[Bonus %]])</f>
        <v>0</v>
      </c>
      <c r="P706" s="2">
        <f>ROUND(Employee_Sample_Data_1[[#This Row],[Annual Salary]]*(1+Employee_Sample_Data_1[[#This Row],[Bonus %]]), 0)</f>
        <v>59845</v>
      </c>
      <c r="Q706" t="s">
        <v>34</v>
      </c>
      <c r="R706" t="s">
        <v>108</v>
      </c>
      <c r="T706">
        <f ca="1">DATEDIF(Employee_Sample_Data_1[[#This Row],[Hire Date]], IF(Employee_Sample_Data_1[[#This Row],[Exit Date]] = "", TODAY(), Employee_Sample_Data_1[[#This Row],[Exit Date]]), "Y")</f>
        <v>19</v>
      </c>
    </row>
    <row r="707" spans="1:20" x14ac:dyDescent="0.25">
      <c r="A707" t="s">
        <v>1488</v>
      </c>
      <c r="B707" t="s">
        <v>1489</v>
      </c>
      <c r="C707" t="s">
        <v>62</v>
      </c>
      <c r="D707" t="s">
        <v>32</v>
      </c>
      <c r="E707" t="s">
        <v>18</v>
      </c>
      <c r="F707" t="s">
        <v>39</v>
      </c>
      <c r="G707" t="s">
        <v>40</v>
      </c>
      <c r="H707">
        <v>37</v>
      </c>
      <c r="I707" s="1">
        <v>43896</v>
      </c>
      <c r="J707" s="1" t="str">
        <f>TEXT(Employee_Sample_Data_1[[#This Row],[Hire Date]], "dddd")</f>
        <v>Friday</v>
      </c>
      <c r="K707" s="1" t="str">
        <f>TEXT(Employee_Sample_Data_1[[#This Row],[Hire Date]], "mmmm")</f>
        <v>March</v>
      </c>
      <c r="L707" s="1" t="str">
        <f>TEXT(Employee_Sample_Data_1[[#This Row],[Hire Date]], "yyyy")</f>
        <v>2020</v>
      </c>
      <c r="M707" s="2">
        <v>93656</v>
      </c>
      <c r="N707" s="3">
        <v>0</v>
      </c>
      <c r="O707" s="9">
        <f>PRODUCT(Employee_Sample_Data_1[[#This Row],[Annual Salary]],Employee_Sample_Data_1[[#This Row],[Bonus %]])</f>
        <v>0</v>
      </c>
      <c r="P707" s="2">
        <f>ROUND(Employee_Sample_Data_1[[#This Row],[Annual Salary]]*(1+Employee_Sample_Data_1[[#This Row],[Bonus %]]), 0)</f>
        <v>93656</v>
      </c>
      <c r="Q707" t="s">
        <v>21</v>
      </c>
      <c r="R707" t="s">
        <v>22</v>
      </c>
      <c r="T707">
        <f ca="1">DATEDIF(Employee_Sample_Data_1[[#This Row],[Hire Date]], IF(Employee_Sample_Data_1[[#This Row],[Exit Date]] = "", TODAY(), Employee_Sample_Data_1[[#This Row],[Exit Date]]), "Y")</f>
        <v>6</v>
      </c>
    </row>
    <row r="708" spans="1:20" x14ac:dyDescent="0.25">
      <c r="A708" t="s">
        <v>1490</v>
      </c>
      <c r="B708" t="s">
        <v>1491</v>
      </c>
      <c r="C708" t="s">
        <v>131</v>
      </c>
      <c r="D708" t="s">
        <v>17</v>
      </c>
      <c r="E708" t="s">
        <v>18</v>
      </c>
      <c r="F708" t="s">
        <v>19</v>
      </c>
      <c r="G708" t="s">
        <v>63</v>
      </c>
      <c r="H708">
        <v>55</v>
      </c>
      <c r="I708" s="1">
        <v>35860</v>
      </c>
      <c r="J708" s="1" t="str">
        <f>TEXT(Employee_Sample_Data_1[[#This Row],[Hire Date]], "dddd")</f>
        <v>Friday</v>
      </c>
      <c r="K708" s="1" t="str">
        <f>TEXT(Employee_Sample_Data_1[[#This Row],[Hire Date]], "mmmm")</f>
        <v>March</v>
      </c>
      <c r="L708" s="1" t="str">
        <f>TEXT(Employee_Sample_Data_1[[#This Row],[Hire Date]], "yyyy")</f>
        <v>1998</v>
      </c>
      <c r="M708" s="2">
        <v>99035</v>
      </c>
      <c r="N708" s="3">
        <v>0</v>
      </c>
      <c r="O708" s="9">
        <f>PRODUCT(Employee_Sample_Data_1[[#This Row],[Annual Salary]],Employee_Sample_Data_1[[#This Row],[Bonus %]])</f>
        <v>0</v>
      </c>
      <c r="P708" s="2">
        <f>ROUND(Employee_Sample_Data_1[[#This Row],[Annual Salary]]*(1+Employee_Sample_Data_1[[#This Row],[Bonus %]]), 0)</f>
        <v>99035</v>
      </c>
      <c r="Q708" t="s">
        <v>21</v>
      </c>
      <c r="R708" t="s">
        <v>67</v>
      </c>
      <c r="T708">
        <f ca="1">DATEDIF(Employee_Sample_Data_1[[#This Row],[Hire Date]], IF(Employee_Sample_Data_1[[#This Row],[Exit Date]] = "", TODAY(), Employee_Sample_Data_1[[#This Row],[Exit Date]]), "Y")</f>
        <v>28</v>
      </c>
    </row>
    <row r="709" spans="1:20" x14ac:dyDescent="0.25">
      <c r="A709" t="s">
        <v>1492</v>
      </c>
      <c r="B709" t="s">
        <v>1493</v>
      </c>
      <c r="C709" t="s">
        <v>80</v>
      </c>
      <c r="D709" t="s">
        <v>77</v>
      </c>
      <c r="E709" t="s">
        <v>27</v>
      </c>
      <c r="F709" t="s">
        <v>19</v>
      </c>
      <c r="G709" t="s">
        <v>63</v>
      </c>
      <c r="H709">
        <v>27</v>
      </c>
      <c r="I709" s="1">
        <v>44364</v>
      </c>
      <c r="J709" s="1" t="str">
        <f>TEXT(Employee_Sample_Data_1[[#This Row],[Hire Date]], "dddd")</f>
        <v>Thursday</v>
      </c>
      <c r="K709" s="1" t="str">
        <f>TEXT(Employee_Sample_Data_1[[#This Row],[Hire Date]], "mmmm")</f>
        <v>June</v>
      </c>
      <c r="L709" s="1" t="str">
        <f>TEXT(Employee_Sample_Data_1[[#This Row],[Hire Date]], "yyyy")</f>
        <v>2021</v>
      </c>
      <c r="M709" s="2">
        <v>137997</v>
      </c>
      <c r="N709" s="3">
        <v>0.12</v>
      </c>
      <c r="O709" s="9">
        <f>PRODUCT(Employee_Sample_Data_1[[#This Row],[Annual Salary]],Employee_Sample_Data_1[[#This Row],[Bonus %]])</f>
        <v>16559.64</v>
      </c>
      <c r="P709" s="2">
        <f>ROUND(Employee_Sample_Data_1[[#This Row],[Annual Salary]]*(1+Employee_Sample_Data_1[[#This Row],[Bonus %]]), 0)</f>
        <v>154557</v>
      </c>
      <c r="Q709" t="s">
        <v>21</v>
      </c>
      <c r="R709" t="s">
        <v>48</v>
      </c>
      <c r="T709">
        <f ca="1">DATEDIF(Employee_Sample_Data_1[[#This Row],[Hire Date]], IF(Employee_Sample_Data_1[[#This Row],[Exit Date]] = "", TODAY(), Employee_Sample_Data_1[[#This Row],[Exit Date]]), "Y")</f>
        <v>4</v>
      </c>
    </row>
    <row r="710" spans="1:20" x14ac:dyDescent="0.25">
      <c r="A710" t="s">
        <v>1494</v>
      </c>
      <c r="B710" t="s">
        <v>1495</v>
      </c>
      <c r="C710" t="s">
        <v>352</v>
      </c>
      <c r="D710" t="s">
        <v>32</v>
      </c>
      <c r="E710" t="s">
        <v>18</v>
      </c>
      <c r="F710" t="s">
        <v>39</v>
      </c>
      <c r="G710" t="s">
        <v>20</v>
      </c>
      <c r="H710">
        <v>28</v>
      </c>
      <c r="I710" s="1">
        <v>43637</v>
      </c>
      <c r="J710" s="1" t="str">
        <f>TEXT(Employee_Sample_Data_1[[#This Row],[Hire Date]], "dddd")</f>
        <v>Friday</v>
      </c>
      <c r="K710" s="1" t="str">
        <f>TEXT(Employee_Sample_Data_1[[#This Row],[Hire Date]], "mmmm")</f>
        <v>June</v>
      </c>
      <c r="L710" s="1" t="str">
        <f>TEXT(Employee_Sample_Data_1[[#This Row],[Hire Date]], "yyyy")</f>
        <v>2019</v>
      </c>
      <c r="M710" s="2">
        <v>61573</v>
      </c>
      <c r="N710" s="3">
        <v>0</v>
      </c>
      <c r="O710" s="9">
        <f>PRODUCT(Employee_Sample_Data_1[[#This Row],[Annual Salary]],Employee_Sample_Data_1[[#This Row],[Bonus %]])</f>
        <v>0</v>
      </c>
      <c r="P710" s="2">
        <f>ROUND(Employee_Sample_Data_1[[#This Row],[Annual Salary]]*(1+Employee_Sample_Data_1[[#This Row],[Bonus %]]), 0)</f>
        <v>61573</v>
      </c>
      <c r="Q710" t="s">
        <v>21</v>
      </c>
      <c r="R710" t="s">
        <v>28</v>
      </c>
      <c r="T710">
        <f ca="1">DATEDIF(Employee_Sample_Data_1[[#This Row],[Hire Date]], IF(Employee_Sample_Data_1[[#This Row],[Exit Date]] = "", TODAY(), Employee_Sample_Data_1[[#This Row],[Exit Date]]), "Y")</f>
        <v>6</v>
      </c>
    </row>
    <row r="711" spans="1:20" x14ac:dyDescent="0.25">
      <c r="A711" t="s">
        <v>1496</v>
      </c>
      <c r="B711" t="s">
        <v>1497</v>
      </c>
      <c r="C711" t="s">
        <v>25</v>
      </c>
      <c r="D711" t="s">
        <v>26</v>
      </c>
      <c r="E711" t="s">
        <v>18</v>
      </c>
      <c r="F711" t="s">
        <v>19</v>
      </c>
      <c r="G711" t="s">
        <v>20</v>
      </c>
      <c r="H711">
        <v>55</v>
      </c>
      <c r="I711" s="1">
        <v>42130</v>
      </c>
      <c r="J711" s="1" t="str">
        <f>TEXT(Employee_Sample_Data_1[[#This Row],[Hire Date]], "dddd")</f>
        <v>Wednesday</v>
      </c>
      <c r="K711" s="1" t="str">
        <f>TEXT(Employee_Sample_Data_1[[#This Row],[Hire Date]], "mmmm")</f>
        <v>May</v>
      </c>
      <c r="L711" s="1" t="str">
        <f>TEXT(Employee_Sample_Data_1[[#This Row],[Hire Date]], "yyyy")</f>
        <v>2015</v>
      </c>
      <c r="M711" s="2">
        <v>41102</v>
      </c>
      <c r="N711" s="3">
        <v>0</v>
      </c>
      <c r="O711" s="9">
        <f>PRODUCT(Employee_Sample_Data_1[[#This Row],[Annual Salary]],Employee_Sample_Data_1[[#This Row],[Bonus %]])</f>
        <v>0</v>
      </c>
      <c r="P711" s="2">
        <f>ROUND(Employee_Sample_Data_1[[#This Row],[Annual Salary]]*(1+Employee_Sample_Data_1[[#This Row],[Bonus %]]), 0)</f>
        <v>41102</v>
      </c>
      <c r="Q711" t="s">
        <v>21</v>
      </c>
      <c r="R711" t="s">
        <v>41</v>
      </c>
      <c r="T711">
        <f ca="1">DATEDIF(Employee_Sample_Data_1[[#This Row],[Hire Date]], IF(Employee_Sample_Data_1[[#This Row],[Exit Date]] = "", TODAY(), Employee_Sample_Data_1[[#This Row],[Exit Date]]), "Y")</f>
        <v>11</v>
      </c>
    </row>
    <row r="712" spans="1:20" x14ac:dyDescent="0.25">
      <c r="A712" t="s">
        <v>1498</v>
      </c>
      <c r="B712" t="s">
        <v>1499</v>
      </c>
      <c r="C712" t="s">
        <v>66</v>
      </c>
      <c r="D712" t="s">
        <v>123</v>
      </c>
      <c r="E712" t="s">
        <v>33</v>
      </c>
      <c r="F712" t="s">
        <v>39</v>
      </c>
      <c r="G712" t="s">
        <v>20</v>
      </c>
      <c r="H712">
        <v>44</v>
      </c>
      <c r="I712" s="1">
        <v>40802</v>
      </c>
      <c r="J712" s="1" t="str">
        <f>TEXT(Employee_Sample_Data_1[[#This Row],[Hire Date]], "dddd")</f>
        <v>Friday</v>
      </c>
      <c r="K712" s="1" t="str">
        <f>TEXT(Employee_Sample_Data_1[[#This Row],[Hire Date]], "mmmm")</f>
        <v>September</v>
      </c>
      <c r="L712" s="1" t="str">
        <f>TEXT(Employee_Sample_Data_1[[#This Row],[Hire Date]], "yyyy")</f>
        <v>2011</v>
      </c>
      <c r="M712" s="2">
        <v>129866</v>
      </c>
      <c r="N712" s="3">
        <v>0.06</v>
      </c>
      <c r="O712" s="9">
        <f>PRODUCT(Employee_Sample_Data_1[[#This Row],[Annual Salary]],Employee_Sample_Data_1[[#This Row],[Bonus %]])</f>
        <v>7791.96</v>
      </c>
      <c r="P712" s="2">
        <f>ROUND(Employee_Sample_Data_1[[#This Row],[Annual Salary]]*(1+Employee_Sample_Data_1[[#This Row],[Bonus %]]), 0)</f>
        <v>137658</v>
      </c>
      <c r="Q712" t="s">
        <v>34</v>
      </c>
      <c r="R712" t="s">
        <v>108</v>
      </c>
      <c r="T712">
        <f ca="1">DATEDIF(Employee_Sample_Data_1[[#This Row],[Hire Date]], IF(Employee_Sample_Data_1[[#This Row],[Exit Date]] = "", TODAY(), Employee_Sample_Data_1[[#This Row],[Exit Date]]), "Y")</f>
        <v>14</v>
      </c>
    </row>
    <row r="713" spans="1:20" x14ac:dyDescent="0.25">
      <c r="A713" t="s">
        <v>1500</v>
      </c>
      <c r="B713" t="s">
        <v>1501</v>
      </c>
      <c r="C713" t="s">
        <v>44</v>
      </c>
      <c r="D713" t="s">
        <v>123</v>
      </c>
      <c r="E713" t="s">
        <v>53</v>
      </c>
      <c r="F713" t="s">
        <v>39</v>
      </c>
      <c r="G713" t="s">
        <v>63</v>
      </c>
      <c r="H713">
        <v>28</v>
      </c>
      <c r="I713" s="1">
        <v>43852</v>
      </c>
      <c r="J713" s="1" t="str">
        <f>TEXT(Employee_Sample_Data_1[[#This Row],[Hire Date]], "dddd")</f>
        <v>Wednesday</v>
      </c>
      <c r="K713" s="1" t="str">
        <f>TEXT(Employee_Sample_Data_1[[#This Row],[Hire Date]], "mmmm")</f>
        <v>January</v>
      </c>
      <c r="L713" s="1" t="str">
        <f>TEXT(Employee_Sample_Data_1[[#This Row],[Hire Date]], "yyyy")</f>
        <v>2020</v>
      </c>
      <c r="M713" s="2">
        <v>161868</v>
      </c>
      <c r="N713" s="3">
        <v>0.21</v>
      </c>
      <c r="O713" s="9">
        <f>PRODUCT(Employee_Sample_Data_1[[#This Row],[Annual Salary]],Employee_Sample_Data_1[[#This Row],[Bonus %]])</f>
        <v>33992.28</v>
      </c>
      <c r="P713" s="2">
        <f>ROUND(Employee_Sample_Data_1[[#This Row],[Annual Salary]]*(1+Employee_Sample_Data_1[[#This Row],[Bonus %]]), 0)</f>
        <v>195860</v>
      </c>
      <c r="Q713" t="s">
        <v>21</v>
      </c>
      <c r="R713" t="s">
        <v>45</v>
      </c>
      <c r="T713">
        <f ca="1">DATEDIF(Employee_Sample_Data_1[[#This Row],[Hire Date]], IF(Employee_Sample_Data_1[[#This Row],[Exit Date]] = "", TODAY(), Employee_Sample_Data_1[[#This Row],[Exit Date]]), "Y")</f>
        <v>6</v>
      </c>
    </row>
    <row r="714" spans="1:20" x14ac:dyDescent="0.25">
      <c r="A714" t="s">
        <v>1502</v>
      </c>
      <c r="B714" t="s">
        <v>1503</v>
      </c>
      <c r="C714" t="s">
        <v>289</v>
      </c>
      <c r="D714" t="s">
        <v>17</v>
      </c>
      <c r="E714" t="s">
        <v>27</v>
      </c>
      <c r="F714" t="s">
        <v>39</v>
      </c>
      <c r="G714" t="s">
        <v>20</v>
      </c>
      <c r="H714">
        <v>55</v>
      </c>
      <c r="I714" s="1">
        <v>34835</v>
      </c>
      <c r="J714" s="1" t="str">
        <f>TEXT(Employee_Sample_Data_1[[#This Row],[Hire Date]], "dddd")</f>
        <v>Tuesday</v>
      </c>
      <c r="K714" s="1" t="str">
        <f>TEXT(Employee_Sample_Data_1[[#This Row],[Hire Date]], "mmmm")</f>
        <v>May</v>
      </c>
      <c r="L714" s="1" t="str">
        <f>TEXT(Employee_Sample_Data_1[[#This Row],[Hire Date]], "yyyy")</f>
        <v>1995</v>
      </c>
      <c r="M714" s="2">
        <v>67131</v>
      </c>
      <c r="N714" s="3">
        <v>0</v>
      </c>
      <c r="O714" s="9">
        <f>PRODUCT(Employee_Sample_Data_1[[#This Row],[Annual Salary]],Employee_Sample_Data_1[[#This Row],[Bonus %]])</f>
        <v>0</v>
      </c>
      <c r="P714" s="2">
        <f>ROUND(Employee_Sample_Data_1[[#This Row],[Annual Salary]]*(1+Employee_Sample_Data_1[[#This Row],[Bonus %]]), 0)</f>
        <v>67131</v>
      </c>
      <c r="Q714" t="s">
        <v>21</v>
      </c>
      <c r="R714" t="s">
        <v>45</v>
      </c>
      <c r="T714">
        <f ca="1">DATEDIF(Employee_Sample_Data_1[[#This Row],[Hire Date]], IF(Employee_Sample_Data_1[[#This Row],[Exit Date]] = "", TODAY(), Employee_Sample_Data_1[[#This Row],[Exit Date]]), "Y")</f>
        <v>31</v>
      </c>
    </row>
    <row r="715" spans="1:20" x14ac:dyDescent="0.25">
      <c r="A715" t="s">
        <v>1504</v>
      </c>
      <c r="B715" t="s">
        <v>1505</v>
      </c>
      <c r="C715" t="s">
        <v>410</v>
      </c>
      <c r="D715" t="s">
        <v>17</v>
      </c>
      <c r="E715" t="s">
        <v>33</v>
      </c>
      <c r="F715" t="s">
        <v>19</v>
      </c>
      <c r="G715" t="s">
        <v>81</v>
      </c>
      <c r="H715">
        <v>44</v>
      </c>
      <c r="I715" s="1">
        <v>43753</v>
      </c>
      <c r="J715" s="1" t="str">
        <f>TEXT(Employee_Sample_Data_1[[#This Row],[Hire Date]], "dddd")</f>
        <v>Tuesday</v>
      </c>
      <c r="K715" s="1" t="str">
        <f>TEXT(Employee_Sample_Data_1[[#This Row],[Hire Date]], "mmmm")</f>
        <v>October</v>
      </c>
      <c r="L715" s="1" t="str">
        <f>TEXT(Employee_Sample_Data_1[[#This Row],[Hire Date]], "yyyy")</f>
        <v>2019</v>
      </c>
      <c r="M715" s="2">
        <v>71345</v>
      </c>
      <c r="N715" s="3">
        <v>0</v>
      </c>
      <c r="O715" s="9">
        <f>PRODUCT(Employee_Sample_Data_1[[#This Row],[Annual Salary]],Employee_Sample_Data_1[[#This Row],[Bonus %]])</f>
        <v>0</v>
      </c>
      <c r="P715" s="2">
        <f>ROUND(Employee_Sample_Data_1[[#This Row],[Annual Salary]]*(1+Employee_Sample_Data_1[[#This Row],[Bonus %]]), 0)</f>
        <v>71345</v>
      </c>
      <c r="Q715" t="s">
        <v>21</v>
      </c>
      <c r="R715" t="s">
        <v>67</v>
      </c>
      <c r="T715">
        <f ca="1">DATEDIF(Employee_Sample_Data_1[[#This Row],[Hire Date]], IF(Employee_Sample_Data_1[[#This Row],[Exit Date]] = "", TODAY(), Employee_Sample_Data_1[[#This Row],[Exit Date]]), "Y")</f>
        <v>6</v>
      </c>
    </row>
    <row r="716" spans="1:20" x14ac:dyDescent="0.25">
      <c r="A716" t="s">
        <v>1506</v>
      </c>
      <c r="B716" t="s">
        <v>1507</v>
      </c>
      <c r="C716" t="s">
        <v>86</v>
      </c>
      <c r="D716" t="s">
        <v>26</v>
      </c>
      <c r="E716" t="s">
        <v>27</v>
      </c>
      <c r="F716" t="s">
        <v>39</v>
      </c>
      <c r="G716" t="s">
        <v>20</v>
      </c>
      <c r="H716">
        <v>30</v>
      </c>
      <c r="I716" s="1">
        <v>43747</v>
      </c>
      <c r="J716" s="1" t="str">
        <f>TEXT(Employee_Sample_Data_1[[#This Row],[Hire Date]], "dddd")</f>
        <v>Wednesday</v>
      </c>
      <c r="K716" s="1" t="str">
        <f>TEXT(Employee_Sample_Data_1[[#This Row],[Hire Date]], "mmmm")</f>
        <v>October</v>
      </c>
      <c r="L716" s="1" t="str">
        <f>TEXT(Employee_Sample_Data_1[[#This Row],[Hire Date]], "yyyy")</f>
        <v>2019</v>
      </c>
      <c r="M716" s="2">
        <v>246757</v>
      </c>
      <c r="N716" s="3">
        <v>0.4</v>
      </c>
      <c r="O716" s="9">
        <f>PRODUCT(Employee_Sample_Data_1[[#This Row],[Annual Salary]],Employee_Sample_Data_1[[#This Row],[Bonus %]])</f>
        <v>98702.8</v>
      </c>
      <c r="P716" s="2">
        <f>ROUND(Employee_Sample_Data_1[[#This Row],[Annual Salary]]*(1+Employee_Sample_Data_1[[#This Row],[Bonus %]]), 0)</f>
        <v>345460</v>
      </c>
      <c r="Q716" t="s">
        <v>21</v>
      </c>
      <c r="R716" t="s">
        <v>67</v>
      </c>
      <c r="T716">
        <f ca="1">DATEDIF(Employee_Sample_Data_1[[#This Row],[Hire Date]], IF(Employee_Sample_Data_1[[#This Row],[Exit Date]] = "", TODAY(), Employee_Sample_Data_1[[#This Row],[Exit Date]]), "Y")</f>
        <v>6</v>
      </c>
    </row>
    <row r="717" spans="1:20" x14ac:dyDescent="0.25">
      <c r="A717" t="s">
        <v>1508</v>
      </c>
      <c r="B717" t="s">
        <v>1509</v>
      </c>
      <c r="C717" t="s">
        <v>66</v>
      </c>
      <c r="D717" t="s">
        <v>77</v>
      </c>
      <c r="E717" t="s">
        <v>33</v>
      </c>
      <c r="F717" t="s">
        <v>39</v>
      </c>
      <c r="G717" t="s">
        <v>20</v>
      </c>
      <c r="H717">
        <v>63</v>
      </c>
      <c r="I717" s="1">
        <v>38439</v>
      </c>
      <c r="J717" s="1" t="str">
        <f>TEXT(Employee_Sample_Data_1[[#This Row],[Hire Date]], "dddd")</f>
        <v>Monday</v>
      </c>
      <c r="K717" s="1" t="str">
        <f>TEXT(Employee_Sample_Data_1[[#This Row],[Hire Date]], "mmmm")</f>
        <v>March</v>
      </c>
      <c r="L717" s="1" t="str">
        <f>TEXT(Employee_Sample_Data_1[[#This Row],[Hire Date]], "yyyy")</f>
        <v>2005</v>
      </c>
      <c r="M717" s="2">
        <v>106880</v>
      </c>
      <c r="N717" s="3">
        <v>0.08</v>
      </c>
      <c r="O717" s="9">
        <f>PRODUCT(Employee_Sample_Data_1[[#This Row],[Annual Salary]],Employee_Sample_Data_1[[#This Row],[Bonus %]])</f>
        <v>8550.4</v>
      </c>
      <c r="P717" s="2">
        <f>ROUND(Employee_Sample_Data_1[[#This Row],[Annual Salary]]*(1+Employee_Sample_Data_1[[#This Row],[Bonus %]]), 0)</f>
        <v>115430</v>
      </c>
      <c r="Q717" t="s">
        <v>21</v>
      </c>
      <c r="R717" t="s">
        <v>45</v>
      </c>
      <c r="T717">
        <f ca="1">DATEDIF(Employee_Sample_Data_1[[#This Row],[Hire Date]], IF(Employee_Sample_Data_1[[#This Row],[Exit Date]] = "", TODAY(), Employee_Sample_Data_1[[#This Row],[Exit Date]]), "Y")</f>
        <v>21</v>
      </c>
    </row>
    <row r="718" spans="1:20" x14ac:dyDescent="0.25">
      <c r="A718" t="s">
        <v>1510</v>
      </c>
      <c r="B718" t="s">
        <v>1511</v>
      </c>
      <c r="C718" t="s">
        <v>38</v>
      </c>
      <c r="D718" t="s">
        <v>32</v>
      </c>
      <c r="E718" t="s">
        <v>18</v>
      </c>
      <c r="F718" t="s">
        <v>39</v>
      </c>
      <c r="G718" t="s">
        <v>20</v>
      </c>
      <c r="H718">
        <v>36</v>
      </c>
      <c r="I718" s="1">
        <v>43340</v>
      </c>
      <c r="J718" s="1" t="str">
        <f>TEXT(Employee_Sample_Data_1[[#This Row],[Hire Date]], "dddd")</f>
        <v>Tuesday</v>
      </c>
      <c r="K718" s="1" t="str">
        <f>TEXT(Employee_Sample_Data_1[[#This Row],[Hire Date]], "mmmm")</f>
        <v>August</v>
      </c>
      <c r="L718" s="1" t="str">
        <f>TEXT(Employee_Sample_Data_1[[#This Row],[Hire Date]], "yyyy")</f>
        <v>2018</v>
      </c>
      <c r="M718" s="2">
        <v>98733</v>
      </c>
      <c r="N718" s="3">
        <v>0</v>
      </c>
      <c r="O718" s="9">
        <f>PRODUCT(Employee_Sample_Data_1[[#This Row],[Annual Salary]],Employee_Sample_Data_1[[#This Row],[Bonus %]])</f>
        <v>0</v>
      </c>
      <c r="P718" s="2">
        <f>ROUND(Employee_Sample_Data_1[[#This Row],[Annual Salary]]*(1+Employee_Sample_Data_1[[#This Row],[Bonus %]]), 0)</f>
        <v>98733</v>
      </c>
      <c r="Q718" t="s">
        <v>34</v>
      </c>
      <c r="R718" t="s">
        <v>108</v>
      </c>
      <c r="T718">
        <f ca="1">DATEDIF(Employee_Sample_Data_1[[#This Row],[Hire Date]], IF(Employee_Sample_Data_1[[#This Row],[Exit Date]] = "", TODAY(), Employee_Sample_Data_1[[#This Row],[Exit Date]]), "Y")</f>
        <v>7</v>
      </c>
    </row>
    <row r="719" spans="1:20" x14ac:dyDescent="0.25">
      <c r="A719" t="s">
        <v>1512</v>
      </c>
      <c r="B719" t="s">
        <v>1513</v>
      </c>
      <c r="C719" t="s">
        <v>80</v>
      </c>
      <c r="D719" t="s">
        <v>52</v>
      </c>
      <c r="E719" t="s">
        <v>33</v>
      </c>
      <c r="F719" t="s">
        <v>19</v>
      </c>
      <c r="G719" t="s">
        <v>40</v>
      </c>
      <c r="H719">
        <v>28</v>
      </c>
      <c r="I719" s="1">
        <v>43581</v>
      </c>
      <c r="J719" s="1" t="str">
        <f>TEXT(Employee_Sample_Data_1[[#This Row],[Hire Date]], "dddd")</f>
        <v>Friday</v>
      </c>
      <c r="K719" s="1" t="str">
        <f>TEXT(Employee_Sample_Data_1[[#This Row],[Hire Date]], "mmmm")</f>
        <v>April</v>
      </c>
      <c r="L719" s="1" t="str">
        <f>TEXT(Employee_Sample_Data_1[[#This Row],[Hire Date]], "yyyy")</f>
        <v>2019</v>
      </c>
      <c r="M719" s="2">
        <v>141675</v>
      </c>
      <c r="N719" s="3">
        <v>0.12</v>
      </c>
      <c r="O719" s="9">
        <f>PRODUCT(Employee_Sample_Data_1[[#This Row],[Annual Salary]],Employee_Sample_Data_1[[#This Row],[Bonus %]])</f>
        <v>17001</v>
      </c>
      <c r="P719" s="2">
        <f>ROUND(Employee_Sample_Data_1[[#This Row],[Annual Salary]]*(1+Employee_Sample_Data_1[[#This Row],[Bonus %]]), 0)</f>
        <v>158676</v>
      </c>
      <c r="Q719" t="s">
        <v>134</v>
      </c>
      <c r="R719" t="s">
        <v>135</v>
      </c>
      <c r="S719" s="1">
        <v>44098</v>
      </c>
      <c r="T719">
        <f ca="1">DATEDIF(Employee_Sample_Data_1[[#This Row],[Hire Date]], IF(Employee_Sample_Data_1[[#This Row],[Exit Date]] = "", TODAY(), Employee_Sample_Data_1[[#This Row],[Exit Date]]), "Y")</f>
        <v>1</v>
      </c>
    </row>
    <row r="720" spans="1:20" x14ac:dyDescent="0.25">
      <c r="A720" t="s">
        <v>1514</v>
      </c>
      <c r="B720" t="s">
        <v>1515</v>
      </c>
      <c r="C720" t="s">
        <v>57</v>
      </c>
      <c r="D720" t="s">
        <v>52</v>
      </c>
      <c r="E720" t="s">
        <v>33</v>
      </c>
      <c r="F720" t="s">
        <v>19</v>
      </c>
      <c r="G720" t="s">
        <v>20</v>
      </c>
      <c r="H720">
        <v>28</v>
      </c>
      <c r="I720" s="1">
        <v>43274</v>
      </c>
      <c r="J720" s="1" t="str">
        <f>TEXT(Employee_Sample_Data_1[[#This Row],[Hire Date]], "dddd")</f>
        <v>Saturday</v>
      </c>
      <c r="K720" s="1" t="str">
        <f>TEXT(Employee_Sample_Data_1[[#This Row],[Hire Date]], "mmmm")</f>
        <v>June</v>
      </c>
      <c r="L720" s="1" t="str">
        <f>TEXT(Employee_Sample_Data_1[[#This Row],[Hire Date]], "yyyy")</f>
        <v>2018</v>
      </c>
      <c r="M720" s="2">
        <v>53210</v>
      </c>
      <c r="N720" s="3">
        <v>0</v>
      </c>
      <c r="O720" s="9">
        <f>PRODUCT(Employee_Sample_Data_1[[#This Row],[Annual Salary]],Employee_Sample_Data_1[[#This Row],[Bonus %]])</f>
        <v>0</v>
      </c>
      <c r="P720" s="2">
        <f>ROUND(Employee_Sample_Data_1[[#This Row],[Annual Salary]]*(1+Employee_Sample_Data_1[[#This Row],[Bonus %]]), 0)</f>
        <v>53210</v>
      </c>
      <c r="Q720" t="s">
        <v>21</v>
      </c>
      <c r="R720" t="s">
        <v>41</v>
      </c>
      <c r="T720">
        <f ca="1">DATEDIF(Employee_Sample_Data_1[[#This Row],[Hire Date]], IF(Employee_Sample_Data_1[[#This Row],[Exit Date]] = "", TODAY(), Employee_Sample_Data_1[[#This Row],[Exit Date]]), "Y")</f>
        <v>7</v>
      </c>
    </row>
    <row r="721" spans="1:20" x14ac:dyDescent="0.25">
      <c r="A721" t="s">
        <v>1516</v>
      </c>
      <c r="B721" t="s">
        <v>1517</v>
      </c>
      <c r="C721" t="s">
        <v>66</v>
      </c>
      <c r="D721" t="s">
        <v>58</v>
      </c>
      <c r="E721" t="s">
        <v>53</v>
      </c>
      <c r="F721" t="s">
        <v>39</v>
      </c>
      <c r="G721" t="s">
        <v>40</v>
      </c>
      <c r="H721">
        <v>27</v>
      </c>
      <c r="I721" s="1">
        <v>44441</v>
      </c>
      <c r="J721" s="1" t="str">
        <f>TEXT(Employee_Sample_Data_1[[#This Row],[Hire Date]], "dddd")</f>
        <v>Thursday</v>
      </c>
      <c r="K721" s="1" t="str">
        <f>TEXT(Employee_Sample_Data_1[[#This Row],[Hire Date]], "mmmm")</f>
        <v>September</v>
      </c>
      <c r="L721" s="1" t="str">
        <f>TEXT(Employee_Sample_Data_1[[#This Row],[Hire Date]], "yyyy")</f>
        <v>2021</v>
      </c>
      <c r="M721" s="2">
        <v>107114</v>
      </c>
      <c r="N721" s="3">
        <v>0.1</v>
      </c>
      <c r="O721" s="9">
        <f>PRODUCT(Employee_Sample_Data_1[[#This Row],[Annual Salary]],Employee_Sample_Data_1[[#This Row],[Bonus %]])</f>
        <v>10711.400000000001</v>
      </c>
      <c r="P721" s="2">
        <f>ROUND(Employee_Sample_Data_1[[#This Row],[Annual Salary]]*(1+Employee_Sample_Data_1[[#This Row],[Bonus %]]), 0)</f>
        <v>117825</v>
      </c>
      <c r="Q721" t="s">
        <v>134</v>
      </c>
      <c r="R721" t="s">
        <v>135</v>
      </c>
      <c r="T721">
        <f ca="1">DATEDIF(Employee_Sample_Data_1[[#This Row],[Hire Date]], IF(Employee_Sample_Data_1[[#This Row],[Exit Date]] = "", TODAY(), Employee_Sample_Data_1[[#This Row],[Exit Date]]), "Y")</f>
        <v>4</v>
      </c>
    </row>
    <row r="722" spans="1:20" x14ac:dyDescent="0.25">
      <c r="A722" t="s">
        <v>1518</v>
      </c>
      <c r="B722" t="s">
        <v>1519</v>
      </c>
      <c r="C722" t="s">
        <v>128</v>
      </c>
      <c r="D722" t="s">
        <v>123</v>
      </c>
      <c r="E722" t="s">
        <v>53</v>
      </c>
      <c r="F722" t="s">
        <v>39</v>
      </c>
      <c r="G722" t="s">
        <v>81</v>
      </c>
      <c r="H722">
        <v>34</v>
      </c>
      <c r="I722" s="1">
        <v>44816</v>
      </c>
      <c r="J722" s="1" t="str">
        <f>TEXT(Employee_Sample_Data_1[[#This Row],[Hire Date]], "dddd")</f>
        <v>Monday</v>
      </c>
      <c r="K722" s="1" t="str">
        <f>TEXT(Employee_Sample_Data_1[[#This Row],[Hire Date]], "mmmm")</f>
        <v>September</v>
      </c>
      <c r="L722" s="1" t="str">
        <f>TEXT(Employee_Sample_Data_1[[#This Row],[Hire Date]], "yyyy")</f>
        <v>2022</v>
      </c>
      <c r="M722" s="2">
        <v>57483</v>
      </c>
      <c r="N722" s="3">
        <v>0</v>
      </c>
      <c r="O722" s="9">
        <f>PRODUCT(Employee_Sample_Data_1[[#This Row],[Annual Salary]],Employee_Sample_Data_1[[#This Row],[Bonus %]])</f>
        <v>0</v>
      </c>
      <c r="P722" s="2">
        <f>ROUND(Employee_Sample_Data_1[[#This Row],[Annual Salary]]*(1+Employee_Sample_Data_1[[#This Row],[Bonus %]]), 0)</f>
        <v>57483</v>
      </c>
      <c r="Q722" t="s">
        <v>21</v>
      </c>
      <c r="R722" t="s">
        <v>41</v>
      </c>
      <c r="S722" s="1">
        <v>44883</v>
      </c>
      <c r="T722">
        <f ca="1">DATEDIF(Employee_Sample_Data_1[[#This Row],[Hire Date]], IF(Employee_Sample_Data_1[[#This Row],[Exit Date]] = "", TODAY(), Employee_Sample_Data_1[[#This Row],[Exit Date]]), "Y")</f>
        <v>0</v>
      </c>
    </row>
    <row r="723" spans="1:20" x14ac:dyDescent="0.25">
      <c r="A723" t="s">
        <v>1520</v>
      </c>
      <c r="B723" t="s">
        <v>1521</v>
      </c>
      <c r="C723" t="s">
        <v>377</v>
      </c>
      <c r="D723" t="s">
        <v>32</v>
      </c>
      <c r="E723" t="s">
        <v>53</v>
      </c>
      <c r="F723" t="s">
        <v>19</v>
      </c>
      <c r="G723" t="s">
        <v>40</v>
      </c>
      <c r="H723">
        <v>53</v>
      </c>
      <c r="I723" s="1">
        <v>34444</v>
      </c>
      <c r="J723" s="1" t="str">
        <f>TEXT(Employee_Sample_Data_1[[#This Row],[Hire Date]], "dddd")</f>
        <v>Wednesday</v>
      </c>
      <c r="K723" s="1" t="str">
        <f>TEXT(Employee_Sample_Data_1[[#This Row],[Hire Date]], "mmmm")</f>
        <v>April</v>
      </c>
      <c r="L723" s="1" t="str">
        <f>TEXT(Employee_Sample_Data_1[[#This Row],[Hire Date]], "yyyy")</f>
        <v>1994</v>
      </c>
      <c r="M723" s="2">
        <v>75226</v>
      </c>
      <c r="N723" s="3">
        <v>0</v>
      </c>
      <c r="O723" s="9">
        <f>PRODUCT(Employee_Sample_Data_1[[#This Row],[Annual Salary]],Employee_Sample_Data_1[[#This Row],[Bonus %]])</f>
        <v>0</v>
      </c>
      <c r="P723" s="2">
        <f>ROUND(Employee_Sample_Data_1[[#This Row],[Annual Salary]]*(1+Employee_Sample_Data_1[[#This Row],[Bonus %]]), 0)</f>
        <v>75226</v>
      </c>
      <c r="Q723" t="s">
        <v>134</v>
      </c>
      <c r="R723" t="s">
        <v>135</v>
      </c>
      <c r="T723">
        <f ca="1">DATEDIF(Employee_Sample_Data_1[[#This Row],[Hire Date]], IF(Employee_Sample_Data_1[[#This Row],[Exit Date]] = "", TODAY(), Employee_Sample_Data_1[[#This Row],[Exit Date]]), "Y")</f>
        <v>32</v>
      </c>
    </row>
    <row r="724" spans="1:20" x14ac:dyDescent="0.25">
      <c r="A724" t="s">
        <v>1522</v>
      </c>
      <c r="B724" t="s">
        <v>1523</v>
      </c>
      <c r="C724" t="s">
        <v>16</v>
      </c>
      <c r="D724" t="s">
        <v>17</v>
      </c>
      <c r="E724" t="s">
        <v>27</v>
      </c>
      <c r="F724" t="s">
        <v>19</v>
      </c>
      <c r="G724" t="s">
        <v>63</v>
      </c>
      <c r="H724">
        <v>50</v>
      </c>
      <c r="I724" s="1">
        <v>40923</v>
      </c>
      <c r="J724" s="1" t="str">
        <f>TEXT(Employee_Sample_Data_1[[#This Row],[Hire Date]], "dddd")</f>
        <v>Sunday</v>
      </c>
      <c r="K724" s="1" t="str">
        <f>TEXT(Employee_Sample_Data_1[[#This Row],[Hire Date]], "mmmm")</f>
        <v>January</v>
      </c>
      <c r="L724" s="1" t="str">
        <f>TEXT(Employee_Sample_Data_1[[#This Row],[Hire Date]], "yyyy")</f>
        <v>2012</v>
      </c>
      <c r="M724" s="2">
        <v>87727</v>
      </c>
      <c r="N724" s="3">
        <v>0</v>
      </c>
      <c r="O724" s="9">
        <f>PRODUCT(Employee_Sample_Data_1[[#This Row],[Annual Salary]],Employee_Sample_Data_1[[#This Row],[Bonus %]])</f>
        <v>0</v>
      </c>
      <c r="P724" s="2">
        <f>ROUND(Employee_Sample_Data_1[[#This Row],[Annual Salary]]*(1+Employee_Sample_Data_1[[#This Row],[Bonus %]]), 0)</f>
        <v>87727</v>
      </c>
      <c r="Q724" t="s">
        <v>21</v>
      </c>
      <c r="R724" t="s">
        <v>67</v>
      </c>
      <c r="T724">
        <f ca="1">DATEDIF(Employee_Sample_Data_1[[#This Row],[Hire Date]], IF(Employee_Sample_Data_1[[#This Row],[Exit Date]] = "", TODAY(), Employee_Sample_Data_1[[#This Row],[Exit Date]]), "Y")</f>
        <v>14</v>
      </c>
    </row>
    <row r="725" spans="1:20" x14ac:dyDescent="0.25">
      <c r="A725" t="s">
        <v>1524</v>
      </c>
      <c r="B725" t="s">
        <v>1525</v>
      </c>
      <c r="C725" t="s">
        <v>224</v>
      </c>
      <c r="D725" t="s">
        <v>32</v>
      </c>
      <c r="E725" t="s">
        <v>18</v>
      </c>
      <c r="F725" t="s">
        <v>19</v>
      </c>
      <c r="G725" t="s">
        <v>40</v>
      </c>
      <c r="H725">
        <v>51</v>
      </c>
      <c r="I725" s="1">
        <v>43272</v>
      </c>
      <c r="J725" s="1" t="str">
        <f>TEXT(Employee_Sample_Data_1[[#This Row],[Hire Date]], "dddd")</f>
        <v>Thursday</v>
      </c>
      <c r="K725" s="1" t="str">
        <f>TEXT(Employee_Sample_Data_1[[#This Row],[Hire Date]], "mmmm")</f>
        <v>June</v>
      </c>
      <c r="L725" s="1" t="str">
        <f>TEXT(Employee_Sample_Data_1[[#This Row],[Hire Date]], "yyyy")</f>
        <v>2018</v>
      </c>
      <c r="M725" s="2">
        <v>87897</v>
      </c>
      <c r="N725" s="3">
        <v>0</v>
      </c>
      <c r="O725" s="9">
        <f>PRODUCT(Employee_Sample_Data_1[[#This Row],[Annual Salary]],Employee_Sample_Data_1[[#This Row],[Bonus %]])</f>
        <v>0</v>
      </c>
      <c r="P725" s="2">
        <f>ROUND(Employee_Sample_Data_1[[#This Row],[Annual Salary]]*(1+Employee_Sample_Data_1[[#This Row],[Bonus %]]), 0)</f>
        <v>87897</v>
      </c>
      <c r="Q725" t="s">
        <v>21</v>
      </c>
      <c r="R725" t="s">
        <v>48</v>
      </c>
      <c r="T725">
        <f ca="1">DATEDIF(Employee_Sample_Data_1[[#This Row],[Hire Date]], IF(Employee_Sample_Data_1[[#This Row],[Exit Date]] = "", TODAY(), Employee_Sample_Data_1[[#This Row],[Exit Date]]), "Y")</f>
        <v>7</v>
      </c>
    </row>
    <row r="726" spans="1:20" x14ac:dyDescent="0.25">
      <c r="A726" t="s">
        <v>1526</v>
      </c>
      <c r="B726" t="s">
        <v>1527</v>
      </c>
      <c r="C726" t="s">
        <v>38</v>
      </c>
      <c r="D726" t="s">
        <v>32</v>
      </c>
      <c r="E726" t="s">
        <v>33</v>
      </c>
      <c r="F726" t="s">
        <v>39</v>
      </c>
      <c r="G726" t="s">
        <v>20</v>
      </c>
      <c r="H726">
        <v>27</v>
      </c>
      <c r="I726" s="1">
        <v>44519</v>
      </c>
      <c r="J726" s="1" t="str">
        <f>TEXT(Employee_Sample_Data_1[[#This Row],[Hire Date]], "dddd")</f>
        <v>Friday</v>
      </c>
      <c r="K726" s="1" t="str">
        <f>TEXT(Employee_Sample_Data_1[[#This Row],[Hire Date]], "mmmm")</f>
        <v>November</v>
      </c>
      <c r="L726" s="1" t="str">
        <f>TEXT(Employee_Sample_Data_1[[#This Row],[Hire Date]], "yyyy")</f>
        <v>2021</v>
      </c>
      <c r="M726" s="2">
        <v>99612</v>
      </c>
      <c r="N726" s="3">
        <v>0</v>
      </c>
      <c r="O726" s="9">
        <f>PRODUCT(Employee_Sample_Data_1[[#This Row],[Annual Salary]],Employee_Sample_Data_1[[#This Row],[Bonus %]])</f>
        <v>0</v>
      </c>
      <c r="P726" s="2">
        <f>ROUND(Employee_Sample_Data_1[[#This Row],[Annual Salary]]*(1+Employee_Sample_Data_1[[#This Row],[Bonus %]]), 0)</f>
        <v>99612</v>
      </c>
      <c r="Q726" t="s">
        <v>34</v>
      </c>
      <c r="R726" t="s">
        <v>35</v>
      </c>
      <c r="T726">
        <f ca="1">DATEDIF(Employee_Sample_Data_1[[#This Row],[Hire Date]], IF(Employee_Sample_Data_1[[#This Row],[Exit Date]] = "", TODAY(), Employee_Sample_Data_1[[#This Row],[Exit Date]]), "Y")</f>
        <v>4</v>
      </c>
    </row>
    <row r="727" spans="1:20" x14ac:dyDescent="0.25">
      <c r="A727" t="s">
        <v>1528</v>
      </c>
      <c r="B727" t="s">
        <v>1529</v>
      </c>
      <c r="C727" t="s">
        <v>25</v>
      </c>
      <c r="D727" t="s">
        <v>52</v>
      </c>
      <c r="E727" t="s">
        <v>33</v>
      </c>
      <c r="F727" t="s">
        <v>39</v>
      </c>
      <c r="G727" t="s">
        <v>40</v>
      </c>
      <c r="H727">
        <v>33</v>
      </c>
      <c r="I727" s="1">
        <v>43551</v>
      </c>
      <c r="J727" s="1" t="str">
        <f>TEXT(Employee_Sample_Data_1[[#This Row],[Hire Date]], "dddd")</f>
        <v>Wednesday</v>
      </c>
      <c r="K727" s="1" t="str">
        <f>TEXT(Employee_Sample_Data_1[[#This Row],[Hire Date]], "mmmm")</f>
        <v>March</v>
      </c>
      <c r="L727" s="1" t="str">
        <f>TEXT(Employee_Sample_Data_1[[#This Row],[Hire Date]], "yyyy")</f>
        <v>2019</v>
      </c>
      <c r="M727" s="2">
        <v>56938</v>
      </c>
      <c r="N727" s="3">
        <v>0</v>
      </c>
      <c r="O727" s="9">
        <f>PRODUCT(Employee_Sample_Data_1[[#This Row],[Annual Salary]],Employee_Sample_Data_1[[#This Row],[Bonus %]])</f>
        <v>0</v>
      </c>
      <c r="P727" s="2">
        <f>ROUND(Employee_Sample_Data_1[[#This Row],[Annual Salary]]*(1+Employee_Sample_Data_1[[#This Row],[Bonus %]]), 0)</f>
        <v>56938</v>
      </c>
      <c r="Q727" t="s">
        <v>134</v>
      </c>
      <c r="R727" t="s">
        <v>180</v>
      </c>
      <c r="T727">
        <f ca="1">DATEDIF(Employee_Sample_Data_1[[#This Row],[Hire Date]], IF(Employee_Sample_Data_1[[#This Row],[Exit Date]] = "", TODAY(), Employee_Sample_Data_1[[#This Row],[Exit Date]]), "Y")</f>
        <v>7</v>
      </c>
    </row>
    <row r="728" spans="1:20" x14ac:dyDescent="0.25">
      <c r="A728" t="s">
        <v>1530</v>
      </c>
      <c r="B728" t="s">
        <v>1531</v>
      </c>
      <c r="C728" t="s">
        <v>229</v>
      </c>
      <c r="D728" t="s">
        <v>123</v>
      </c>
      <c r="E728" t="s">
        <v>27</v>
      </c>
      <c r="F728" t="s">
        <v>19</v>
      </c>
      <c r="G728" t="s">
        <v>63</v>
      </c>
      <c r="H728">
        <v>46</v>
      </c>
      <c r="I728" s="1">
        <v>40928</v>
      </c>
      <c r="J728" s="1" t="str">
        <f>TEXT(Employee_Sample_Data_1[[#This Row],[Hire Date]], "dddd")</f>
        <v>Friday</v>
      </c>
      <c r="K728" s="1" t="str">
        <f>TEXT(Employee_Sample_Data_1[[#This Row],[Hire Date]], "mmmm")</f>
        <v>January</v>
      </c>
      <c r="L728" s="1" t="str">
        <f>TEXT(Employee_Sample_Data_1[[#This Row],[Hire Date]], "yyyy")</f>
        <v>2012</v>
      </c>
      <c r="M728" s="2">
        <v>92247</v>
      </c>
      <c r="N728" s="3">
        <v>0</v>
      </c>
      <c r="O728" s="9">
        <f>PRODUCT(Employee_Sample_Data_1[[#This Row],[Annual Salary]],Employee_Sample_Data_1[[#This Row],[Bonus %]])</f>
        <v>0</v>
      </c>
      <c r="P728" s="2">
        <f>ROUND(Employee_Sample_Data_1[[#This Row],[Annual Salary]]*(1+Employee_Sample_Data_1[[#This Row],[Bonus %]]), 0)</f>
        <v>92247</v>
      </c>
      <c r="Q728" t="s">
        <v>21</v>
      </c>
      <c r="R728" t="s">
        <v>67</v>
      </c>
      <c r="T728">
        <f ca="1">DATEDIF(Employee_Sample_Data_1[[#This Row],[Hire Date]], IF(Employee_Sample_Data_1[[#This Row],[Exit Date]] = "", TODAY(), Employee_Sample_Data_1[[#This Row],[Exit Date]]), "Y")</f>
        <v>14</v>
      </c>
    </row>
    <row r="729" spans="1:20" x14ac:dyDescent="0.25">
      <c r="A729" t="s">
        <v>1532</v>
      </c>
      <c r="B729" t="s">
        <v>1533</v>
      </c>
      <c r="C729" t="s">
        <v>86</v>
      </c>
      <c r="D729" t="s">
        <v>123</v>
      </c>
      <c r="E729" t="s">
        <v>27</v>
      </c>
      <c r="F729" t="s">
        <v>39</v>
      </c>
      <c r="G729" t="s">
        <v>20</v>
      </c>
      <c r="H729">
        <v>51</v>
      </c>
      <c r="I729" s="1">
        <v>38642</v>
      </c>
      <c r="J729" s="1" t="str">
        <f>TEXT(Employee_Sample_Data_1[[#This Row],[Hire Date]], "dddd")</f>
        <v>Monday</v>
      </c>
      <c r="K729" s="1" t="str">
        <f>TEXT(Employee_Sample_Data_1[[#This Row],[Hire Date]], "mmmm")</f>
        <v>October</v>
      </c>
      <c r="L729" s="1" t="str">
        <f>TEXT(Employee_Sample_Data_1[[#This Row],[Hire Date]], "yyyy")</f>
        <v>2005</v>
      </c>
      <c r="M729" s="2">
        <v>193672</v>
      </c>
      <c r="N729" s="3">
        <v>0.36</v>
      </c>
      <c r="O729" s="9">
        <f>PRODUCT(Employee_Sample_Data_1[[#This Row],[Annual Salary]],Employee_Sample_Data_1[[#This Row],[Bonus %]])</f>
        <v>69721.919999999998</v>
      </c>
      <c r="P729" s="2">
        <f>ROUND(Employee_Sample_Data_1[[#This Row],[Annual Salary]]*(1+Employee_Sample_Data_1[[#This Row],[Bonus %]]), 0)</f>
        <v>263394</v>
      </c>
      <c r="Q729" t="s">
        <v>21</v>
      </c>
      <c r="R729" t="s">
        <v>22</v>
      </c>
      <c r="T729">
        <f ca="1">DATEDIF(Employee_Sample_Data_1[[#This Row],[Hire Date]], IF(Employee_Sample_Data_1[[#This Row],[Exit Date]] = "", TODAY(), Employee_Sample_Data_1[[#This Row],[Exit Date]]), "Y")</f>
        <v>20</v>
      </c>
    </row>
    <row r="730" spans="1:20" x14ac:dyDescent="0.25">
      <c r="A730" t="s">
        <v>1534</v>
      </c>
      <c r="B730" t="s">
        <v>1535</v>
      </c>
      <c r="C730" t="s">
        <v>70</v>
      </c>
      <c r="D730" t="s">
        <v>32</v>
      </c>
      <c r="E730" t="s">
        <v>18</v>
      </c>
      <c r="F730" t="s">
        <v>19</v>
      </c>
      <c r="G730" t="s">
        <v>20</v>
      </c>
      <c r="H730">
        <v>31</v>
      </c>
      <c r="I730" s="1">
        <v>43379</v>
      </c>
      <c r="J730" s="1" t="str">
        <f>TEXT(Employee_Sample_Data_1[[#This Row],[Hire Date]], "dddd")</f>
        <v>Saturday</v>
      </c>
      <c r="K730" s="1" t="str">
        <f>TEXT(Employee_Sample_Data_1[[#This Row],[Hire Date]], "mmmm")</f>
        <v>October</v>
      </c>
      <c r="L730" s="1" t="str">
        <f>TEXT(Employee_Sample_Data_1[[#This Row],[Hire Date]], "yyyy")</f>
        <v>2018</v>
      </c>
      <c r="M730" s="2">
        <v>46098</v>
      </c>
      <c r="N730" s="3">
        <v>0</v>
      </c>
      <c r="O730" s="9">
        <f>PRODUCT(Employee_Sample_Data_1[[#This Row],[Annual Salary]],Employee_Sample_Data_1[[#This Row],[Bonus %]])</f>
        <v>0</v>
      </c>
      <c r="P730" s="2">
        <f>ROUND(Employee_Sample_Data_1[[#This Row],[Annual Salary]]*(1+Employee_Sample_Data_1[[#This Row],[Bonus %]]), 0)</f>
        <v>46098</v>
      </c>
      <c r="Q730" t="s">
        <v>34</v>
      </c>
      <c r="R730" t="s">
        <v>35</v>
      </c>
      <c r="T730">
        <f ca="1">DATEDIF(Employee_Sample_Data_1[[#This Row],[Hire Date]], IF(Employee_Sample_Data_1[[#This Row],[Exit Date]] = "", TODAY(), Employee_Sample_Data_1[[#This Row],[Exit Date]]), "Y")</f>
        <v>7</v>
      </c>
    </row>
    <row r="731" spans="1:20" x14ac:dyDescent="0.25">
      <c r="A731" t="s">
        <v>1536</v>
      </c>
      <c r="B731" t="s">
        <v>1537</v>
      </c>
      <c r="C731" t="s">
        <v>86</v>
      </c>
      <c r="D731" t="s">
        <v>26</v>
      </c>
      <c r="E731" t="s">
        <v>18</v>
      </c>
      <c r="F731" t="s">
        <v>19</v>
      </c>
      <c r="G731" t="s">
        <v>63</v>
      </c>
      <c r="H731">
        <v>45</v>
      </c>
      <c r="I731" s="1">
        <v>41966</v>
      </c>
      <c r="J731" s="1" t="str">
        <f>TEXT(Employee_Sample_Data_1[[#This Row],[Hire Date]], "dddd")</f>
        <v>Sunday</v>
      </c>
      <c r="K731" s="1" t="str">
        <f>TEXT(Employee_Sample_Data_1[[#This Row],[Hire Date]], "mmmm")</f>
        <v>November</v>
      </c>
      <c r="L731" s="1" t="str">
        <f>TEXT(Employee_Sample_Data_1[[#This Row],[Hire Date]], "yyyy")</f>
        <v>2014</v>
      </c>
      <c r="M731" s="2">
        <v>239980</v>
      </c>
      <c r="N731" s="3">
        <v>0.31</v>
      </c>
      <c r="O731" s="9">
        <f>PRODUCT(Employee_Sample_Data_1[[#This Row],[Annual Salary]],Employee_Sample_Data_1[[#This Row],[Bonus %]])</f>
        <v>74393.8</v>
      </c>
      <c r="P731" s="2">
        <f>ROUND(Employee_Sample_Data_1[[#This Row],[Annual Salary]]*(1+Employee_Sample_Data_1[[#This Row],[Bonus %]]), 0)</f>
        <v>314374</v>
      </c>
      <c r="Q731" t="s">
        <v>21</v>
      </c>
      <c r="R731" t="s">
        <v>45</v>
      </c>
      <c r="T731">
        <f ca="1">DATEDIF(Employee_Sample_Data_1[[#This Row],[Hire Date]], IF(Employee_Sample_Data_1[[#This Row],[Exit Date]] = "", TODAY(), Employee_Sample_Data_1[[#This Row],[Exit Date]]), "Y")</f>
        <v>11</v>
      </c>
    </row>
    <row r="732" spans="1:20" x14ac:dyDescent="0.25">
      <c r="A732" t="s">
        <v>1538</v>
      </c>
      <c r="B732" t="s">
        <v>1539</v>
      </c>
      <c r="C732" t="s">
        <v>66</v>
      </c>
      <c r="D732" t="s">
        <v>58</v>
      </c>
      <c r="E732" t="s">
        <v>27</v>
      </c>
      <c r="F732" t="s">
        <v>19</v>
      </c>
      <c r="G732" t="s">
        <v>20</v>
      </c>
      <c r="H732">
        <v>38</v>
      </c>
      <c r="I732" s="1">
        <v>40737</v>
      </c>
      <c r="J732" s="1" t="str">
        <f>TEXT(Employee_Sample_Data_1[[#This Row],[Hire Date]], "dddd")</f>
        <v>Wednesday</v>
      </c>
      <c r="K732" s="1" t="str">
        <f>TEXT(Employee_Sample_Data_1[[#This Row],[Hire Date]], "mmmm")</f>
        <v>July</v>
      </c>
      <c r="L732" s="1" t="str">
        <f>TEXT(Employee_Sample_Data_1[[#This Row],[Hire Date]], "yyyy")</f>
        <v>2011</v>
      </c>
      <c r="M732" s="2">
        <v>121546</v>
      </c>
      <c r="N732" s="3">
        <v>0.1</v>
      </c>
      <c r="O732" s="9">
        <f>PRODUCT(Employee_Sample_Data_1[[#This Row],[Annual Salary]],Employee_Sample_Data_1[[#This Row],[Bonus %]])</f>
        <v>12154.6</v>
      </c>
      <c r="P732" s="2">
        <f>ROUND(Employee_Sample_Data_1[[#This Row],[Annual Salary]]*(1+Employee_Sample_Data_1[[#This Row],[Bonus %]]), 0)</f>
        <v>133701</v>
      </c>
      <c r="Q732" t="s">
        <v>34</v>
      </c>
      <c r="R732" t="s">
        <v>35</v>
      </c>
      <c r="T732">
        <f ca="1">DATEDIF(Employee_Sample_Data_1[[#This Row],[Hire Date]], IF(Employee_Sample_Data_1[[#This Row],[Exit Date]] = "", TODAY(), Employee_Sample_Data_1[[#This Row],[Exit Date]]), "Y")</f>
        <v>14</v>
      </c>
    </row>
    <row r="733" spans="1:20" x14ac:dyDescent="0.25">
      <c r="A733" t="s">
        <v>1540</v>
      </c>
      <c r="B733" t="s">
        <v>1541</v>
      </c>
      <c r="C733" t="s">
        <v>66</v>
      </c>
      <c r="D733" t="s">
        <v>52</v>
      </c>
      <c r="E733" t="s">
        <v>53</v>
      </c>
      <c r="F733" t="s">
        <v>39</v>
      </c>
      <c r="G733" t="s">
        <v>40</v>
      </c>
      <c r="H733">
        <v>42</v>
      </c>
      <c r="I733" s="1">
        <v>40229</v>
      </c>
      <c r="J733" s="1" t="str">
        <f>TEXT(Employee_Sample_Data_1[[#This Row],[Hire Date]], "dddd")</f>
        <v>Saturday</v>
      </c>
      <c r="K733" s="1" t="str">
        <f>TEXT(Employee_Sample_Data_1[[#This Row],[Hire Date]], "mmmm")</f>
        <v>February</v>
      </c>
      <c r="L733" s="1" t="str">
        <f>TEXT(Employee_Sample_Data_1[[#This Row],[Hire Date]], "yyyy")</f>
        <v>2010</v>
      </c>
      <c r="M733" s="2">
        <v>128714</v>
      </c>
      <c r="N733" s="3">
        <v>7.0000000000000007E-2</v>
      </c>
      <c r="O733" s="9">
        <f>PRODUCT(Employee_Sample_Data_1[[#This Row],[Annual Salary]],Employee_Sample_Data_1[[#This Row],[Bonus %]])</f>
        <v>9009.9800000000014</v>
      </c>
      <c r="P733" s="2">
        <f>ROUND(Employee_Sample_Data_1[[#This Row],[Annual Salary]]*(1+Employee_Sample_Data_1[[#This Row],[Bonus %]]), 0)</f>
        <v>137724</v>
      </c>
      <c r="Q733" t="s">
        <v>134</v>
      </c>
      <c r="R733" t="s">
        <v>180</v>
      </c>
      <c r="T733">
        <f ca="1">DATEDIF(Employee_Sample_Data_1[[#This Row],[Hire Date]], IF(Employee_Sample_Data_1[[#This Row],[Exit Date]] = "", TODAY(), Employee_Sample_Data_1[[#This Row],[Exit Date]]), "Y")</f>
        <v>16</v>
      </c>
    </row>
    <row r="734" spans="1:20" x14ac:dyDescent="0.25">
      <c r="A734" t="s">
        <v>1542</v>
      </c>
      <c r="B734" t="s">
        <v>1543</v>
      </c>
      <c r="C734" t="s">
        <v>405</v>
      </c>
      <c r="D734" t="s">
        <v>17</v>
      </c>
      <c r="E734" t="s">
        <v>18</v>
      </c>
      <c r="F734" t="s">
        <v>19</v>
      </c>
      <c r="G734" t="s">
        <v>40</v>
      </c>
      <c r="H734">
        <v>43</v>
      </c>
      <c r="I734" s="1">
        <v>43356</v>
      </c>
      <c r="J734" s="1" t="str">
        <f>TEXT(Employee_Sample_Data_1[[#This Row],[Hire Date]], "dddd")</f>
        <v>Thursday</v>
      </c>
      <c r="K734" s="1" t="str">
        <f>TEXT(Employee_Sample_Data_1[[#This Row],[Hire Date]], "mmmm")</f>
        <v>September</v>
      </c>
      <c r="L734" s="1" t="str">
        <f>TEXT(Employee_Sample_Data_1[[#This Row],[Hire Date]], "yyyy")</f>
        <v>2018</v>
      </c>
      <c r="M734" s="2">
        <v>91537</v>
      </c>
      <c r="N734" s="3">
        <v>0</v>
      </c>
      <c r="O734" s="9">
        <f>PRODUCT(Employee_Sample_Data_1[[#This Row],[Annual Salary]],Employee_Sample_Data_1[[#This Row],[Bonus %]])</f>
        <v>0</v>
      </c>
      <c r="P734" s="2">
        <f>ROUND(Employee_Sample_Data_1[[#This Row],[Annual Salary]]*(1+Employee_Sample_Data_1[[#This Row],[Bonus %]]), 0)</f>
        <v>91537</v>
      </c>
      <c r="Q734" t="s">
        <v>21</v>
      </c>
      <c r="R734" t="s">
        <v>28</v>
      </c>
      <c r="T734">
        <f ca="1">DATEDIF(Employee_Sample_Data_1[[#This Row],[Hire Date]], IF(Employee_Sample_Data_1[[#This Row],[Exit Date]] = "", TODAY(), Employee_Sample_Data_1[[#This Row],[Exit Date]]), "Y")</f>
        <v>7</v>
      </c>
    </row>
    <row r="735" spans="1:20" x14ac:dyDescent="0.25">
      <c r="A735" t="s">
        <v>1544</v>
      </c>
      <c r="B735" t="s">
        <v>1545</v>
      </c>
      <c r="C735" t="s">
        <v>44</v>
      </c>
      <c r="D735" t="s">
        <v>32</v>
      </c>
      <c r="E735" t="s">
        <v>27</v>
      </c>
      <c r="F735" t="s">
        <v>19</v>
      </c>
      <c r="G735" t="s">
        <v>63</v>
      </c>
      <c r="H735">
        <v>28</v>
      </c>
      <c r="I735" s="1">
        <v>43958</v>
      </c>
      <c r="J735" s="1" t="str">
        <f>TEXT(Employee_Sample_Data_1[[#This Row],[Hire Date]], "dddd")</f>
        <v>Thursday</v>
      </c>
      <c r="K735" s="1" t="str">
        <f>TEXT(Employee_Sample_Data_1[[#This Row],[Hire Date]], "mmmm")</f>
        <v>May</v>
      </c>
      <c r="L735" s="1" t="str">
        <f>TEXT(Employee_Sample_Data_1[[#This Row],[Hire Date]], "yyyy")</f>
        <v>2020</v>
      </c>
      <c r="M735" s="2">
        <v>178300</v>
      </c>
      <c r="N735" s="3">
        <v>0.24</v>
      </c>
      <c r="O735" s="9">
        <f>PRODUCT(Employee_Sample_Data_1[[#This Row],[Annual Salary]],Employee_Sample_Data_1[[#This Row],[Bonus %]])</f>
        <v>42792</v>
      </c>
      <c r="P735" s="2">
        <f>ROUND(Employee_Sample_Data_1[[#This Row],[Annual Salary]]*(1+Employee_Sample_Data_1[[#This Row],[Bonus %]]), 0)</f>
        <v>221092</v>
      </c>
      <c r="Q735" t="s">
        <v>21</v>
      </c>
      <c r="R735" t="s">
        <v>45</v>
      </c>
      <c r="S735" s="1">
        <v>44951</v>
      </c>
      <c r="T735">
        <f ca="1">DATEDIF(Employee_Sample_Data_1[[#This Row],[Hire Date]], IF(Employee_Sample_Data_1[[#This Row],[Exit Date]] = "", TODAY(), Employee_Sample_Data_1[[#This Row],[Exit Date]]), "Y")</f>
        <v>2</v>
      </c>
    </row>
    <row r="736" spans="1:20" x14ac:dyDescent="0.25">
      <c r="A736" t="s">
        <v>1546</v>
      </c>
      <c r="B736" t="s">
        <v>1547</v>
      </c>
      <c r="C736" t="s">
        <v>57</v>
      </c>
      <c r="D736" t="s">
        <v>58</v>
      </c>
      <c r="E736" t="s">
        <v>33</v>
      </c>
      <c r="F736" t="s">
        <v>39</v>
      </c>
      <c r="G736" t="s">
        <v>20</v>
      </c>
      <c r="H736">
        <v>57</v>
      </c>
      <c r="I736" s="1">
        <v>43241</v>
      </c>
      <c r="J736" s="1" t="str">
        <f>TEXT(Employee_Sample_Data_1[[#This Row],[Hire Date]], "dddd")</f>
        <v>Monday</v>
      </c>
      <c r="K736" s="1" t="str">
        <f>TEXT(Employee_Sample_Data_1[[#This Row],[Hire Date]], "mmmm")</f>
        <v>May</v>
      </c>
      <c r="L736" s="1" t="str">
        <f>TEXT(Employee_Sample_Data_1[[#This Row],[Hire Date]], "yyyy")</f>
        <v>2018</v>
      </c>
      <c r="M736" s="2">
        <v>50260</v>
      </c>
      <c r="N736" s="3">
        <v>0</v>
      </c>
      <c r="O736" s="9">
        <f>PRODUCT(Employee_Sample_Data_1[[#This Row],[Annual Salary]],Employee_Sample_Data_1[[#This Row],[Bonus %]])</f>
        <v>0</v>
      </c>
      <c r="P736" s="2">
        <f>ROUND(Employee_Sample_Data_1[[#This Row],[Annual Salary]]*(1+Employee_Sample_Data_1[[#This Row],[Bonus %]]), 0)</f>
        <v>50260</v>
      </c>
      <c r="Q736" t="s">
        <v>34</v>
      </c>
      <c r="R736" t="s">
        <v>59</v>
      </c>
      <c r="T736">
        <f ca="1">DATEDIF(Employee_Sample_Data_1[[#This Row],[Hire Date]], IF(Employee_Sample_Data_1[[#This Row],[Exit Date]] = "", TODAY(), Employee_Sample_Data_1[[#This Row],[Exit Date]]), "Y")</f>
        <v>8</v>
      </c>
    </row>
    <row r="737" spans="1:20" x14ac:dyDescent="0.25">
      <c r="A737" t="s">
        <v>1548</v>
      </c>
      <c r="B737" t="s">
        <v>1549</v>
      </c>
      <c r="C737" t="s">
        <v>44</v>
      </c>
      <c r="D737" t="s">
        <v>17</v>
      </c>
      <c r="E737" t="s">
        <v>33</v>
      </c>
      <c r="F737" t="s">
        <v>19</v>
      </c>
      <c r="G737" t="s">
        <v>20</v>
      </c>
      <c r="H737">
        <v>33</v>
      </c>
      <c r="I737" s="1">
        <v>42588</v>
      </c>
      <c r="J737" s="1" t="str">
        <f>TEXT(Employee_Sample_Data_1[[#This Row],[Hire Date]], "dddd")</f>
        <v>Saturday</v>
      </c>
      <c r="K737" s="1" t="str">
        <f>TEXT(Employee_Sample_Data_1[[#This Row],[Hire Date]], "mmmm")</f>
        <v>August</v>
      </c>
      <c r="L737" s="1" t="str">
        <f>TEXT(Employee_Sample_Data_1[[#This Row],[Hire Date]], "yyyy")</f>
        <v>2016</v>
      </c>
      <c r="M737" s="2">
        <v>161800</v>
      </c>
      <c r="N737" s="3">
        <v>0.19</v>
      </c>
      <c r="O737" s="9">
        <f>PRODUCT(Employee_Sample_Data_1[[#This Row],[Annual Salary]],Employee_Sample_Data_1[[#This Row],[Bonus %]])</f>
        <v>30742</v>
      </c>
      <c r="P737" s="2">
        <f>ROUND(Employee_Sample_Data_1[[#This Row],[Annual Salary]]*(1+Employee_Sample_Data_1[[#This Row],[Bonus %]]), 0)</f>
        <v>192542</v>
      </c>
      <c r="Q737" t="s">
        <v>34</v>
      </c>
      <c r="R737" t="s">
        <v>54</v>
      </c>
      <c r="T737">
        <f ca="1">DATEDIF(Employee_Sample_Data_1[[#This Row],[Hire Date]], IF(Employee_Sample_Data_1[[#This Row],[Exit Date]] = "", TODAY(), Employee_Sample_Data_1[[#This Row],[Exit Date]]), "Y")</f>
        <v>9</v>
      </c>
    </row>
    <row r="738" spans="1:20" x14ac:dyDescent="0.25">
      <c r="A738" t="s">
        <v>1550</v>
      </c>
      <c r="B738" t="s">
        <v>1551</v>
      </c>
      <c r="C738" t="s">
        <v>80</v>
      </c>
      <c r="D738" t="s">
        <v>58</v>
      </c>
      <c r="E738" t="s">
        <v>27</v>
      </c>
      <c r="F738" t="s">
        <v>19</v>
      </c>
      <c r="G738" t="s">
        <v>20</v>
      </c>
      <c r="H738">
        <v>32</v>
      </c>
      <c r="I738" s="1">
        <v>44113</v>
      </c>
      <c r="J738" s="1" t="str">
        <f>TEXT(Employee_Sample_Data_1[[#This Row],[Hire Date]], "dddd")</f>
        <v>Friday</v>
      </c>
      <c r="K738" s="1" t="str">
        <f>TEXT(Employee_Sample_Data_1[[#This Row],[Hire Date]], "mmmm")</f>
        <v>October</v>
      </c>
      <c r="L738" s="1" t="str">
        <f>TEXT(Employee_Sample_Data_1[[#This Row],[Hire Date]], "yyyy")</f>
        <v>2020</v>
      </c>
      <c r="M738" s="2">
        <v>157616</v>
      </c>
      <c r="N738" s="3">
        <v>0.1</v>
      </c>
      <c r="O738" s="9">
        <f>PRODUCT(Employee_Sample_Data_1[[#This Row],[Annual Salary]],Employee_Sample_Data_1[[#This Row],[Bonus %]])</f>
        <v>15761.6</v>
      </c>
      <c r="P738" s="2">
        <f>ROUND(Employee_Sample_Data_1[[#This Row],[Annual Salary]]*(1+Employee_Sample_Data_1[[#This Row],[Bonus %]]), 0)</f>
        <v>173378</v>
      </c>
      <c r="Q738" t="s">
        <v>34</v>
      </c>
      <c r="R738" t="s">
        <v>35</v>
      </c>
      <c r="T738">
        <f ca="1">DATEDIF(Employee_Sample_Data_1[[#This Row],[Hire Date]], IF(Employee_Sample_Data_1[[#This Row],[Exit Date]] = "", TODAY(), Employee_Sample_Data_1[[#This Row],[Exit Date]]), "Y")</f>
        <v>5</v>
      </c>
    </row>
    <row r="739" spans="1:20" x14ac:dyDescent="0.25">
      <c r="A739" t="s">
        <v>1552</v>
      </c>
      <c r="B739" t="s">
        <v>1553</v>
      </c>
      <c r="C739" t="s">
        <v>410</v>
      </c>
      <c r="D739" t="s">
        <v>17</v>
      </c>
      <c r="E739" t="s">
        <v>27</v>
      </c>
      <c r="F739" t="s">
        <v>19</v>
      </c>
      <c r="G739" t="s">
        <v>20</v>
      </c>
      <c r="H739">
        <v>45</v>
      </c>
      <c r="I739" s="1">
        <v>39801</v>
      </c>
      <c r="J739" s="1" t="str">
        <f>TEXT(Employee_Sample_Data_1[[#This Row],[Hire Date]], "dddd")</f>
        <v>Friday</v>
      </c>
      <c r="K739" s="1" t="str">
        <f>TEXT(Employee_Sample_Data_1[[#This Row],[Hire Date]], "mmmm")</f>
        <v>December</v>
      </c>
      <c r="L739" s="1" t="str">
        <f>TEXT(Employee_Sample_Data_1[[#This Row],[Hire Date]], "yyyy")</f>
        <v>2008</v>
      </c>
      <c r="M739" s="2">
        <v>82697</v>
      </c>
      <c r="N739" s="3">
        <v>0</v>
      </c>
      <c r="O739" s="9">
        <f>PRODUCT(Employee_Sample_Data_1[[#This Row],[Annual Salary]],Employee_Sample_Data_1[[#This Row],[Bonus %]])</f>
        <v>0</v>
      </c>
      <c r="P739" s="2">
        <f>ROUND(Employee_Sample_Data_1[[#This Row],[Annual Salary]]*(1+Employee_Sample_Data_1[[#This Row],[Bonus %]]), 0)</f>
        <v>82697</v>
      </c>
      <c r="Q739" t="s">
        <v>34</v>
      </c>
      <c r="R739" t="s">
        <v>108</v>
      </c>
      <c r="T739">
        <f ca="1">DATEDIF(Employee_Sample_Data_1[[#This Row],[Hire Date]], IF(Employee_Sample_Data_1[[#This Row],[Exit Date]] = "", TODAY(), Employee_Sample_Data_1[[#This Row],[Exit Date]]), "Y")</f>
        <v>17</v>
      </c>
    </row>
    <row r="740" spans="1:20" x14ac:dyDescent="0.25">
      <c r="A740" t="s">
        <v>1554</v>
      </c>
      <c r="B740" t="s">
        <v>1555</v>
      </c>
      <c r="C740" t="s">
        <v>80</v>
      </c>
      <c r="D740" t="s">
        <v>32</v>
      </c>
      <c r="E740" t="s">
        <v>27</v>
      </c>
      <c r="F740" t="s">
        <v>39</v>
      </c>
      <c r="G740" t="s">
        <v>20</v>
      </c>
      <c r="H740">
        <v>33</v>
      </c>
      <c r="I740" s="1">
        <v>43364</v>
      </c>
      <c r="J740" s="1" t="str">
        <f>TEXT(Employee_Sample_Data_1[[#This Row],[Hire Date]], "dddd")</f>
        <v>Friday</v>
      </c>
      <c r="K740" s="1" t="str">
        <f>TEXT(Employee_Sample_Data_1[[#This Row],[Hire Date]], "mmmm")</f>
        <v>September</v>
      </c>
      <c r="L740" s="1" t="str">
        <f>TEXT(Employee_Sample_Data_1[[#This Row],[Hire Date]], "yyyy")</f>
        <v>2018</v>
      </c>
      <c r="M740" s="2">
        <v>124404</v>
      </c>
      <c r="N740" s="3">
        <v>0.12</v>
      </c>
      <c r="O740" s="9">
        <f>PRODUCT(Employee_Sample_Data_1[[#This Row],[Annual Salary]],Employee_Sample_Data_1[[#This Row],[Bonus %]])</f>
        <v>14928.48</v>
      </c>
      <c r="P740" s="2">
        <f>ROUND(Employee_Sample_Data_1[[#This Row],[Annual Salary]]*(1+Employee_Sample_Data_1[[#This Row],[Bonus %]]), 0)</f>
        <v>139332</v>
      </c>
      <c r="Q740" t="s">
        <v>34</v>
      </c>
      <c r="R740" t="s">
        <v>54</v>
      </c>
      <c r="T740">
        <f ca="1">DATEDIF(Employee_Sample_Data_1[[#This Row],[Hire Date]], IF(Employee_Sample_Data_1[[#This Row],[Exit Date]] = "", TODAY(), Employee_Sample_Data_1[[#This Row],[Exit Date]]), "Y")</f>
        <v>7</v>
      </c>
    </row>
    <row r="741" spans="1:20" x14ac:dyDescent="0.25">
      <c r="A741" t="s">
        <v>1556</v>
      </c>
      <c r="B741" t="s">
        <v>1557</v>
      </c>
      <c r="C741" t="s">
        <v>80</v>
      </c>
      <c r="D741" t="s">
        <v>32</v>
      </c>
      <c r="E741" t="s">
        <v>53</v>
      </c>
      <c r="F741" t="s">
        <v>19</v>
      </c>
      <c r="G741" t="s">
        <v>20</v>
      </c>
      <c r="H741">
        <v>43</v>
      </c>
      <c r="I741" s="1">
        <v>40998</v>
      </c>
      <c r="J741" s="1" t="str">
        <f>TEXT(Employee_Sample_Data_1[[#This Row],[Hire Date]], "dddd")</f>
        <v>Friday</v>
      </c>
      <c r="K741" s="1" t="str">
        <f>TEXT(Employee_Sample_Data_1[[#This Row],[Hire Date]], "mmmm")</f>
        <v>March</v>
      </c>
      <c r="L741" s="1" t="str">
        <f>TEXT(Employee_Sample_Data_1[[#This Row],[Hire Date]], "yyyy")</f>
        <v>2012</v>
      </c>
      <c r="M741" s="2">
        <v>158750</v>
      </c>
      <c r="N741" s="3">
        <v>0.12</v>
      </c>
      <c r="O741" s="9">
        <f>PRODUCT(Employee_Sample_Data_1[[#This Row],[Annual Salary]],Employee_Sample_Data_1[[#This Row],[Bonus %]])</f>
        <v>19050</v>
      </c>
      <c r="P741" s="2">
        <f>ROUND(Employee_Sample_Data_1[[#This Row],[Annual Salary]]*(1+Employee_Sample_Data_1[[#This Row],[Bonus %]]), 0)</f>
        <v>177800</v>
      </c>
      <c r="Q741" t="s">
        <v>34</v>
      </c>
      <c r="R741" t="s">
        <v>54</v>
      </c>
      <c r="T741">
        <f ca="1">DATEDIF(Employee_Sample_Data_1[[#This Row],[Hire Date]], IF(Employee_Sample_Data_1[[#This Row],[Exit Date]] = "", TODAY(), Employee_Sample_Data_1[[#This Row],[Exit Date]]), "Y")</f>
        <v>14</v>
      </c>
    </row>
    <row r="742" spans="1:20" x14ac:dyDescent="0.25">
      <c r="A742" t="s">
        <v>1558</v>
      </c>
      <c r="B742" t="s">
        <v>1559</v>
      </c>
      <c r="C742" t="s">
        <v>57</v>
      </c>
      <c r="D742" t="s">
        <v>26</v>
      </c>
      <c r="E742" t="s">
        <v>18</v>
      </c>
      <c r="F742" t="s">
        <v>39</v>
      </c>
      <c r="G742" t="s">
        <v>63</v>
      </c>
      <c r="H742">
        <v>62</v>
      </c>
      <c r="I742" s="1">
        <v>42316</v>
      </c>
      <c r="J742" s="1" t="str">
        <f>TEXT(Employee_Sample_Data_1[[#This Row],[Hire Date]], "dddd")</f>
        <v>Sunday</v>
      </c>
      <c r="K742" s="1" t="str">
        <f>TEXT(Employee_Sample_Data_1[[#This Row],[Hire Date]], "mmmm")</f>
        <v>November</v>
      </c>
      <c r="L742" s="1" t="str">
        <f>TEXT(Employee_Sample_Data_1[[#This Row],[Hire Date]], "yyyy")</f>
        <v>2015</v>
      </c>
      <c r="M742" s="2">
        <v>69057</v>
      </c>
      <c r="N742" s="3">
        <v>0</v>
      </c>
      <c r="O742" s="9">
        <f>PRODUCT(Employee_Sample_Data_1[[#This Row],[Annual Salary]],Employee_Sample_Data_1[[#This Row],[Bonus %]])</f>
        <v>0</v>
      </c>
      <c r="P742" s="2">
        <f>ROUND(Employee_Sample_Data_1[[#This Row],[Annual Salary]]*(1+Employee_Sample_Data_1[[#This Row],[Bonus %]]), 0)</f>
        <v>69057</v>
      </c>
      <c r="Q742" t="s">
        <v>21</v>
      </c>
      <c r="R742" t="s">
        <v>28</v>
      </c>
      <c r="T742">
        <f ca="1">DATEDIF(Employee_Sample_Data_1[[#This Row],[Hire Date]], IF(Employee_Sample_Data_1[[#This Row],[Exit Date]] = "", TODAY(), Employee_Sample_Data_1[[#This Row],[Exit Date]]), "Y")</f>
        <v>10</v>
      </c>
    </row>
    <row r="743" spans="1:20" x14ac:dyDescent="0.25">
      <c r="A743" t="s">
        <v>1560</v>
      </c>
      <c r="B743" t="s">
        <v>1561</v>
      </c>
      <c r="C743" t="s">
        <v>80</v>
      </c>
      <c r="D743" t="s">
        <v>77</v>
      </c>
      <c r="E743" t="s">
        <v>53</v>
      </c>
      <c r="F743" t="s">
        <v>39</v>
      </c>
      <c r="G743" t="s">
        <v>40</v>
      </c>
      <c r="H743">
        <v>36</v>
      </c>
      <c r="I743" s="1">
        <v>43473</v>
      </c>
      <c r="J743" s="1" t="str">
        <f>TEXT(Employee_Sample_Data_1[[#This Row],[Hire Date]], "dddd")</f>
        <v>Tuesday</v>
      </c>
      <c r="K743" s="1" t="str">
        <f>TEXT(Employee_Sample_Data_1[[#This Row],[Hire Date]], "mmmm")</f>
        <v>January</v>
      </c>
      <c r="L743" s="1" t="str">
        <f>TEXT(Employee_Sample_Data_1[[#This Row],[Hire Date]], "yyyy")</f>
        <v>2019</v>
      </c>
      <c r="M743" s="2">
        <v>157976</v>
      </c>
      <c r="N743" s="3">
        <v>0.1</v>
      </c>
      <c r="O743" s="9">
        <f>PRODUCT(Employee_Sample_Data_1[[#This Row],[Annual Salary]],Employee_Sample_Data_1[[#This Row],[Bonus %]])</f>
        <v>15797.6</v>
      </c>
      <c r="P743" s="2">
        <f>ROUND(Employee_Sample_Data_1[[#This Row],[Annual Salary]]*(1+Employee_Sample_Data_1[[#This Row],[Bonus %]]), 0)</f>
        <v>173774</v>
      </c>
      <c r="Q743" t="s">
        <v>134</v>
      </c>
      <c r="R743" t="s">
        <v>135</v>
      </c>
      <c r="T743">
        <f ca="1">DATEDIF(Employee_Sample_Data_1[[#This Row],[Hire Date]], IF(Employee_Sample_Data_1[[#This Row],[Exit Date]] = "", TODAY(), Employee_Sample_Data_1[[#This Row],[Exit Date]]), "Y")</f>
        <v>7</v>
      </c>
    </row>
    <row r="744" spans="1:20" x14ac:dyDescent="0.25">
      <c r="A744" t="s">
        <v>1562</v>
      </c>
      <c r="B744" t="s">
        <v>1563</v>
      </c>
      <c r="C744" t="s">
        <v>25</v>
      </c>
      <c r="D744" t="s">
        <v>26</v>
      </c>
      <c r="E744" t="s">
        <v>27</v>
      </c>
      <c r="F744" t="s">
        <v>39</v>
      </c>
      <c r="G744" t="s">
        <v>40</v>
      </c>
      <c r="H744">
        <v>36</v>
      </c>
      <c r="I744" s="1">
        <v>44010</v>
      </c>
      <c r="J744" s="1" t="str">
        <f>TEXT(Employee_Sample_Data_1[[#This Row],[Hire Date]], "dddd")</f>
        <v>Sunday</v>
      </c>
      <c r="K744" s="1" t="str">
        <f>TEXT(Employee_Sample_Data_1[[#This Row],[Hire Date]], "mmmm")</f>
        <v>June</v>
      </c>
      <c r="L744" s="1" t="str">
        <f>TEXT(Employee_Sample_Data_1[[#This Row],[Hire Date]], "yyyy")</f>
        <v>2020</v>
      </c>
      <c r="M744" s="2">
        <v>54355</v>
      </c>
      <c r="N744" s="3">
        <v>0</v>
      </c>
      <c r="O744" s="9">
        <f>PRODUCT(Employee_Sample_Data_1[[#This Row],[Annual Salary]],Employee_Sample_Data_1[[#This Row],[Bonus %]])</f>
        <v>0</v>
      </c>
      <c r="P744" s="2">
        <f>ROUND(Employee_Sample_Data_1[[#This Row],[Annual Salary]]*(1+Employee_Sample_Data_1[[#This Row],[Bonus %]]), 0)</f>
        <v>54355</v>
      </c>
      <c r="Q744" t="s">
        <v>21</v>
      </c>
      <c r="R744" t="s">
        <v>48</v>
      </c>
      <c r="T744">
        <f ca="1">DATEDIF(Employee_Sample_Data_1[[#This Row],[Hire Date]], IF(Employee_Sample_Data_1[[#This Row],[Exit Date]] = "", TODAY(), Employee_Sample_Data_1[[#This Row],[Exit Date]]), "Y")</f>
        <v>5</v>
      </c>
    </row>
    <row r="745" spans="1:20" x14ac:dyDescent="0.25">
      <c r="A745" t="s">
        <v>1564</v>
      </c>
      <c r="B745" t="s">
        <v>1565</v>
      </c>
      <c r="C745" t="s">
        <v>289</v>
      </c>
      <c r="D745" t="s">
        <v>17</v>
      </c>
      <c r="E745" t="s">
        <v>18</v>
      </c>
      <c r="F745" t="s">
        <v>39</v>
      </c>
      <c r="G745" t="s">
        <v>20</v>
      </c>
      <c r="H745">
        <v>31</v>
      </c>
      <c r="I745" s="1">
        <v>44751</v>
      </c>
      <c r="J745" s="1" t="str">
        <f>TEXT(Employee_Sample_Data_1[[#This Row],[Hire Date]], "dddd")</f>
        <v>Saturday</v>
      </c>
      <c r="K745" s="1" t="str">
        <f>TEXT(Employee_Sample_Data_1[[#This Row],[Hire Date]], "mmmm")</f>
        <v>July</v>
      </c>
      <c r="L745" s="1" t="str">
        <f>TEXT(Employee_Sample_Data_1[[#This Row],[Hire Date]], "yyyy")</f>
        <v>2022</v>
      </c>
      <c r="M745" s="2">
        <v>72475</v>
      </c>
      <c r="N745" s="3">
        <v>0</v>
      </c>
      <c r="O745" s="9">
        <f>PRODUCT(Employee_Sample_Data_1[[#This Row],[Annual Salary]],Employee_Sample_Data_1[[#This Row],[Bonus %]])</f>
        <v>0</v>
      </c>
      <c r="P745" s="2">
        <f>ROUND(Employee_Sample_Data_1[[#This Row],[Annual Salary]]*(1+Employee_Sample_Data_1[[#This Row],[Bonus %]]), 0)</f>
        <v>72475</v>
      </c>
      <c r="Q745" t="s">
        <v>21</v>
      </c>
      <c r="R745" t="s">
        <v>48</v>
      </c>
      <c r="T745">
        <f ca="1">DATEDIF(Employee_Sample_Data_1[[#This Row],[Hire Date]], IF(Employee_Sample_Data_1[[#This Row],[Exit Date]] = "", TODAY(), Employee_Sample_Data_1[[#This Row],[Exit Date]]), "Y")</f>
        <v>3</v>
      </c>
    </row>
    <row r="746" spans="1:20" x14ac:dyDescent="0.25">
      <c r="A746" t="s">
        <v>1566</v>
      </c>
      <c r="B746" t="s">
        <v>1567</v>
      </c>
      <c r="C746" t="s">
        <v>265</v>
      </c>
      <c r="D746" t="s">
        <v>17</v>
      </c>
      <c r="E746" t="s">
        <v>18</v>
      </c>
      <c r="F746" t="s">
        <v>19</v>
      </c>
      <c r="G746" t="s">
        <v>20</v>
      </c>
      <c r="H746">
        <v>62</v>
      </c>
      <c r="I746" s="1">
        <v>37968</v>
      </c>
      <c r="J746" s="1" t="str">
        <f>TEXT(Employee_Sample_Data_1[[#This Row],[Hire Date]], "dddd")</f>
        <v>Saturday</v>
      </c>
      <c r="K746" s="1" t="str">
        <f>TEXT(Employee_Sample_Data_1[[#This Row],[Hire Date]], "mmmm")</f>
        <v>December</v>
      </c>
      <c r="L746" s="1" t="str">
        <f>TEXT(Employee_Sample_Data_1[[#This Row],[Hire Date]], "yyyy")</f>
        <v>2003</v>
      </c>
      <c r="M746" s="2">
        <v>80132</v>
      </c>
      <c r="N746" s="3">
        <v>0.14000000000000001</v>
      </c>
      <c r="O746" s="9">
        <f>PRODUCT(Employee_Sample_Data_1[[#This Row],[Annual Salary]],Employee_Sample_Data_1[[#This Row],[Bonus %]])</f>
        <v>11218.480000000001</v>
      </c>
      <c r="P746" s="2">
        <f>ROUND(Employee_Sample_Data_1[[#This Row],[Annual Salary]]*(1+Employee_Sample_Data_1[[#This Row],[Bonus %]]), 0)</f>
        <v>91350</v>
      </c>
      <c r="Q746" t="s">
        <v>34</v>
      </c>
      <c r="R746" t="s">
        <v>54</v>
      </c>
      <c r="T746">
        <f ca="1">DATEDIF(Employee_Sample_Data_1[[#This Row],[Hire Date]], IF(Employee_Sample_Data_1[[#This Row],[Exit Date]] = "", TODAY(), Employee_Sample_Data_1[[#This Row],[Exit Date]]), "Y")</f>
        <v>22</v>
      </c>
    </row>
    <row r="747" spans="1:20" x14ac:dyDescent="0.25">
      <c r="A747" t="s">
        <v>1568</v>
      </c>
      <c r="B747" t="s">
        <v>1569</v>
      </c>
      <c r="C747" t="s">
        <v>25</v>
      </c>
      <c r="D747" t="s">
        <v>52</v>
      </c>
      <c r="E747" t="s">
        <v>33</v>
      </c>
      <c r="F747" t="s">
        <v>19</v>
      </c>
      <c r="G747" t="s">
        <v>20</v>
      </c>
      <c r="H747">
        <v>30</v>
      </c>
      <c r="I747" s="1">
        <v>43386</v>
      </c>
      <c r="J747" s="1" t="str">
        <f>TEXT(Employee_Sample_Data_1[[#This Row],[Hire Date]], "dddd")</f>
        <v>Saturday</v>
      </c>
      <c r="K747" s="1" t="str">
        <f>TEXT(Employee_Sample_Data_1[[#This Row],[Hire Date]], "mmmm")</f>
        <v>October</v>
      </c>
      <c r="L747" s="1" t="str">
        <f>TEXT(Employee_Sample_Data_1[[#This Row],[Hire Date]], "yyyy")</f>
        <v>2018</v>
      </c>
      <c r="M747" s="2">
        <v>52292</v>
      </c>
      <c r="N747" s="3">
        <v>0</v>
      </c>
      <c r="O747" s="9">
        <f>PRODUCT(Employee_Sample_Data_1[[#This Row],[Annual Salary]],Employee_Sample_Data_1[[#This Row],[Bonus %]])</f>
        <v>0</v>
      </c>
      <c r="P747" s="2">
        <f>ROUND(Employee_Sample_Data_1[[#This Row],[Annual Salary]]*(1+Employee_Sample_Data_1[[#This Row],[Bonus %]]), 0)</f>
        <v>52292</v>
      </c>
      <c r="Q747" t="s">
        <v>34</v>
      </c>
      <c r="R747" t="s">
        <v>59</v>
      </c>
      <c r="T747">
        <f ca="1">DATEDIF(Employee_Sample_Data_1[[#This Row],[Hire Date]], IF(Employee_Sample_Data_1[[#This Row],[Exit Date]] = "", TODAY(), Employee_Sample_Data_1[[#This Row],[Exit Date]]), "Y")</f>
        <v>7</v>
      </c>
    </row>
    <row r="748" spans="1:20" x14ac:dyDescent="0.25">
      <c r="A748" t="s">
        <v>1570</v>
      </c>
      <c r="B748" t="s">
        <v>1571</v>
      </c>
      <c r="C748" t="s">
        <v>161</v>
      </c>
      <c r="D748" t="s">
        <v>32</v>
      </c>
      <c r="E748" t="s">
        <v>53</v>
      </c>
      <c r="F748" t="s">
        <v>39</v>
      </c>
      <c r="G748" t="s">
        <v>63</v>
      </c>
      <c r="H748">
        <v>46</v>
      </c>
      <c r="I748" s="1">
        <v>44569</v>
      </c>
      <c r="J748" s="1" t="str">
        <f>TEXT(Employee_Sample_Data_1[[#This Row],[Hire Date]], "dddd")</f>
        <v>Saturday</v>
      </c>
      <c r="K748" s="1" t="str">
        <f>TEXT(Employee_Sample_Data_1[[#This Row],[Hire Date]], "mmmm")</f>
        <v>January</v>
      </c>
      <c r="L748" s="1" t="str">
        <f>TEXT(Employee_Sample_Data_1[[#This Row],[Hire Date]], "yyyy")</f>
        <v>2022</v>
      </c>
      <c r="M748" s="2">
        <v>69110</v>
      </c>
      <c r="N748" s="3">
        <v>0</v>
      </c>
      <c r="O748" s="9">
        <f>PRODUCT(Employee_Sample_Data_1[[#This Row],[Annual Salary]],Employee_Sample_Data_1[[#This Row],[Bonus %]])</f>
        <v>0</v>
      </c>
      <c r="P748" s="2">
        <f>ROUND(Employee_Sample_Data_1[[#This Row],[Annual Salary]]*(1+Employee_Sample_Data_1[[#This Row],[Bonus %]]), 0)</f>
        <v>69110</v>
      </c>
      <c r="Q748" t="s">
        <v>21</v>
      </c>
      <c r="R748" t="s">
        <v>41</v>
      </c>
      <c r="T748">
        <f ca="1">DATEDIF(Employee_Sample_Data_1[[#This Row],[Hire Date]], IF(Employee_Sample_Data_1[[#This Row],[Exit Date]] = "", TODAY(), Employee_Sample_Data_1[[#This Row],[Exit Date]]), "Y")</f>
        <v>4</v>
      </c>
    </row>
    <row r="749" spans="1:20" x14ac:dyDescent="0.25">
      <c r="A749" t="s">
        <v>1572</v>
      </c>
      <c r="B749" t="s">
        <v>1573</v>
      </c>
      <c r="C749" t="s">
        <v>98</v>
      </c>
      <c r="D749" t="s">
        <v>32</v>
      </c>
      <c r="E749" t="s">
        <v>18</v>
      </c>
      <c r="F749" t="s">
        <v>39</v>
      </c>
      <c r="G749" t="s">
        <v>40</v>
      </c>
      <c r="H749">
        <v>38</v>
      </c>
      <c r="I749" s="1">
        <v>41329</v>
      </c>
      <c r="J749" s="1" t="str">
        <f>TEXT(Employee_Sample_Data_1[[#This Row],[Hire Date]], "dddd")</f>
        <v>Sunday</v>
      </c>
      <c r="K749" s="1" t="str">
        <f>TEXT(Employee_Sample_Data_1[[#This Row],[Hire Date]], "mmmm")</f>
        <v>February</v>
      </c>
      <c r="L749" s="1" t="str">
        <f>TEXT(Employee_Sample_Data_1[[#This Row],[Hire Date]], "yyyy")</f>
        <v>2013</v>
      </c>
      <c r="M749" s="2">
        <v>68676</v>
      </c>
      <c r="N749" s="3">
        <v>0</v>
      </c>
      <c r="O749" s="9">
        <f>PRODUCT(Employee_Sample_Data_1[[#This Row],[Annual Salary]],Employee_Sample_Data_1[[#This Row],[Bonus %]])</f>
        <v>0</v>
      </c>
      <c r="P749" s="2">
        <f>ROUND(Employee_Sample_Data_1[[#This Row],[Annual Salary]]*(1+Employee_Sample_Data_1[[#This Row],[Bonus %]]), 0)</f>
        <v>68676</v>
      </c>
      <c r="Q749" t="s">
        <v>134</v>
      </c>
      <c r="R749" t="s">
        <v>180</v>
      </c>
      <c r="T749">
        <f ca="1">DATEDIF(Employee_Sample_Data_1[[#This Row],[Hire Date]], IF(Employee_Sample_Data_1[[#This Row],[Exit Date]] = "", TODAY(), Employee_Sample_Data_1[[#This Row],[Exit Date]]), "Y")</f>
        <v>13</v>
      </c>
    </row>
    <row r="750" spans="1:20" x14ac:dyDescent="0.25">
      <c r="A750" t="s">
        <v>1574</v>
      </c>
      <c r="B750" t="s">
        <v>1575</v>
      </c>
      <c r="C750" t="s">
        <v>131</v>
      </c>
      <c r="D750" t="s">
        <v>17</v>
      </c>
      <c r="E750" t="s">
        <v>18</v>
      </c>
      <c r="F750" t="s">
        <v>39</v>
      </c>
      <c r="G750" t="s">
        <v>63</v>
      </c>
      <c r="H750">
        <v>58</v>
      </c>
      <c r="I750" s="1">
        <v>37613</v>
      </c>
      <c r="J750" s="1" t="str">
        <f>TEXT(Employee_Sample_Data_1[[#This Row],[Hire Date]], "dddd")</f>
        <v>Monday</v>
      </c>
      <c r="K750" s="1" t="str">
        <f>TEXT(Employee_Sample_Data_1[[#This Row],[Hire Date]], "mmmm")</f>
        <v>December</v>
      </c>
      <c r="L750" s="1" t="str">
        <f>TEXT(Employee_Sample_Data_1[[#This Row],[Hire Date]], "yyyy")</f>
        <v>2002</v>
      </c>
      <c r="M750" s="2">
        <v>86094</v>
      </c>
      <c r="N750" s="3">
        <v>0</v>
      </c>
      <c r="O750" s="9">
        <f>PRODUCT(Employee_Sample_Data_1[[#This Row],[Annual Salary]],Employee_Sample_Data_1[[#This Row],[Bonus %]])</f>
        <v>0</v>
      </c>
      <c r="P750" s="2">
        <f>ROUND(Employee_Sample_Data_1[[#This Row],[Annual Salary]]*(1+Employee_Sample_Data_1[[#This Row],[Bonus %]]), 0)</f>
        <v>86094</v>
      </c>
      <c r="Q750" t="s">
        <v>21</v>
      </c>
      <c r="R750" t="s">
        <v>22</v>
      </c>
      <c r="T750">
        <f ca="1">DATEDIF(Employee_Sample_Data_1[[#This Row],[Hire Date]], IF(Employee_Sample_Data_1[[#This Row],[Exit Date]] = "", TODAY(), Employee_Sample_Data_1[[#This Row],[Exit Date]]), "Y")</f>
        <v>23</v>
      </c>
    </row>
    <row r="751" spans="1:20" x14ac:dyDescent="0.25">
      <c r="A751" t="s">
        <v>1576</v>
      </c>
      <c r="B751" t="s">
        <v>1577</v>
      </c>
      <c r="C751" t="s">
        <v>170</v>
      </c>
      <c r="D751" t="s">
        <v>32</v>
      </c>
      <c r="E751" t="s">
        <v>53</v>
      </c>
      <c r="F751" t="s">
        <v>39</v>
      </c>
      <c r="G751" t="s">
        <v>63</v>
      </c>
      <c r="H751">
        <v>27</v>
      </c>
      <c r="I751" s="1">
        <v>44687</v>
      </c>
      <c r="J751" s="1" t="str">
        <f>TEXT(Employee_Sample_Data_1[[#This Row],[Hire Date]], "dddd")</f>
        <v>Friday</v>
      </c>
      <c r="K751" s="1" t="str">
        <f>TEXT(Employee_Sample_Data_1[[#This Row],[Hire Date]], "mmmm")</f>
        <v>May</v>
      </c>
      <c r="L751" s="1" t="str">
        <f>TEXT(Employee_Sample_Data_1[[#This Row],[Hire Date]], "yyyy")</f>
        <v>2022</v>
      </c>
      <c r="M751" s="2">
        <v>77607</v>
      </c>
      <c r="N751" s="3">
        <v>0</v>
      </c>
      <c r="O751" s="9">
        <f>PRODUCT(Employee_Sample_Data_1[[#This Row],[Annual Salary]],Employee_Sample_Data_1[[#This Row],[Bonus %]])</f>
        <v>0</v>
      </c>
      <c r="P751" s="2">
        <f>ROUND(Employee_Sample_Data_1[[#This Row],[Annual Salary]]*(1+Employee_Sample_Data_1[[#This Row],[Bonus %]]), 0)</f>
        <v>77607</v>
      </c>
      <c r="Q751" t="s">
        <v>21</v>
      </c>
      <c r="R751" t="s">
        <v>67</v>
      </c>
      <c r="T751">
        <f ca="1">DATEDIF(Employee_Sample_Data_1[[#This Row],[Hire Date]], IF(Employee_Sample_Data_1[[#This Row],[Exit Date]] = "", TODAY(), Employee_Sample_Data_1[[#This Row],[Exit Date]]), "Y")</f>
        <v>4</v>
      </c>
    </row>
    <row r="752" spans="1:20" x14ac:dyDescent="0.25">
      <c r="A752" t="s">
        <v>1578</v>
      </c>
      <c r="B752" t="s">
        <v>1579</v>
      </c>
      <c r="C752" t="s">
        <v>80</v>
      </c>
      <c r="D752" t="s">
        <v>123</v>
      </c>
      <c r="E752" t="s">
        <v>53</v>
      </c>
      <c r="F752" t="s">
        <v>19</v>
      </c>
      <c r="G752" t="s">
        <v>40</v>
      </c>
      <c r="H752">
        <v>61</v>
      </c>
      <c r="I752" s="1">
        <v>34089</v>
      </c>
      <c r="J752" s="1" t="str">
        <f>TEXT(Employee_Sample_Data_1[[#This Row],[Hire Date]], "dddd")</f>
        <v>Friday</v>
      </c>
      <c r="K752" s="1" t="str">
        <f>TEXT(Employee_Sample_Data_1[[#This Row],[Hire Date]], "mmmm")</f>
        <v>April</v>
      </c>
      <c r="L752" s="1" t="str">
        <f>TEXT(Employee_Sample_Data_1[[#This Row],[Hire Date]], "yyyy")</f>
        <v>1993</v>
      </c>
      <c r="M752" s="2">
        <v>157672</v>
      </c>
      <c r="N752" s="3">
        <v>0.11</v>
      </c>
      <c r="O752" s="9">
        <f>PRODUCT(Employee_Sample_Data_1[[#This Row],[Annual Salary]],Employee_Sample_Data_1[[#This Row],[Bonus %]])</f>
        <v>17343.920000000002</v>
      </c>
      <c r="P752" s="2">
        <f>ROUND(Employee_Sample_Data_1[[#This Row],[Annual Salary]]*(1+Employee_Sample_Data_1[[#This Row],[Bonus %]]), 0)</f>
        <v>175016</v>
      </c>
      <c r="Q752" t="s">
        <v>21</v>
      </c>
      <c r="R752" t="s">
        <v>67</v>
      </c>
      <c r="T752">
        <f ca="1">DATEDIF(Employee_Sample_Data_1[[#This Row],[Hire Date]], IF(Employee_Sample_Data_1[[#This Row],[Exit Date]] = "", TODAY(), Employee_Sample_Data_1[[#This Row],[Exit Date]]), "Y")</f>
        <v>33</v>
      </c>
    </row>
    <row r="753" spans="1:20" x14ac:dyDescent="0.25">
      <c r="A753" t="s">
        <v>1580</v>
      </c>
      <c r="B753" t="s">
        <v>1581</v>
      </c>
      <c r="C753" t="s">
        <v>25</v>
      </c>
      <c r="D753" t="s">
        <v>58</v>
      </c>
      <c r="E753" t="s">
        <v>53</v>
      </c>
      <c r="F753" t="s">
        <v>19</v>
      </c>
      <c r="G753" t="s">
        <v>20</v>
      </c>
      <c r="H753">
        <v>64</v>
      </c>
      <c r="I753" s="1">
        <v>42703</v>
      </c>
      <c r="J753" s="1" t="str">
        <f>TEXT(Employee_Sample_Data_1[[#This Row],[Hire Date]], "dddd")</f>
        <v>Tuesday</v>
      </c>
      <c r="K753" s="1" t="str">
        <f>TEXT(Employee_Sample_Data_1[[#This Row],[Hire Date]], "mmmm")</f>
        <v>November</v>
      </c>
      <c r="L753" s="1" t="str">
        <f>TEXT(Employee_Sample_Data_1[[#This Row],[Hire Date]], "yyyy")</f>
        <v>2016</v>
      </c>
      <c r="M753" s="2">
        <v>43785</v>
      </c>
      <c r="N753" s="3">
        <v>0</v>
      </c>
      <c r="O753" s="9">
        <f>PRODUCT(Employee_Sample_Data_1[[#This Row],[Annual Salary]],Employee_Sample_Data_1[[#This Row],[Bonus %]])</f>
        <v>0</v>
      </c>
      <c r="P753" s="2">
        <f>ROUND(Employee_Sample_Data_1[[#This Row],[Annual Salary]]*(1+Employee_Sample_Data_1[[#This Row],[Bonus %]]), 0)</f>
        <v>43785</v>
      </c>
      <c r="Q753" t="s">
        <v>34</v>
      </c>
      <c r="R753" t="s">
        <v>54</v>
      </c>
      <c r="S753" s="1">
        <v>43277</v>
      </c>
      <c r="T753">
        <f ca="1">DATEDIF(Employee_Sample_Data_1[[#This Row],[Hire Date]], IF(Employee_Sample_Data_1[[#This Row],[Exit Date]] = "", TODAY(), Employee_Sample_Data_1[[#This Row],[Exit Date]]), "Y")</f>
        <v>1</v>
      </c>
    </row>
    <row r="754" spans="1:20" x14ac:dyDescent="0.25">
      <c r="A754" t="s">
        <v>1582</v>
      </c>
      <c r="B754" t="s">
        <v>1583</v>
      </c>
      <c r="C754" t="s">
        <v>62</v>
      </c>
      <c r="D754" t="s">
        <v>32</v>
      </c>
      <c r="E754" t="s">
        <v>27</v>
      </c>
      <c r="F754" t="s">
        <v>19</v>
      </c>
      <c r="G754" t="s">
        <v>63</v>
      </c>
      <c r="H754">
        <v>65</v>
      </c>
      <c r="I754" s="1">
        <v>42170</v>
      </c>
      <c r="J754" s="1" t="str">
        <f>TEXT(Employee_Sample_Data_1[[#This Row],[Hire Date]], "dddd")</f>
        <v>Monday</v>
      </c>
      <c r="K754" s="1" t="str">
        <f>TEXT(Employee_Sample_Data_1[[#This Row],[Hire Date]], "mmmm")</f>
        <v>June</v>
      </c>
      <c r="L754" s="1" t="str">
        <f>TEXT(Employee_Sample_Data_1[[#This Row],[Hire Date]], "yyyy")</f>
        <v>2015</v>
      </c>
      <c r="M754" s="2">
        <v>75439</v>
      </c>
      <c r="N754" s="3">
        <v>0</v>
      </c>
      <c r="O754" s="9">
        <f>PRODUCT(Employee_Sample_Data_1[[#This Row],[Annual Salary]],Employee_Sample_Data_1[[#This Row],[Bonus %]])</f>
        <v>0</v>
      </c>
      <c r="P754" s="2">
        <f>ROUND(Employee_Sample_Data_1[[#This Row],[Annual Salary]]*(1+Employee_Sample_Data_1[[#This Row],[Bonus %]]), 0)</f>
        <v>75439</v>
      </c>
      <c r="Q754" t="s">
        <v>21</v>
      </c>
      <c r="R754" t="s">
        <v>41</v>
      </c>
      <c r="T754">
        <f ca="1">DATEDIF(Employee_Sample_Data_1[[#This Row],[Hire Date]], IF(Employee_Sample_Data_1[[#This Row],[Exit Date]] = "", TODAY(), Employee_Sample_Data_1[[#This Row],[Exit Date]]), "Y")</f>
        <v>10</v>
      </c>
    </row>
    <row r="755" spans="1:20" x14ac:dyDescent="0.25">
      <c r="A755" t="s">
        <v>1584</v>
      </c>
      <c r="B755" t="s">
        <v>1585</v>
      </c>
      <c r="C755" t="s">
        <v>80</v>
      </c>
      <c r="D755" t="s">
        <v>32</v>
      </c>
      <c r="E755" t="s">
        <v>18</v>
      </c>
      <c r="F755" t="s">
        <v>39</v>
      </c>
      <c r="G755" t="s">
        <v>63</v>
      </c>
      <c r="H755">
        <v>37</v>
      </c>
      <c r="I755" s="1">
        <v>44518</v>
      </c>
      <c r="J755" s="1" t="str">
        <f>TEXT(Employee_Sample_Data_1[[#This Row],[Hire Date]], "dddd")</f>
        <v>Thursday</v>
      </c>
      <c r="K755" s="1" t="str">
        <f>TEXT(Employee_Sample_Data_1[[#This Row],[Hire Date]], "mmmm")</f>
        <v>November</v>
      </c>
      <c r="L755" s="1" t="str">
        <f>TEXT(Employee_Sample_Data_1[[#This Row],[Hire Date]], "yyyy")</f>
        <v>2021</v>
      </c>
      <c r="M755" s="2">
        <v>139987</v>
      </c>
      <c r="N755" s="3">
        <v>0.13</v>
      </c>
      <c r="O755" s="9">
        <f>PRODUCT(Employee_Sample_Data_1[[#This Row],[Annual Salary]],Employee_Sample_Data_1[[#This Row],[Bonus %]])</f>
        <v>18198.310000000001</v>
      </c>
      <c r="P755" s="2">
        <f>ROUND(Employee_Sample_Data_1[[#This Row],[Annual Salary]]*(1+Employee_Sample_Data_1[[#This Row],[Bonus %]]), 0)</f>
        <v>158185</v>
      </c>
      <c r="Q755" t="s">
        <v>21</v>
      </c>
      <c r="R755" t="s">
        <v>41</v>
      </c>
      <c r="T755">
        <f ca="1">DATEDIF(Employee_Sample_Data_1[[#This Row],[Hire Date]], IF(Employee_Sample_Data_1[[#This Row],[Exit Date]] = "", TODAY(), Employee_Sample_Data_1[[#This Row],[Exit Date]]), "Y")</f>
        <v>4</v>
      </c>
    </row>
    <row r="756" spans="1:20" x14ac:dyDescent="0.25">
      <c r="A756" t="s">
        <v>1586</v>
      </c>
      <c r="B756" t="s">
        <v>1587</v>
      </c>
      <c r="C756" t="s">
        <v>86</v>
      </c>
      <c r="D756" t="s">
        <v>52</v>
      </c>
      <c r="E756" t="s">
        <v>53</v>
      </c>
      <c r="F756" t="s">
        <v>19</v>
      </c>
      <c r="G756" t="s">
        <v>40</v>
      </c>
      <c r="H756">
        <v>54</v>
      </c>
      <c r="I756" s="1">
        <v>34581</v>
      </c>
      <c r="J756" s="1" t="str">
        <f>TEXT(Employee_Sample_Data_1[[#This Row],[Hire Date]], "dddd")</f>
        <v>Sunday</v>
      </c>
      <c r="K756" s="1" t="str">
        <f>TEXT(Employee_Sample_Data_1[[#This Row],[Hire Date]], "mmmm")</f>
        <v>September</v>
      </c>
      <c r="L756" s="1" t="str">
        <f>TEXT(Employee_Sample_Data_1[[#This Row],[Hire Date]], "yyyy")</f>
        <v>1994</v>
      </c>
      <c r="M756" s="2">
        <v>257489</v>
      </c>
      <c r="N756" s="3">
        <v>0.34</v>
      </c>
      <c r="O756" s="9">
        <f>PRODUCT(Employee_Sample_Data_1[[#This Row],[Annual Salary]],Employee_Sample_Data_1[[#This Row],[Bonus %]])</f>
        <v>87546.260000000009</v>
      </c>
      <c r="P756" s="2">
        <f>ROUND(Employee_Sample_Data_1[[#This Row],[Annual Salary]]*(1+Employee_Sample_Data_1[[#This Row],[Bonus %]]), 0)</f>
        <v>345035</v>
      </c>
      <c r="Q756" t="s">
        <v>134</v>
      </c>
      <c r="R756" t="s">
        <v>135</v>
      </c>
      <c r="T756">
        <f ca="1">DATEDIF(Employee_Sample_Data_1[[#This Row],[Hire Date]], IF(Employee_Sample_Data_1[[#This Row],[Exit Date]] = "", TODAY(), Employee_Sample_Data_1[[#This Row],[Exit Date]]), "Y")</f>
        <v>31</v>
      </c>
    </row>
    <row r="757" spans="1:20" x14ac:dyDescent="0.25">
      <c r="A757" t="s">
        <v>1588</v>
      </c>
      <c r="B757" t="s">
        <v>1381</v>
      </c>
      <c r="C757" t="s">
        <v>62</v>
      </c>
      <c r="D757" t="s">
        <v>32</v>
      </c>
      <c r="E757" t="s">
        <v>53</v>
      </c>
      <c r="F757" t="s">
        <v>19</v>
      </c>
      <c r="G757" t="s">
        <v>20</v>
      </c>
      <c r="H757">
        <v>54</v>
      </c>
      <c r="I757" s="1">
        <v>39843</v>
      </c>
      <c r="J757" s="1" t="str">
        <f>TEXT(Employee_Sample_Data_1[[#This Row],[Hire Date]], "dddd")</f>
        <v>Friday</v>
      </c>
      <c r="K757" s="1" t="str">
        <f>TEXT(Employee_Sample_Data_1[[#This Row],[Hire Date]], "mmmm")</f>
        <v>January</v>
      </c>
      <c r="L757" s="1" t="str">
        <f>TEXT(Employee_Sample_Data_1[[#This Row],[Hire Date]], "yyyy")</f>
        <v>2009</v>
      </c>
      <c r="M757" s="2">
        <v>91639</v>
      </c>
      <c r="N757" s="3">
        <v>0</v>
      </c>
      <c r="O757" s="9">
        <f>PRODUCT(Employee_Sample_Data_1[[#This Row],[Annual Salary]],Employee_Sample_Data_1[[#This Row],[Bonus %]])</f>
        <v>0</v>
      </c>
      <c r="P757" s="2">
        <f>ROUND(Employee_Sample_Data_1[[#This Row],[Annual Salary]]*(1+Employee_Sample_Data_1[[#This Row],[Bonus %]]), 0)</f>
        <v>91639</v>
      </c>
      <c r="Q757" t="s">
        <v>21</v>
      </c>
      <c r="R757" t="s">
        <v>41</v>
      </c>
      <c r="T757">
        <f ca="1">DATEDIF(Employee_Sample_Data_1[[#This Row],[Hire Date]], IF(Employee_Sample_Data_1[[#This Row],[Exit Date]] = "", TODAY(), Employee_Sample_Data_1[[#This Row],[Exit Date]]), "Y")</f>
        <v>17</v>
      </c>
    </row>
    <row r="758" spans="1:20" x14ac:dyDescent="0.25">
      <c r="A758" t="s">
        <v>1589</v>
      </c>
      <c r="B758" t="s">
        <v>1590</v>
      </c>
      <c r="C758" t="s">
        <v>57</v>
      </c>
      <c r="D758" t="s">
        <v>58</v>
      </c>
      <c r="E758" t="s">
        <v>53</v>
      </c>
      <c r="F758" t="s">
        <v>39</v>
      </c>
      <c r="G758" t="s">
        <v>20</v>
      </c>
      <c r="H758">
        <v>26</v>
      </c>
      <c r="I758" s="1">
        <v>44920</v>
      </c>
      <c r="J758" s="1" t="str">
        <f>TEXT(Employee_Sample_Data_1[[#This Row],[Hire Date]], "dddd")</f>
        <v>Sunday</v>
      </c>
      <c r="K758" s="1" t="str">
        <f>TEXT(Employee_Sample_Data_1[[#This Row],[Hire Date]], "mmmm")</f>
        <v>December</v>
      </c>
      <c r="L758" s="1" t="str">
        <f>TEXT(Employee_Sample_Data_1[[#This Row],[Hire Date]], "yyyy")</f>
        <v>2022</v>
      </c>
      <c r="M758" s="2">
        <v>66563</v>
      </c>
      <c r="N758" s="3">
        <v>0</v>
      </c>
      <c r="O758" s="9">
        <f>PRODUCT(Employee_Sample_Data_1[[#This Row],[Annual Salary]],Employee_Sample_Data_1[[#This Row],[Bonus %]])</f>
        <v>0</v>
      </c>
      <c r="P758" s="2">
        <f>ROUND(Employee_Sample_Data_1[[#This Row],[Annual Salary]]*(1+Employee_Sample_Data_1[[#This Row],[Bonus %]]), 0)</f>
        <v>66563</v>
      </c>
      <c r="Q758" t="s">
        <v>34</v>
      </c>
      <c r="R758" t="s">
        <v>59</v>
      </c>
      <c r="S758" s="1">
        <v>44951</v>
      </c>
      <c r="T758">
        <f ca="1">DATEDIF(Employee_Sample_Data_1[[#This Row],[Hire Date]], IF(Employee_Sample_Data_1[[#This Row],[Exit Date]] = "", TODAY(), Employee_Sample_Data_1[[#This Row],[Exit Date]]), "Y")</f>
        <v>0</v>
      </c>
    </row>
    <row r="759" spans="1:20" x14ac:dyDescent="0.25">
      <c r="A759" t="s">
        <v>1591</v>
      </c>
      <c r="B759" t="s">
        <v>1592</v>
      </c>
      <c r="C759" t="s">
        <v>86</v>
      </c>
      <c r="D759" t="s">
        <v>77</v>
      </c>
      <c r="E759" t="s">
        <v>27</v>
      </c>
      <c r="F759" t="s">
        <v>39</v>
      </c>
      <c r="G759" t="s">
        <v>40</v>
      </c>
      <c r="H759">
        <v>29</v>
      </c>
      <c r="I759" s="1">
        <v>44237</v>
      </c>
      <c r="J759" s="1" t="str">
        <f>TEXT(Employee_Sample_Data_1[[#This Row],[Hire Date]], "dddd")</f>
        <v>Wednesday</v>
      </c>
      <c r="K759" s="1" t="str">
        <f>TEXT(Employee_Sample_Data_1[[#This Row],[Hire Date]], "mmmm")</f>
        <v>February</v>
      </c>
      <c r="L759" s="1" t="str">
        <f>TEXT(Employee_Sample_Data_1[[#This Row],[Hire Date]], "yyyy")</f>
        <v>2021</v>
      </c>
      <c r="M759" s="2">
        <v>235047</v>
      </c>
      <c r="N759" s="3">
        <v>0.36</v>
      </c>
      <c r="O759" s="9">
        <f>PRODUCT(Employee_Sample_Data_1[[#This Row],[Annual Salary]],Employee_Sample_Data_1[[#This Row],[Bonus %]])</f>
        <v>84616.92</v>
      </c>
      <c r="P759" s="2">
        <f>ROUND(Employee_Sample_Data_1[[#This Row],[Annual Salary]]*(1+Employee_Sample_Data_1[[#This Row],[Bonus %]]), 0)</f>
        <v>319664</v>
      </c>
      <c r="Q759" t="s">
        <v>21</v>
      </c>
      <c r="R759" t="s">
        <v>48</v>
      </c>
      <c r="T759">
        <f ca="1">DATEDIF(Employee_Sample_Data_1[[#This Row],[Hire Date]], IF(Employee_Sample_Data_1[[#This Row],[Exit Date]] = "", TODAY(), Employee_Sample_Data_1[[#This Row],[Exit Date]]), "Y")</f>
        <v>5</v>
      </c>
    </row>
    <row r="760" spans="1:20" x14ac:dyDescent="0.25">
      <c r="A760" t="s">
        <v>1593</v>
      </c>
      <c r="B760" t="s">
        <v>1594</v>
      </c>
      <c r="C760" t="s">
        <v>86</v>
      </c>
      <c r="D760" t="s">
        <v>123</v>
      </c>
      <c r="E760" t="s">
        <v>27</v>
      </c>
      <c r="F760" t="s">
        <v>19</v>
      </c>
      <c r="G760" t="s">
        <v>63</v>
      </c>
      <c r="H760">
        <v>37</v>
      </c>
      <c r="I760" s="1">
        <v>42045</v>
      </c>
      <c r="J760" s="1" t="str">
        <f>TEXT(Employee_Sample_Data_1[[#This Row],[Hire Date]], "dddd")</f>
        <v>Tuesday</v>
      </c>
      <c r="K760" s="1" t="str">
        <f>TEXT(Employee_Sample_Data_1[[#This Row],[Hire Date]], "mmmm")</f>
        <v>February</v>
      </c>
      <c r="L760" s="1" t="str">
        <f>TEXT(Employee_Sample_Data_1[[#This Row],[Hire Date]], "yyyy")</f>
        <v>2015</v>
      </c>
      <c r="M760" s="2">
        <v>214782</v>
      </c>
      <c r="N760" s="3">
        <v>0.32</v>
      </c>
      <c r="O760" s="9">
        <f>PRODUCT(Employee_Sample_Data_1[[#This Row],[Annual Salary]],Employee_Sample_Data_1[[#This Row],[Bonus %]])</f>
        <v>68730.240000000005</v>
      </c>
      <c r="P760" s="2">
        <f>ROUND(Employee_Sample_Data_1[[#This Row],[Annual Salary]]*(1+Employee_Sample_Data_1[[#This Row],[Bonus %]]), 0)</f>
        <v>283512</v>
      </c>
      <c r="Q760" t="s">
        <v>21</v>
      </c>
      <c r="R760" t="s">
        <v>28</v>
      </c>
      <c r="T760">
        <f ca="1">DATEDIF(Employee_Sample_Data_1[[#This Row],[Hire Date]], IF(Employee_Sample_Data_1[[#This Row],[Exit Date]] = "", TODAY(), Employee_Sample_Data_1[[#This Row],[Exit Date]]), "Y")</f>
        <v>11</v>
      </c>
    </row>
    <row r="761" spans="1:20" x14ac:dyDescent="0.25">
      <c r="A761" t="s">
        <v>1595</v>
      </c>
      <c r="B761" t="s">
        <v>1596</v>
      </c>
      <c r="C761" t="s">
        <v>44</v>
      </c>
      <c r="D761" t="s">
        <v>52</v>
      </c>
      <c r="E761" t="s">
        <v>33</v>
      </c>
      <c r="F761" t="s">
        <v>39</v>
      </c>
      <c r="G761" t="s">
        <v>81</v>
      </c>
      <c r="H761">
        <v>37</v>
      </c>
      <c r="I761" s="1">
        <v>40664</v>
      </c>
      <c r="J761" s="1" t="str">
        <f>TEXT(Employee_Sample_Data_1[[#This Row],[Hire Date]], "dddd")</f>
        <v>Sunday</v>
      </c>
      <c r="K761" s="1" t="str">
        <f>TEXT(Employee_Sample_Data_1[[#This Row],[Hire Date]], "mmmm")</f>
        <v>May</v>
      </c>
      <c r="L761" s="1" t="str">
        <f>TEXT(Employee_Sample_Data_1[[#This Row],[Hire Date]], "yyyy")</f>
        <v>2011</v>
      </c>
      <c r="M761" s="2">
        <v>180544</v>
      </c>
      <c r="N761" s="3">
        <v>0.27</v>
      </c>
      <c r="O761" s="9">
        <f>PRODUCT(Employee_Sample_Data_1[[#This Row],[Annual Salary]],Employee_Sample_Data_1[[#This Row],[Bonus %]])</f>
        <v>48746.880000000005</v>
      </c>
      <c r="P761" s="2">
        <f>ROUND(Employee_Sample_Data_1[[#This Row],[Annual Salary]]*(1+Employee_Sample_Data_1[[#This Row],[Bonus %]]), 0)</f>
        <v>229291</v>
      </c>
      <c r="Q761" t="s">
        <v>21</v>
      </c>
      <c r="R761" t="s">
        <v>28</v>
      </c>
      <c r="T761">
        <f ca="1">DATEDIF(Employee_Sample_Data_1[[#This Row],[Hire Date]], IF(Employee_Sample_Data_1[[#This Row],[Exit Date]] = "", TODAY(), Employee_Sample_Data_1[[#This Row],[Exit Date]]), "Y")</f>
        <v>15</v>
      </c>
    </row>
    <row r="762" spans="1:20" x14ac:dyDescent="0.25">
      <c r="A762" t="s">
        <v>1597</v>
      </c>
      <c r="B762" t="s">
        <v>1598</v>
      </c>
      <c r="C762" t="s">
        <v>80</v>
      </c>
      <c r="D762" t="s">
        <v>77</v>
      </c>
      <c r="E762" t="s">
        <v>33</v>
      </c>
      <c r="F762" t="s">
        <v>19</v>
      </c>
      <c r="G762" t="s">
        <v>40</v>
      </c>
      <c r="H762">
        <v>62</v>
      </c>
      <c r="I762" s="1">
        <v>36700</v>
      </c>
      <c r="J762" s="1" t="str">
        <f>TEXT(Employee_Sample_Data_1[[#This Row],[Hire Date]], "dddd")</f>
        <v>Friday</v>
      </c>
      <c r="K762" s="1" t="str">
        <f>TEXT(Employee_Sample_Data_1[[#This Row],[Hire Date]], "mmmm")</f>
        <v>June</v>
      </c>
      <c r="L762" s="1" t="str">
        <f>TEXT(Employee_Sample_Data_1[[#This Row],[Hire Date]], "yyyy")</f>
        <v>2000</v>
      </c>
      <c r="M762" s="2">
        <v>158614</v>
      </c>
      <c r="N762" s="3">
        <v>0.14000000000000001</v>
      </c>
      <c r="O762" s="9">
        <f>PRODUCT(Employee_Sample_Data_1[[#This Row],[Annual Salary]],Employee_Sample_Data_1[[#This Row],[Bonus %]])</f>
        <v>22205.960000000003</v>
      </c>
      <c r="P762" s="2">
        <f>ROUND(Employee_Sample_Data_1[[#This Row],[Annual Salary]]*(1+Employee_Sample_Data_1[[#This Row],[Bonus %]]), 0)</f>
        <v>180820</v>
      </c>
      <c r="Q762" t="s">
        <v>134</v>
      </c>
      <c r="R762" t="s">
        <v>135</v>
      </c>
      <c r="T762">
        <f ca="1">DATEDIF(Employee_Sample_Data_1[[#This Row],[Hire Date]], IF(Employee_Sample_Data_1[[#This Row],[Exit Date]] = "", TODAY(), Employee_Sample_Data_1[[#This Row],[Exit Date]]), "Y")</f>
        <v>25</v>
      </c>
    </row>
    <row r="763" spans="1:20" x14ac:dyDescent="0.25">
      <c r="A763" t="s">
        <v>1599</v>
      </c>
      <c r="B763" t="s">
        <v>1600</v>
      </c>
      <c r="C763" t="s">
        <v>410</v>
      </c>
      <c r="D763" t="s">
        <v>17</v>
      </c>
      <c r="E763" t="s">
        <v>27</v>
      </c>
      <c r="F763" t="s">
        <v>19</v>
      </c>
      <c r="G763" t="s">
        <v>20</v>
      </c>
      <c r="H763">
        <v>53</v>
      </c>
      <c r="I763" s="1">
        <v>36129</v>
      </c>
      <c r="J763" s="1" t="str">
        <f>TEXT(Employee_Sample_Data_1[[#This Row],[Hire Date]], "dddd")</f>
        <v>Monday</v>
      </c>
      <c r="K763" s="1" t="str">
        <f>TEXT(Employee_Sample_Data_1[[#This Row],[Hire Date]], "mmmm")</f>
        <v>November</v>
      </c>
      <c r="L763" s="1" t="str">
        <f>TEXT(Employee_Sample_Data_1[[#This Row],[Hire Date]], "yyyy")</f>
        <v>1998</v>
      </c>
      <c r="M763" s="2">
        <v>63187</v>
      </c>
      <c r="N763" s="3">
        <v>0</v>
      </c>
      <c r="O763" s="9">
        <f>PRODUCT(Employee_Sample_Data_1[[#This Row],[Annual Salary]],Employee_Sample_Data_1[[#This Row],[Bonus %]])</f>
        <v>0</v>
      </c>
      <c r="P763" s="2">
        <f>ROUND(Employee_Sample_Data_1[[#This Row],[Annual Salary]]*(1+Employee_Sample_Data_1[[#This Row],[Bonus %]]), 0)</f>
        <v>63187</v>
      </c>
      <c r="Q763" t="s">
        <v>21</v>
      </c>
      <c r="R763" t="s">
        <v>28</v>
      </c>
      <c r="T763">
        <f ca="1">DATEDIF(Employee_Sample_Data_1[[#This Row],[Hire Date]], IF(Employee_Sample_Data_1[[#This Row],[Exit Date]] = "", TODAY(), Employee_Sample_Data_1[[#This Row],[Exit Date]]), "Y")</f>
        <v>27</v>
      </c>
    </row>
    <row r="764" spans="1:20" x14ac:dyDescent="0.25">
      <c r="A764" t="s">
        <v>1601</v>
      </c>
      <c r="B764" t="s">
        <v>1602</v>
      </c>
      <c r="C764" t="s">
        <v>51</v>
      </c>
      <c r="D764" t="s">
        <v>77</v>
      </c>
      <c r="E764" t="s">
        <v>18</v>
      </c>
      <c r="F764" t="s">
        <v>19</v>
      </c>
      <c r="G764" t="s">
        <v>40</v>
      </c>
      <c r="H764">
        <v>65</v>
      </c>
      <c r="I764" s="1">
        <v>38329</v>
      </c>
      <c r="J764" s="1" t="str">
        <f>TEXT(Employee_Sample_Data_1[[#This Row],[Hire Date]], "dddd")</f>
        <v>Wednesday</v>
      </c>
      <c r="K764" s="1" t="str">
        <f>TEXT(Employee_Sample_Data_1[[#This Row],[Hire Date]], "mmmm")</f>
        <v>December</v>
      </c>
      <c r="L764" s="1" t="str">
        <f>TEXT(Employee_Sample_Data_1[[#This Row],[Hire Date]], "yyyy")</f>
        <v>2004</v>
      </c>
      <c r="M764" s="2">
        <v>93857</v>
      </c>
      <c r="N764" s="3">
        <v>0</v>
      </c>
      <c r="O764" s="9">
        <f>PRODUCT(Employee_Sample_Data_1[[#This Row],[Annual Salary]],Employee_Sample_Data_1[[#This Row],[Bonus %]])</f>
        <v>0</v>
      </c>
      <c r="P764" s="2">
        <f>ROUND(Employee_Sample_Data_1[[#This Row],[Annual Salary]]*(1+Employee_Sample_Data_1[[#This Row],[Bonus %]]), 0)</f>
        <v>93857</v>
      </c>
      <c r="Q764" t="s">
        <v>21</v>
      </c>
      <c r="R764" t="s">
        <v>48</v>
      </c>
      <c r="T764">
        <f ca="1">DATEDIF(Employee_Sample_Data_1[[#This Row],[Hire Date]], IF(Employee_Sample_Data_1[[#This Row],[Exit Date]] = "", TODAY(), Employee_Sample_Data_1[[#This Row],[Exit Date]]), "Y")</f>
        <v>21</v>
      </c>
    </row>
    <row r="765" spans="1:20" x14ac:dyDescent="0.25">
      <c r="A765" t="s">
        <v>1603</v>
      </c>
      <c r="B765" t="s">
        <v>1604</v>
      </c>
      <c r="C765" t="s">
        <v>86</v>
      </c>
      <c r="D765" t="s">
        <v>32</v>
      </c>
      <c r="E765" t="s">
        <v>18</v>
      </c>
      <c r="F765" t="s">
        <v>19</v>
      </c>
      <c r="G765" t="s">
        <v>40</v>
      </c>
      <c r="H765">
        <v>36</v>
      </c>
      <c r="I765" s="1">
        <v>44266</v>
      </c>
      <c r="J765" s="1" t="str">
        <f>TEXT(Employee_Sample_Data_1[[#This Row],[Hire Date]], "dddd")</f>
        <v>Thursday</v>
      </c>
      <c r="K765" s="1" t="str">
        <f>TEXT(Employee_Sample_Data_1[[#This Row],[Hire Date]], "mmmm")</f>
        <v>March</v>
      </c>
      <c r="L765" s="1" t="str">
        <f>TEXT(Employee_Sample_Data_1[[#This Row],[Hire Date]], "yyyy")</f>
        <v>2021</v>
      </c>
      <c r="M765" s="2">
        <v>253741</v>
      </c>
      <c r="N765" s="3">
        <v>0.34</v>
      </c>
      <c r="O765" s="9">
        <f>PRODUCT(Employee_Sample_Data_1[[#This Row],[Annual Salary]],Employee_Sample_Data_1[[#This Row],[Bonus %]])</f>
        <v>86271.94</v>
      </c>
      <c r="P765" s="2">
        <f>ROUND(Employee_Sample_Data_1[[#This Row],[Annual Salary]]*(1+Employee_Sample_Data_1[[#This Row],[Bonus %]]), 0)</f>
        <v>340013</v>
      </c>
      <c r="Q765" t="s">
        <v>134</v>
      </c>
      <c r="R765" t="s">
        <v>135</v>
      </c>
      <c r="T765">
        <f ca="1">DATEDIF(Employee_Sample_Data_1[[#This Row],[Hire Date]], IF(Employee_Sample_Data_1[[#This Row],[Exit Date]] = "", TODAY(), Employee_Sample_Data_1[[#This Row],[Exit Date]]), "Y")</f>
        <v>5</v>
      </c>
    </row>
    <row r="766" spans="1:20" x14ac:dyDescent="0.25">
      <c r="A766" t="s">
        <v>1605</v>
      </c>
      <c r="B766" t="s">
        <v>1606</v>
      </c>
      <c r="C766" t="s">
        <v>51</v>
      </c>
      <c r="D766" t="s">
        <v>77</v>
      </c>
      <c r="E766" t="s">
        <v>53</v>
      </c>
      <c r="F766" t="s">
        <v>39</v>
      </c>
      <c r="G766" t="s">
        <v>40</v>
      </c>
      <c r="H766">
        <v>46</v>
      </c>
      <c r="I766" s="1">
        <v>40499</v>
      </c>
      <c r="J766" s="1" t="str">
        <f>TEXT(Employee_Sample_Data_1[[#This Row],[Hire Date]], "dddd")</f>
        <v>Wednesday</v>
      </c>
      <c r="K766" s="1" t="str">
        <f>TEXT(Employee_Sample_Data_1[[#This Row],[Hire Date]], "mmmm")</f>
        <v>November</v>
      </c>
      <c r="L766" s="1" t="str">
        <f>TEXT(Employee_Sample_Data_1[[#This Row],[Hire Date]], "yyyy")</f>
        <v>2010</v>
      </c>
      <c r="M766" s="2">
        <v>92833</v>
      </c>
      <c r="N766" s="3">
        <v>0</v>
      </c>
      <c r="O766" s="9">
        <f>PRODUCT(Employee_Sample_Data_1[[#This Row],[Annual Salary]],Employee_Sample_Data_1[[#This Row],[Bonus %]])</f>
        <v>0</v>
      </c>
      <c r="P766" s="2">
        <f>ROUND(Employee_Sample_Data_1[[#This Row],[Annual Salary]]*(1+Employee_Sample_Data_1[[#This Row],[Bonus %]]), 0)</f>
        <v>92833</v>
      </c>
      <c r="Q766" t="s">
        <v>134</v>
      </c>
      <c r="R766" t="s">
        <v>135</v>
      </c>
      <c r="T766">
        <f ca="1">DATEDIF(Employee_Sample_Data_1[[#This Row],[Hire Date]], IF(Employee_Sample_Data_1[[#This Row],[Exit Date]] = "", TODAY(), Employee_Sample_Data_1[[#This Row],[Exit Date]]), "Y")</f>
        <v>15</v>
      </c>
    </row>
    <row r="767" spans="1:20" x14ac:dyDescent="0.25">
      <c r="A767" t="s">
        <v>1607</v>
      </c>
      <c r="B767" t="s">
        <v>1608</v>
      </c>
      <c r="C767" t="s">
        <v>91</v>
      </c>
      <c r="D767" t="s">
        <v>32</v>
      </c>
      <c r="E767" t="s">
        <v>53</v>
      </c>
      <c r="F767" t="s">
        <v>39</v>
      </c>
      <c r="G767" t="s">
        <v>40</v>
      </c>
      <c r="H767">
        <v>55</v>
      </c>
      <c r="I767" s="1">
        <v>43449</v>
      </c>
      <c r="J767" s="1" t="str">
        <f>TEXT(Employee_Sample_Data_1[[#This Row],[Hire Date]], "dddd")</f>
        <v>Saturday</v>
      </c>
      <c r="K767" s="1" t="str">
        <f>TEXT(Employee_Sample_Data_1[[#This Row],[Hire Date]], "mmmm")</f>
        <v>December</v>
      </c>
      <c r="L767" s="1" t="str">
        <f>TEXT(Employee_Sample_Data_1[[#This Row],[Hire Date]], "yyyy")</f>
        <v>2018</v>
      </c>
      <c r="M767" s="2">
        <v>95400</v>
      </c>
      <c r="N767" s="3">
        <v>0</v>
      </c>
      <c r="O767" s="9">
        <f>PRODUCT(Employee_Sample_Data_1[[#This Row],[Annual Salary]],Employee_Sample_Data_1[[#This Row],[Bonus %]])</f>
        <v>0</v>
      </c>
      <c r="P767" s="2">
        <f>ROUND(Employee_Sample_Data_1[[#This Row],[Annual Salary]]*(1+Employee_Sample_Data_1[[#This Row],[Bonus %]]), 0)</f>
        <v>95400</v>
      </c>
      <c r="Q767" t="s">
        <v>134</v>
      </c>
      <c r="R767" t="s">
        <v>286</v>
      </c>
      <c r="T767">
        <f ca="1">DATEDIF(Employee_Sample_Data_1[[#This Row],[Hire Date]], IF(Employee_Sample_Data_1[[#This Row],[Exit Date]] = "", TODAY(), Employee_Sample_Data_1[[#This Row],[Exit Date]]), "Y")</f>
        <v>7</v>
      </c>
    </row>
    <row r="768" spans="1:20" x14ac:dyDescent="0.25">
      <c r="A768" t="s">
        <v>1609</v>
      </c>
      <c r="B768" t="s">
        <v>1610</v>
      </c>
      <c r="C768" t="s">
        <v>410</v>
      </c>
      <c r="D768" t="s">
        <v>17</v>
      </c>
      <c r="E768" t="s">
        <v>53</v>
      </c>
      <c r="F768" t="s">
        <v>39</v>
      </c>
      <c r="G768" t="s">
        <v>81</v>
      </c>
      <c r="H768">
        <v>63</v>
      </c>
      <c r="I768" s="1">
        <v>41551</v>
      </c>
      <c r="J768" s="1" t="str">
        <f>TEXT(Employee_Sample_Data_1[[#This Row],[Hire Date]], "dddd")</f>
        <v>Friday</v>
      </c>
      <c r="K768" s="1" t="str">
        <f>TEXT(Employee_Sample_Data_1[[#This Row],[Hire Date]], "mmmm")</f>
        <v>October</v>
      </c>
      <c r="L768" s="1" t="str">
        <f>TEXT(Employee_Sample_Data_1[[#This Row],[Hire Date]], "yyyy")</f>
        <v>2013</v>
      </c>
      <c r="M768" s="2">
        <v>88230</v>
      </c>
      <c r="N768" s="3">
        <v>0</v>
      </c>
      <c r="O768" s="9">
        <f>PRODUCT(Employee_Sample_Data_1[[#This Row],[Annual Salary]],Employee_Sample_Data_1[[#This Row],[Bonus %]])</f>
        <v>0</v>
      </c>
      <c r="P768" s="2">
        <f>ROUND(Employee_Sample_Data_1[[#This Row],[Annual Salary]]*(1+Employee_Sample_Data_1[[#This Row],[Bonus %]]), 0)</f>
        <v>88230</v>
      </c>
      <c r="Q768" t="s">
        <v>21</v>
      </c>
      <c r="R768" t="s">
        <v>67</v>
      </c>
      <c r="T768">
        <f ca="1">DATEDIF(Employee_Sample_Data_1[[#This Row],[Hire Date]], IF(Employee_Sample_Data_1[[#This Row],[Exit Date]] = "", TODAY(), Employee_Sample_Data_1[[#This Row],[Exit Date]]), "Y")</f>
        <v>12</v>
      </c>
    </row>
    <row r="769" spans="1:20" x14ac:dyDescent="0.25">
      <c r="A769" t="s">
        <v>1611</v>
      </c>
      <c r="B769" t="s">
        <v>1612</v>
      </c>
      <c r="C769" t="s">
        <v>289</v>
      </c>
      <c r="D769" t="s">
        <v>17</v>
      </c>
      <c r="E769" t="s">
        <v>33</v>
      </c>
      <c r="F769" t="s">
        <v>39</v>
      </c>
      <c r="G769" t="s">
        <v>20</v>
      </c>
      <c r="H769">
        <v>54</v>
      </c>
      <c r="I769" s="1">
        <v>37677</v>
      </c>
      <c r="J769" s="1" t="str">
        <f>TEXT(Employee_Sample_Data_1[[#This Row],[Hire Date]], "dddd")</f>
        <v>Tuesday</v>
      </c>
      <c r="K769" s="1" t="str">
        <f>TEXT(Employee_Sample_Data_1[[#This Row],[Hire Date]], "mmmm")</f>
        <v>February</v>
      </c>
      <c r="L769" s="1" t="str">
        <f>TEXT(Employee_Sample_Data_1[[#This Row],[Hire Date]], "yyyy")</f>
        <v>2003</v>
      </c>
      <c r="M769" s="2">
        <v>62179</v>
      </c>
      <c r="N769" s="3">
        <v>0</v>
      </c>
      <c r="O769" s="9">
        <f>PRODUCT(Employee_Sample_Data_1[[#This Row],[Annual Salary]],Employee_Sample_Data_1[[#This Row],[Bonus %]])</f>
        <v>0</v>
      </c>
      <c r="P769" s="2">
        <f>ROUND(Employee_Sample_Data_1[[#This Row],[Annual Salary]]*(1+Employee_Sample_Data_1[[#This Row],[Bonus %]]), 0)</f>
        <v>62179</v>
      </c>
      <c r="Q769" t="s">
        <v>34</v>
      </c>
      <c r="R769" t="s">
        <v>35</v>
      </c>
      <c r="T769">
        <f ca="1">DATEDIF(Employee_Sample_Data_1[[#This Row],[Hire Date]], IF(Employee_Sample_Data_1[[#This Row],[Exit Date]] = "", TODAY(), Employee_Sample_Data_1[[#This Row],[Exit Date]]), "Y")</f>
        <v>23</v>
      </c>
    </row>
    <row r="770" spans="1:20" x14ac:dyDescent="0.25">
      <c r="A770" t="s">
        <v>1613</v>
      </c>
      <c r="B770" t="s">
        <v>1614</v>
      </c>
      <c r="C770" t="s">
        <v>156</v>
      </c>
      <c r="D770" t="s">
        <v>32</v>
      </c>
      <c r="E770" t="s">
        <v>33</v>
      </c>
      <c r="F770" t="s">
        <v>39</v>
      </c>
      <c r="G770" t="s">
        <v>63</v>
      </c>
      <c r="H770">
        <v>26</v>
      </c>
      <c r="I770" s="1">
        <v>43879</v>
      </c>
      <c r="J770" s="1" t="str">
        <f>TEXT(Employee_Sample_Data_1[[#This Row],[Hire Date]], "dddd")</f>
        <v>Tuesday</v>
      </c>
      <c r="K770" s="1" t="str">
        <f>TEXT(Employee_Sample_Data_1[[#This Row],[Hire Date]], "mmmm")</f>
        <v>February</v>
      </c>
      <c r="L770" s="1" t="str">
        <f>TEXT(Employee_Sample_Data_1[[#This Row],[Hire Date]], "yyyy")</f>
        <v>2020</v>
      </c>
      <c r="M770" s="2">
        <v>42343</v>
      </c>
      <c r="N770" s="3">
        <v>0</v>
      </c>
      <c r="O770" s="9">
        <f>PRODUCT(Employee_Sample_Data_1[[#This Row],[Annual Salary]],Employee_Sample_Data_1[[#This Row],[Bonus %]])</f>
        <v>0</v>
      </c>
      <c r="P770" s="2">
        <f>ROUND(Employee_Sample_Data_1[[#This Row],[Annual Salary]]*(1+Employee_Sample_Data_1[[#This Row],[Bonus %]]), 0)</f>
        <v>42343</v>
      </c>
      <c r="Q770" t="s">
        <v>21</v>
      </c>
      <c r="R770" t="s">
        <v>67</v>
      </c>
      <c r="S770" s="1">
        <v>43984</v>
      </c>
      <c r="T770">
        <f ca="1">DATEDIF(Employee_Sample_Data_1[[#This Row],[Hire Date]], IF(Employee_Sample_Data_1[[#This Row],[Exit Date]] = "", TODAY(), Employee_Sample_Data_1[[#This Row],[Exit Date]]), "Y")</f>
        <v>0</v>
      </c>
    </row>
    <row r="771" spans="1:20" x14ac:dyDescent="0.25">
      <c r="A771" t="s">
        <v>1615</v>
      </c>
      <c r="B771" t="s">
        <v>1616</v>
      </c>
      <c r="C771" t="s">
        <v>51</v>
      </c>
      <c r="D771" t="s">
        <v>52</v>
      </c>
      <c r="E771" t="s">
        <v>27</v>
      </c>
      <c r="F771" t="s">
        <v>19</v>
      </c>
      <c r="G771" t="s">
        <v>63</v>
      </c>
      <c r="H771">
        <v>26</v>
      </c>
      <c r="I771" s="1">
        <v>44688</v>
      </c>
      <c r="J771" s="1" t="str">
        <f>TEXT(Employee_Sample_Data_1[[#This Row],[Hire Date]], "dddd")</f>
        <v>Saturday</v>
      </c>
      <c r="K771" s="1" t="str">
        <f>TEXT(Employee_Sample_Data_1[[#This Row],[Hire Date]], "mmmm")</f>
        <v>May</v>
      </c>
      <c r="L771" s="1" t="str">
        <f>TEXT(Employee_Sample_Data_1[[#This Row],[Hire Date]], "yyyy")</f>
        <v>2022</v>
      </c>
      <c r="M771" s="2">
        <v>70275</v>
      </c>
      <c r="N771" s="3">
        <v>0</v>
      </c>
      <c r="O771" s="9">
        <f>PRODUCT(Employee_Sample_Data_1[[#This Row],[Annual Salary]],Employee_Sample_Data_1[[#This Row],[Bonus %]])</f>
        <v>0</v>
      </c>
      <c r="P771" s="2">
        <f>ROUND(Employee_Sample_Data_1[[#This Row],[Annual Salary]]*(1+Employee_Sample_Data_1[[#This Row],[Bonus %]]), 0)</f>
        <v>70275</v>
      </c>
      <c r="Q771" t="s">
        <v>21</v>
      </c>
      <c r="R771" t="s">
        <v>22</v>
      </c>
      <c r="T771">
        <f ca="1">DATEDIF(Employee_Sample_Data_1[[#This Row],[Hire Date]], IF(Employee_Sample_Data_1[[#This Row],[Exit Date]] = "", TODAY(), Employee_Sample_Data_1[[#This Row],[Exit Date]]), "Y")</f>
        <v>4</v>
      </c>
    </row>
    <row r="772" spans="1:20" x14ac:dyDescent="0.25">
      <c r="A772" t="s">
        <v>1617</v>
      </c>
      <c r="B772" t="s">
        <v>1618</v>
      </c>
      <c r="C772" t="s">
        <v>57</v>
      </c>
      <c r="D772" t="s">
        <v>26</v>
      </c>
      <c r="E772" t="s">
        <v>27</v>
      </c>
      <c r="F772" t="s">
        <v>39</v>
      </c>
      <c r="G772" t="s">
        <v>40</v>
      </c>
      <c r="H772">
        <v>34</v>
      </c>
      <c r="I772" s="1">
        <v>41007</v>
      </c>
      <c r="J772" s="1" t="str">
        <f>TEXT(Employee_Sample_Data_1[[#This Row],[Hire Date]], "dddd")</f>
        <v>Sunday</v>
      </c>
      <c r="K772" s="1" t="str">
        <f>TEXT(Employee_Sample_Data_1[[#This Row],[Hire Date]], "mmmm")</f>
        <v>April</v>
      </c>
      <c r="L772" s="1" t="str">
        <f>TEXT(Employee_Sample_Data_1[[#This Row],[Hire Date]], "yyyy")</f>
        <v>2012</v>
      </c>
      <c r="M772" s="2">
        <v>51448</v>
      </c>
      <c r="N772" s="3">
        <v>0</v>
      </c>
      <c r="O772" s="9">
        <f>PRODUCT(Employee_Sample_Data_1[[#This Row],[Annual Salary]],Employee_Sample_Data_1[[#This Row],[Bonus %]])</f>
        <v>0</v>
      </c>
      <c r="P772" s="2">
        <f>ROUND(Employee_Sample_Data_1[[#This Row],[Annual Salary]]*(1+Employee_Sample_Data_1[[#This Row],[Bonus %]]), 0)</f>
        <v>51448</v>
      </c>
      <c r="Q772" t="s">
        <v>134</v>
      </c>
      <c r="R772" t="s">
        <v>286</v>
      </c>
      <c r="T772">
        <f ca="1">DATEDIF(Employee_Sample_Data_1[[#This Row],[Hire Date]], IF(Employee_Sample_Data_1[[#This Row],[Exit Date]] = "", TODAY(), Employee_Sample_Data_1[[#This Row],[Exit Date]]), "Y")</f>
        <v>14</v>
      </c>
    </row>
    <row r="773" spans="1:20" x14ac:dyDescent="0.25">
      <c r="A773" t="s">
        <v>1619</v>
      </c>
      <c r="B773" t="s">
        <v>1620</v>
      </c>
      <c r="C773" t="s">
        <v>86</v>
      </c>
      <c r="D773" t="s">
        <v>17</v>
      </c>
      <c r="E773" t="s">
        <v>18</v>
      </c>
      <c r="F773" t="s">
        <v>39</v>
      </c>
      <c r="G773" t="s">
        <v>20</v>
      </c>
      <c r="H773">
        <v>48</v>
      </c>
      <c r="I773" s="1">
        <v>39912</v>
      </c>
      <c r="J773" s="1" t="str">
        <f>TEXT(Employee_Sample_Data_1[[#This Row],[Hire Date]], "dddd")</f>
        <v>Thursday</v>
      </c>
      <c r="K773" s="1" t="str">
        <f>TEXT(Employee_Sample_Data_1[[#This Row],[Hire Date]], "mmmm")</f>
        <v>April</v>
      </c>
      <c r="L773" s="1" t="str">
        <f>TEXT(Employee_Sample_Data_1[[#This Row],[Hire Date]], "yyyy")</f>
        <v>2009</v>
      </c>
      <c r="M773" s="2">
        <v>185363</v>
      </c>
      <c r="N773" s="3">
        <v>0.33</v>
      </c>
      <c r="O773" s="9">
        <f>PRODUCT(Employee_Sample_Data_1[[#This Row],[Annual Salary]],Employee_Sample_Data_1[[#This Row],[Bonus %]])</f>
        <v>61169.79</v>
      </c>
      <c r="P773" s="2">
        <f>ROUND(Employee_Sample_Data_1[[#This Row],[Annual Salary]]*(1+Employee_Sample_Data_1[[#This Row],[Bonus %]]), 0)</f>
        <v>246533</v>
      </c>
      <c r="Q773" t="s">
        <v>34</v>
      </c>
      <c r="R773" t="s">
        <v>35</v>
      </c>
      <c r="T773">
        <f ca="1">DATEDIF(Employee_Sample_Data_1[[#This Row],[Hire Date]], IF(Employee_Sample_Data_1[[#This Row],[Exit Date]] = "", TODAY(), Employee_Sample_Data_1[[#This Row],[Exit Date]]), "Y")</f>
        <v>17</v>
      </c>
    </row>
    <row r="774" spans="1:20" x14ac:dyDescent="0.25">
      <c r="A774" t="s">
        <v>1621</v>
      </c>
      <c r="B774" t="s">
        <v>1622</v>
      </c>
      <c r="C774" t="s">
        <v>170</v>
      </c>
      <c r="D774" t="s">
        <v>32</v>
      </c>
      <c r="E774" t="s">
        <v>18</v>
      </c>
      <c r="F774" t="s">
        <v>19</v>
      </c>
      <c r="G774" t="s">
        <v>63</v>
      </c>
      <c r="H774">
        <v>52</v>
      </c>
      <c r="I774" s="1">
        <v>43363</v>
      </c>
      <c r="J774" s="1" t="str">
        <f>TEXT(Employee_Sample_Data_1[[#This Row],[Hire Date]], "dddd")</f>
        <v>Thursday</v>
      </c>
      <c r="K774" s="1" t="str">
        <f>TEXT(Employee_Sample_Data_1[[#This Row],[Hire Date]], "mmmm")</f>
        <v>September</v>
      </c>
      <c r="L774" s="1" t="str">
        <f>TEXT(Employee_Sample_Data_1[[#This Row],[Hire Date]], "yyyy")</f>
        <v>2018</v>
      </c>
      <c r="M774" s="2">
        <v>60784</v>
      </c>
      <c r="N774" s="3">
        <v>0</v>
      </c>
      <c r="O774" s="9">
        <f>PRODUCT(Employee_Sample_Data_1[[#This Row],[Annual Salary]],Employee_Sample_Data_1[[#This Row],[Bonus %]])</f>
        <v>0</v>
      </c>
      <c r="P774" s="2">
        <f>ROUND(Employee_Sample_Data_1[[#This Row],[Annual Salary]]*(1+Employee_Sample_Data_1[[#This Row],[Bonus %]]), 0)</f>
        <v>60784</v>
      </c>
      <c r="Q774" t="s">
        <v>21</v>
      </c>
      <c r="R774" t="s">
        <v>45</v>
      </c>
      <c r="T774">
        <f ca="1">DATEDIF(Employee_Sample_Data_1[[#This Row],[Hire Date]], IF(Employee_Sample_Data_1[[#This Row],[Exit Date]] = "", TODAY(), Employee_Sample_Data_1[[#This Row],[Exit Date]]), "Y")</f>
        <v>7</v>
      </c>
    </row>
    <row r="775" spans="1:20" x14ac:dyDescent="0.25">
      <c r="A775" t="s">
        <v>1623</v>
      </c>
      <c r="B775" t="s">
        <v>1624</v>
      </c>
      <c r="C775" t="s">
        <v>25</v>
      </c>
      <c r="D775" t="s">
        <v>52</v>
      </c>
      <c r="E775" t="s">
        <v>53</v>
      </c>
      <c r="F775" t="s">
        <v>39</v>
      </c>
      <c r="G775" t="s">
        <v>40</v>
      </c>
      <c r="H775">
        <v>45</v>
      </c>
      <c r="I775" s="1">
        <v>38084</v>
      </c>
      <c r="J775" s="1" t="str">
        <f>TEXT(Employee_Sample_Data_1[[#This Row],[Hire Date]], "dddd")</f>
        <v>Wednesday</v>
      </c>
      <c r="K775" s="1" t="str">
        <f>TEXT(Employee_Sample_Data_1[[#This Row],[Hire Date]], "mmmm")</f>
        <v>April</v>
      </c>
      <c r="L775" s="1" t="str">
        <f>TEXT(Employee_Sample_Data_1[[#This Row],[Hire Date]], "yyyy")</f>
        <v>2004</v>
      </c>
      <c r="M775" s="2">
        <v>45323</v>
      </c>
      <c r="N775" s="3">
        <v>0</v>
      </c>
      <c r="O775" s="9">
        <f>PRODUCT(Employee_Sample_Data_1[[#This Row],[Annual Salary]],Employee_Sample_Data_1[[#This Row],[Bonus %]])</f>
        <v>0</v>
      </c>
      <c r="P775" s="2">
        <f>ROUND(Employee_Sample_Data_1[[#This Row],[Annual Salary]]*(1+Employee_Sample_Data_1[[#This Row],[Bonus %]]), 0)</f>
        <v>45323</v>
      </c>
      <c r="Q775" t="s">
        <v>134</v>
      </c>
      <c r="R775" t="s">
        <v>135</v>
      </c>
      <c r="T775">
        <f ca="1">DATEDIF(Employee_Sample_Data_1[[#This Row],[Hire Date]], IF(Employee_Sample_Data_1[[#This Row],[Exit Date]] = "", TODAY(), Employee_Sample_Data_1[[#This Row],[Exit Date]]), "Y")</f>
        <v>22</v>
      </c>
    </row>
    <row r="776" spans="1:20" x14ac:dyDescent="0.25">
      <c r="A776" t="s">
        <v>1625</v>
      </c>
      <c r="B776" t="s">
        <v>293</v>
      </c>
      <c r="C776" t="s">
        <v>66</v>
      </c>
      <c r="D776" t="s">
        <v>58</v>
      </c>
      <c r="E776" t="s">
        <v>53</v>
      </c>
      <c r="F776" t="s">
        <v>39</v>
      </c>
      <c r="G776" t="s">
        <v>40</v>
      </c>
      <c r="H776">
        <v>51</v>
      </c>
      <c r="I776" s="1">
        <v>41162</v>
      </c>
      <c r="J776" s="1" t="str">
        <f>TEXT(Employee_Sample_Data_1[[#This Row],[Hire Date]], "dddd")</f>
        <v>Monday</v>
      </c>
      <c r="K776" s="1" t="str">
        <f>TEXT(Employee_Sample_Data_1[[#This Row],[Hire Date]], "mmmm")</f>
        <v>September</v>
      </c>
      <c r="L776" s="1" t="str">
        <f>TEXT(Employee_Sample_Data_1[[#This Row],[Hire Date]], "yyyy")</f>
        <v>2012</v>
      </c>
      <c r="M776" s="2">
        <v>129727</v>
      </c>
      <c r="N776" s="3">
        <v>0.08</v>
      </c>
      <c r="O776" s="9">
        <f>PRODUCT(Employee_Sample_Data_1[[#This Row],[Annual Salary]],Employee_Sample_Data_1[[#This Row],[Bonus %]])</f>
        <v>10378.16</v>
      </c>
      <c r="P776" s="2">
        <f>ROUND(Employee_Sample_Data_1[[#This Row],[Annual Salary]]*(1+Employee_Sample_Data_1[[#This Row],[Bonus %]]), 0)</f>
        <v>140105</v>
      </c>
      <c r="Q776" t="s">
        <v>21</v>
      </c>
      <c r="R776" t="s">
        <v>48</v>
      </c>
      <c r="S776" s="1">
        <v>44476</v>
      </c>
      <c r="T776">
        <f ca="1">DATEDIF(Employee_Sample_Data_1[[#This Row],[Hire Date]], IF(Employee_Sample_Data_1[[#This Row],[Exit Date]] = "", TODAY(), Employee_Sample_Data_1[[#This Row],[Exit Date]]), "Y")</f>
        <v>9</v>
      </c>
    </row>
    <row r="777" spans="1:20" x14ac:dyDescent="0.25">
      <c r="A777" t="s">
        <v>1626</v>
      </c>
      <c r="B777" t="s">
        <v>1627</v>
      </c>
      <c r="C777" t="s">
        <v>101</v>
      </c>
      <c r="D777" t="s">
        <v>26</v>
      </c>
      <c r="E777" t="s">
        <v>53</v>
      </c>
      <c r="F777" t="s">
        <v>39</v>
      </c>
      <c r="G777" t="s">
        <v>20</v>
      </c>
      <c r="H777">
        <v>43</v>
      </c>
      <c r="I777" s="1">
        <v>38990</v>
      </c>
      <c r="J777" s="1" t="str">
        <f>TEXT(Employee_Sample_Data_1[[#This Row],[Hire Date]], "dddd")</f>
        <v>Saturday</v>
      </c>
      <c r="K777" s="1" t="str">
        <f>TEXT(Employee_Sample_Data_1[[#This Row],[Hire Date]], "mmmm")</f>
        <v>September</v>
      </c>
      <c r="L777" s="1" t="str">
        <f>TEXT(Employee_Sample_Data_1[[#This Row],[Hire Date]], "yyyy")</f>
        <v>2006</v>
      </c>
      <c r="M777" s="2">
        <v>63229</v>
      </c>
      <c r="N777" s="3">
        <v>0</v>
      </c>
      <c r="O777" s="9">
        <f>PRODUCT(Employee_Sample_Data_1[[#This Row],[Annual Salary]],Employee_Sample_Data_1[[#This Row],[Bonus %]])</f>
        <v>0</v>
      </c>
      <c r="P777" s="2">
        <f>ROUND(Employee_Sample_Data_1[[#This Row],[Annual Salary]]*(1+Employee_Sample_Data_1[[#This Row],[Bonus %]]), 0)</f>
        <v>63229</v>
      </c>
      <c r="Q777" t="s">
        <v>21</v>
      </c>
      <c r="R777" t="s">
        <v>67</v>
      </c>
      <c r="T777">
        <f ca="1">DATEDIF(Employee_Sample_Data_1[[#This Row],[Hire Date]], IF(Employee_Sample_Data_1[[#This Row],[Exit Date]] = "", TODAY(), Employee_Sample_Data_1[[#This Row],[Exit Date]]), "Y")</f>
        <v>19</v>
      </c>
    </row>
    <row r="778" spans="1:20" x14ac:dyDescent="0.25">
      <c r="A778" t="s">
        <v>1628</v>
      </c>
      <c r="B778" t="s">
        <v>1629</v>
      </c>
      <c r="C778" t="s">
        <v>44</v>
      </c>
      <c r="D778" t="s">
        <v>52</v>
      </c>
      <c r="E778" t="s">
        <v>27</v>
      </c>
      <c r="F778" t="s">
        <v>19</v>
      </c>
      <c r="G778" t="s">
        <v>63</v>
      </c>
      <c r="H778">
        <v>54</v>
      </c>
      <c r="I778" s="1">
        <v>38029</v>
      </c>
      <c r="J778" s="1" t="str">
        <f>TEXT(Employee_Sample_Data_1[[#This Row],[Hire Date]], "dddd")</f>
        <v>Thursday</v>
      </c>
      <c r="K778" s="1" t="str">
        <f>TEXT(Employee_Sample_Data_1[[#This Row],[Hire Date]], "mmmm")</f>
        <v>February</v>
      </c>
      <c r="L778" s="1" t="str">
        <f>TEXT(Employee_Sample_Data_1[[#This Row],[Hire Date]], "yyyy")</f>
        <v>2004</v>
      </c>
      <c r="M778" s="2">
        <v>194221</v>
      </c>
      <c r="N778" s="3">
        <v>0.16</v>
      </c>
      <c r="O778" s="9">
        <f>PRODUCT(Employee_Sample_Data_1[[#This Row],[Annual Salary]],Employee_Sample_Data_1[[#This Row],[Bonus %]])</f>
        <v>31075.360000000001</v>
      </c>
      <c r="P778" s="2">
        <f>ROUND(Employee_Sample_Data_1[[#This Row],[Annual Salary]]*(1+Employee_Sample_Data_1[[#This Row],[Bonus %]]), 0)</f>
        <v>225296</v>
      </c>
      <c r="Q778" t="s">
        <v>21</v>
      </c>
      <c r="R778" t="s">
        <v>45</v>
      </c>
      <c r="T778">
        <f ca="1">DATEDIF(Employee_Sample_Data_1[[#This Row],[Hire Date]], IF(Employee_Sample_Data_1[[#This Row],[Exit Date]] = "", TODAY(), Employee_Sample_Data_1[[#This Row],[Exit Date]]), "Y")</f>
        <v>22</v>
      </c>
    </row>
    <row r="779" spans="1:20" x14ac:dyDescent="0.25">
      <c r="A779" t="s">
        <v>1630</v>
      </c>
      <c r="B779" t="s">
        <v>1631</v>
      </c>
      <c r="C779" t="s">
        <v>51</v>
      </c>
      <c r="D779" t="s">
        <v>26</v>
      </c>
      <c r="E779" t="s">
        <v>33</v>
      </c>
      <c r="F779" t="s">
        <v>39</v>
      </c>
      <c r="G779" t="s">
        <v>63</v>
      </c>
      <c r="H779">
        <v>54</v>
      </c>
      <c r="I779" s="1">
        <v>43446</v>
      </c>
      <c r="J779" s="1" t="str">
        <f>TEXT(Employee_Sample_Data_1[[#This Row],[Hire Date]], "dddd")</f>
        <v>Wednesday</v>
      </c>
      <c r="K779" s="1" t="str">
        <f>TEXT(Employee_Sample_Data_1[[#This Row],[Hire Date]], "mmmm")</f>
        <v>December</v>
      </c>
      <c r="L779" s="1" t="str">
        <f>TEXT(Employee_Sample_Data_1[[#This Row],[Hire Date]], "yyyy")</f>
        <v>2018</v>
      </c>
      <c r="M779" s="2">
        <v>78020</v>
      </c>
      <c r="N779" s="3">
        <v>0</v>
      </c>
      <c r="O779" s="9">
        <f>PRODUCT(Employee_Sample_Data_1[[#This Row],[Annual Salary]],Employee_Sample_Data_1[[#This Row],[Bonus %]])</f>
        <v>0</v>
      </c>
      <c r="P779" s="2">
        <f>ROUND(Employee_Sample_Data_1[[#This Row],[Annual Salary]]*(1+Employee_Sample_Data_1[[#This Row],[Bonus %]]), 0)</f>
        <v>78020</v>
      </c>
      <c r="Q779" t="s">
        <v>21</v>
      </c>
      <c r="R779" t="s">
        <v>22</v>
      </c>
      <c r="T779">
        <f ca="1">DATEDIF(Employee_Sample_Data_1[[#This Row],[Hire Date]], IF(Employee_Sample_Data_1[[#This Row],[Exit Date]] = "", TODAY(), Employee_Sample_Data_1[[#This Row],[Exit Date]]), "Y")</f>
        <v>7</v>
      </c>
    </row>
    <row r="780" spans="1:20" x14ac:dyDescent="0.25">
      <c r="A780" t="s">
        <v>1632</v>
      </c>
      <c r="B780" t="s">
        <v>1633</v>
      </c>
      <c r="C780" t="s">
        <v>86</v>
      </c>
      <c r="D780" t="s">
        <v>52</v>
      </c>
      <c r="E780" t="s">
        <v>53</v>
      </c>
      <c r="F780" t="s">
        <v>19</v>
      </c>
      <c r="G780" t="s">
        <v>63</v>
      </c>
      <c r="H780">
        <v>25</v>
      </c>
      <c r="I780" s="1">
        <v>44841</v>
      </c>
      <c r="J780" s="1" t="str">
        <f>TEXT(Employee_Sample_Data_1[[#This Row],[Hire Date]], "dddd")</f>
        <v>Friday</v>
      </c>
      <c r="K780" s="1" t="str">
        <f>TEXT(Employee_Sample_Data_1[[#This Row],[Hire Date]], "mmmm")</f>
        <v>October</v>
      </c>
      <c r="L780" s="1" t="str">
        <f>TEXT(Employee_Sample_Data_1[[#This Row],[Hire Date]], "yyyy")</f>
        <v>2022</v>
      </c>
      <c r="M780" s="2">
        <v>197331</v>
      </c>
      <c r="N780" s="3">
        <v>0.33</v>
      </c>
      <c r="O780" s="9">
        <f>PRODUCT(Employee_Sample_Data_1[[#This Row],[Annual Salary]],Employee_Sample_Data_1[[#This Row],[Bonus %]])</f>
        <v>65119.23</v>
      </c>
      <c r="P780" s="2">
        <f>ROUND(Employee_Sample_Data_1[[#This Row],[Annual Salary]]*(1+Employee_Sample_Data_1[[#This Row],[Bonus %]]), 0)</f>
        <v>262450</v>
      </c>
      <c r="Q780" t="s">
        <v>21</v>
      </c>
      <c r="R780" t="s">
        <v>41</v>
      </c>
      <c r="T780">
        <f ca="1">DATEDIF(Employee_Sample_Data_1[[#This Row],[Hire Date]], IF(Employee_Sample_Data_1[[#This Row],[Exit Date]] = "", TODAY(), Employee_Sample_Data_1[[#This Row],[Exit Date]]), "Y")</f>
        <v>3</v>
      </c>
    </row>
    <row r="781" spans="1:20" x14ac:dyDescent="0.25">
      <c r="A781" t="s">
        <v>1634</v>
      </c>
      <c r="B781" t="s">
        <v>1635</v>
      </c>
      <c r="C781" t="s">
        <v>57</v>
      </c>
      <c r="D781" t="s">
        <v>52</v>
      </c>
      <c r="E781" t="s">
        <v>18</v>
      </c>
      <c r="F781" t="s">
        <v>19</v>
      </c>
      <c r="G781" t="s">
        <v>40</v>
      </c>
      <c r="H781">
        <v>65</v>
      </c>
      <c r="I781" s="1">
        <v>35842</v>
      </c>
      <c r="J781" s="1" t="str">
        <f>TEXT(Employee_Sample_Data_1[[#This Row],[Hire Date]], "dddd")</f>
        <v>Monday</v>
      </c>
      <c r="K781" s="1" t="str">
        <f>TEXT(Employee_Sample_Data_1[[#This Row],[Hire Date]], "mmmm")</f>
        <v>February</v>
      </c>
      <c r="L781" s="1" t="str">
        <f>TEXT(Employee_Sample_Data_1[[#This Row],[Hire Date]], "yyyy")</f>
        <v>1998</v>
      </c>
      <c r="M781" s="2">
        <v>63346</v>
      </c>
      <c r="N781" s="3">
        <v>0</v>
      </c>
      <c r="O781" s="9">
        <f>PRODUCT(Employee_Sample_Data_1[[#This Row],[Annual Salary]],Employee_Sample_Data_1[[#This Row],[Bonus %]])</f>
        <v>0</v>
      </c>
      <c r="P781" s="2">
        <f>ROUND(Employee_Sample_Data_1[[#This Row],[Annual Salary]]*(1+Employee_Sample_Data_1[[#This Row],[Bonus %]]), 0)</f>
        <v>63346</v>
      </c>
      <c r="Q781" t="s">
        <v>134</v>
      </c>
      <c r="R781" t="s">
        <v>135</v>
      </c>
      <c r="T781">
        <f ca="1">DATEDIF(Employee_Sample_Data_1[[#This Row],[Hire Date]], IF(Employee_Sample_Data_1[[#This Row],[Exit Date]] = "", TODAY(), Employee_Sample_Data_1[[#This Row],[Exit Date]]), "Y")</f>
        <v>28</v>
      </c>
    </row>
    <row r="782" spans="1:20" x14ac:dyDescent="0.25">
      <c r="A782" t="s">
        <v>1636</v>
      </c>
      <c r="B782" t="s">
        <v>1637</v>
      </c>
      <c r="C782" t="s">
        <v>16</v>
      </c>
      <c r="D782" t="s">
        <v>17</v>
      </c>
      <c r="E782" t="s">
        <v>18</v>
      </c>
      <c r="F782" t="s">
        <v>19</v>
      </c>
      <c r="G782" t="s">
        <v>40</v>
      </c>
      <c r="H782">
        <v>40</v>
      </c>
      <c r="I782" s="1">
        <v>41831</v>
      </c>
      <c r="J782" s="1" t="str">
        <f>TEXT(Employee_Sample_Data_1[[#This Row],[Hire Date]], "dddd")</f>
        <v>Friday</v>
      </c>
      <c r="K782" s="1" t="str">
        <f>TEXT(Employee_Sample_Data_1[[#This Row],[Hire Date]], "mmmm")</f>
        <v>July</v>
      </c>
      <c r="L782" s="1" t="str">
        <f>TEXT(Employee_Sample_Data_1[[#This Row],[Hire Date]], "yyyy")</f>
        <v>2014</v>
      </c>
      <c r="M782" s="2">
        <v>105574</v>
      </c>
      <c r="N782" s="3">
        <v>0</v>
      </c>
      <c r="O782" s="9">
        <f>PRODUCT(Employee_Sample_Data_1[[#This Row],[Annual Salary]],Employee_Sample_Data_1[[#This Row],[Bonus %]])</f>
        <v>0</v>
      </c>
      <c r="P782" s="2">
        <f>ROUND(Employee_Sample_Data_1[[#This Row],[Annual Salary]]*(1+Employee_Sample_Data_1[[#This Row],[Bonus %]]), 0)</f>
        <v>105574</v>
      </c>
      <c r="Q782" t="s">
        <v>21</v>
      </c>
      <c r="R782" t="s">
        <v>67</v>
      </c>
      <c r="T782">
        <f ca="1">DATEDIF(Employee_Sample_Data_1[[#This Row],[Hire Date]], IF(Employee_Sample_Data_1[[#This Row],[Exit Date]] = "", TODAY(), Employee_Sample_Data_1[[#This Row],[Exit Date]]), "Y")</f>
        <v>11</v>
      </c>
    </row>
    <row r="783" spans="1:20" x14ac:dyDescent="0.25">
      <c r="A783" t="s">
        <v>1638</v>
      </c>
      <c r="B783" t="s">
        <v>1639</v>
      </c>
      <c r="C783" t="s">
        <v>433</v>
      </c>
      <c r="D783" t="s">
        <v>17</v>
      </c>
      <c r="E783" t="s">
        <v>27</v>
      </c>
      <c r="F783" t="s">
        <v>19</v>
      </c>
      <c r="G783" t="s">
        <v>20</v>
      </c>
      <c r="H783">
        <v>31</v>
      </c>
      <c r="I783" s="1">
        <v>42106</v>
      </c>
      <c r="J783" s="1" t="str">
        <f>TEXT(Employee_Sample_Data_1[[#This Row],[Hire Date]], "dddd")</f>
        <v>Sunday</v>
      </c>
      <c r="K783" s="1" t="str">
        <f>TEXT(Employee_Sample_Data_1[[#This Row],[Hire Date]], "mmmm")</f>
        <v>April</v>
      </c>
      <c r="L783" s="1" t="str">
        <f>TEXT(Employee_Sample_Data_1[[#This Row],[Hire Date]], "yyyy")</f>
        <v>2015</v>
      </c>
      <c r="M783" s="2">
        <v>101941</v>
      </c>
      <c r="N783" s="3">
        <v>0</v>
      </c>
      <c r="O783" s="9">
        <f>PRODUCT(Employee_Sample_Data_1[[#This Row],[Annual Salary]],Employee_Sample_Data_1[[#This Row],[Bonus %]])</f>
        <v>0</v>
      </c>
      <c r="P783" s="2">
        <f>ROUND(Employee_Sample_Data_1[[#This Row],[Annual Salary]]*(1+Employee_Sample_Data_1[[#This Row],[Bonus %]]), 0)</f>
        <v>101941</v>
      </c>
      <c r="Q783" t="s">
        <v>34</v>
      </c>
      <c r="R783" t="s">
        <v>108</v>
      </c>
      <c r="T783">
        <f ca="1">DATEDIF(Employee_Sample_Data_1[[#This Row],[Hire Date]], IF(Employee_Sample_Data_1[[#This Row],[Exit Date]] = "", TODAY(), Employee_Sample_Data_1[[#This Row],[Exit Date]]), "Y")</f>
        <v>11</v>
      </c>
    </row>
    <row r="784" spans="1:20" x14ac:dyDescent="0.25">
      <c r="A784" t="s">
        <v>1640</v>
      </c>
      <c r="B784" t="s">
        <v>1641</v>
      </c>
      <c r="C784" t="s">
        <v>224</v>
      </c>
      <c r="D784" t="s">
        <v>32</v>
      </c>
      <c r="E784" t="s">
        <v>33</v>
      </c>
      <c r="F784" t="s">
        <v>19</v>
      </c>
      <c r="G784" t="s">
        <v>81</v>
      </c>
      <c r="H784">
        <v>45</v>
      </c>
      <c r="I784" s="1">
        <v>38550</v>
      </c>
      <c r="J784" s="1" t="str">
        <f>TEXT(Employee_Sample_Data_1[[#This Row],[Hire Date]], "dddd")</f>
        <v>Sunday</v>
      </c>
      <c r="K784" s="1" t="str">
        <f>TEXT(Employee_Sample_Data_1[[#This Row],[Hire Date]], "mmmm")</f>
        <v>July</v>
      </c>
      <c r="L784" s="1" t="str">
        <f>TEXT(Employee_Sample_Data_1[[#This Row],[Hire Date]], "yyyy")</f>
        <v>2005</v>
      </c>
      <c r="M784" s="2">
        <v>74777</v>
      </c>
      <c r="N784" s="3">
        <v>0</v>
      </c>
      <c r="O784" s="9">
        <f>PRODUCT(Employee_Sample_Data_1[[#This Row],[Annual Salary]],Employee_Sample_Data_1[[#This Row],[Bonus %]])</f>
        <v>0</v>
      </c>
      <c r="P784" s="2">
        <f>ROUND(Employee_Sample_Data_1[[#This Row],[Annual Salary]]*(1+Employee_Sample_Data_1[[#This Row],[Bonus %]]), 0)</f>
        <v>74777</v>
      </c>
      <c r="Q784" t="s">
        <v>21</v>
      </c>
      <c r="R784" t="s">
        <v>45</v>
      </c>
      <c r="T784">
        <f ca="1">DATEDIF(Employee_Sample_Data_1[[#This Row],[Hire Date]], IF(Employee_Sample_Data_1[[#This Row],[Exit Date]] = "", TODAY(), Employee_Sample_Data_1[[#This Row],[Exit Date]]), "Y")</f>
        <v>20</v>
      </c>
    </row>
    <row r="785" spans="1:20" x14ac:dyDescent="0.25">
      <c r="A785" t="s">
        <v>1642</v>
      </c>
      <c r="B785" t="s">
        <v>1643</v>
      </c>
      <c r="C785" t="s">
        <v>25</v>
      </c>
      <c r="D785" t="s">
        <v>26</v>
      </c>
      <c r="E785" t="s">
        <v>33</v>
      </c>
      <c r="F785" t="s">
        <v>19</v>
      </c>
      <c r="G785" t="s">
        <v>63</v>
      </c>
      <c r="H785">
        <v>40</v>
      </c>
      <c r="I785" s="1">
        <v>44454</v>
      </c>
      <c r="J785" s="1" t="str">
        <f>TEXT(Employee_Sample_Data_1[[#This Row],[Hire Date]], "dddd")</f>
        <v>Wednesday</v>
      </c>
      <c r="K785" s="1" t="str">
        <f>TEXT(Employee_Sample_Data_1[[#This Row],[Hire Date]], "mmmm")</f>
        <v>September</v>
      </c>
      <c r="L785" s="1" t="str">
        <f>TEXT(Employee_Sample_Data_1[[#This Row],[Hire Date]], "yyyy")</f>
        <v>2021</v>
      </c>
      <c r="M785" s="2">
        <v>59447</v>
      </c>
      <c r="N785" s="3">
        <v>0</v>
      </c>
      <c r="O785" s="9">
        <f>PRODUCT(Employee_Sample_Data_1[[#This Row],[Annual Salary]],Employee_Sample_Data_1[[#This Row],[Bonus %]])</f>
        <v>0</v>
      </c>
      <c r="P785" s="2">
        <f>ROUND(Employee_Sample_Data_1[[#This Row],[Annual Salary]]*(1+Employee_Sample_Data_1[[#This Row],[Bonus %]]), 0)</f>
        <v>59447</v>
      </c>
      <c r="Q785" t="s">
        <v>21</v>
      </c>
      <c r="R785" t="s">
        <v>45</v>
      </c>
      <c r="T785">
        <f ca="1">DATEDIF(Employee_Sample_Data_1[[#This Row],[Hire Date]], IF(Employee_Sample_Data_1[[#This Row],[Exit Date]] = "", TODAY(), Employee_Sample_Data_1[[#This Row],[Exit Date]]), "Y")</f>
        <v>4</v>
      </c>
    </row>
    <row r="786" spans="1:20" x14ac:dyDescent="0.25">
      <c r="A786" t="s">
        <v>1644</v>
      </c>
      <c r="B786" t="s">
        <v>1645</v>
      </c>
      <c r="C786" t="s">
        <v>66</v>
      </c>
      <c r="D786" t="s">
        <v>77</v>
      </c>
      <c r="E786" t="s">
        <v>18</v>
      </c>
      <c r="F786" t="s">
        <v>19</v>
      </c>
      <c r="G786" t="s">
        <v>20</v>
      </c>
      <c r="H786">
        <v>25</v>
      </c>
      <c r="I786" s="1">
        <v>44538</v>
      </c>
      <c r="J786" s="1" t="str">
        <f>TEXT(Employee_Sample_Data_1[[#This Row],[Hire Date]], "dddd")</f>
        <v>Wednesday</v>
      </c>
      <c r="K786" s="1" t="str">
        <f>TEXT(Employee_Sample_Data_1[[#This Row],[Hire Date]], "mmmm")</f>
        <v>December</v>
      </c>
      <c r="L786" s="1" t="str">
        <f>TEXT(Employee_Sample_Data_1[[#This Row],[Hire Date]], "yyyy")</f>
        <v>2021</v>
      </c>
      <c r="M786" s="2">
        <v>105072</v>
      </c>
      <c r="N786" s="3">
        <v>0.06</v>
      </c>
      <c r="O786" s="9">
        <f>PRODUCT(Employee_Sample_Data_1[[#This Row],[Annual Salary]],Employee_Sample_Data_1[[#This Row],[Bonus %]])</f>
        <v>6304.32</v>
      </c>
      <c r="P786" s="2">
        <f>ROUND(Employee_Sample_Data_1[[#This Row],[Annual Salary]]*(1+Employee_Sample_Data_1[[#This Row],[Bonus %]]), 0)</f>
        <v>111376</v>
      </c>
      <c r="Q786" t="s">
        <v>34</v>
      </c>
      <c r="R786" t="s">
        <v>59</v>
      </c>
      <c r="T786">
        <f ca="1">DATEDIF(Employee_Sample_Data_1[[#This Row],[Hire Date]], IF(Employee_Sample_Data_1[[#This Row],[Exit Date]] = "", TODAY(), Employee_Sample_Data_1[[#This Row],[Exit Date]]), "Y")</f>
        <v>4</v>
      </c>
    </row>
    <row r="787" spans="1:20" x14ac:dyDescent="0.25">
      <c r="A787" t="s">
        <v>1646</v>
      </c>
      <c r="B787" t="s">
        <v>1647</v>
      </c>
      <c r="C787" t="s">
        <v>402</v>
      </c>
      <c r="D787" t="s">
        <v>26</v>
      </c>
      <c r="E787" t="s">
        <v>33</v>
      </c>
      <c r="F787" t="s">
        <v>19</v>
      </c>
      <c r="G787" t="s">
        <v>40</v>
      </c>
      <c r="H787">
        <v>55</v>
      </c>
      <c r="I787" s="1">
        <v>37892</v>
      </c>
      <c r="J787" s="1" t="str">
        <f>TEXT(Employee_Sample_Data_1[[#This Row],[Hire Date]], "dddd")</f>
        <v>Sunday</v>
      </c>
      <c r="K787" s="1" t="str">
        <f>TEXT(Employee_Sample_Data_1[[#This Row],[Hire Date]], "mmmm")</f>
        <v>September</v>
      </c>
      <c r="L787" s="1" t="str">
        <f>TEXT(Employee_Sample_Data_1[[#This Row],[Hire Date]], "yyyy")</f>
        <v>2003</v>
      </c>
      <c r="M787" s="2">
        <v>74216</v>
      </c>
      <c r="N787" s="3">
        <v>0</v>
      </c>
      <c r="O787" s="9">
        <f>PRODUCT(Employee_Sample_Data_1[[#This Row],[Annual Salary]],Employee_Sample_Data_1[[#This Row],[Bonus %]])</f>
        <v>0</v>
      </c>
      <c r="P787" s="2">
        <f>ROUND(Employee_Sample_Data_1[[#This Row],[Annual Salary]]*(1+Employee_Sample_Data_1[[#This Row],[Bonus %]]), 0)</f>
        <v>74216</v>
      </c>
      <c r="Q787" t="s">
        <v>134</v>
      </c>
      <c r="R787" t="s">
        <v>286</v>
      </c>
      <c r="T787">
        <f ca="1">DATEDIF(Employee_Sample_Data_1[[#This Row],[Hire Date]], IF(Employee_Sample_Data_1[[#This Row],[Exit Date]] = "", TODAY(), Employee_Sample_Data_1[[#This Row],[Exit Date]]), "Y")</f>
        <v>22</v>
      </c>
    </row>
    <row r="788" spans="1:20" x14ac:dyDescent="0.25">
      <c r="A788" t="s">
        <v>1648</v>
      </c>
      <c r="B788" t="s">
        <v>1649</v>
      </c>
      <c r="C788" t="s">
        <v>80</v>
      </c>
      <c r="D788" t="s">
        <v>77</v>
      </c>
      <c r="E788" t="s">
        <v>27</v>
      </c>
      <c r="F788" t="s">
        <v>39</v>
      </c>
      <c r="G788" t="s">
        <v>20</v>
      </c>
      <c r="H788">
        <v>37</v>
      </c>
      <c r="I788" s="1">
        <v>44320</v>
      </c>
      <c r="J788" s="1" t="str">
        <f>TEXT(Employee_Sample_Data_1[[#This Row],[Hire Date]], "dddd")</f>
        <v>Tuesday</v>
      </c>
      <c r="K788" s="1" t="str">
        <f>TEXT(Employee_Sample_Data_1[[#This Row],[Hire Date]], "mmmm")</f>
        <v>May</v>
      </c>
      <c r="L788" s="1" t="str">
        <f>TEXT(Employee_Sample_Data_1[[#This Row],[Hire Date]], "yyyy")</f>
        <v>2021</v>
      </c>
      <c r="M788" s="2">
        <v>151363</v>
      </c>
      <c r="N788" s="3">
        <v>0.12</v>
      </c>
      <c r="O788" s="9">
        <f>PRODUCT(Employee_Sample_Data_1[[#This Row],[Annual Salary]],Employee_Sample_Data_1[[#This Row],[Bonus %]])</f>
        <v>18163.559999999998</v>
      </c>
      <c r="P788" s="2">
        <f>ROUND(Employee_Sample_Data_1[[#This Row],[Annual Salary]]*(1+Employee_Sample_Data_1[[#This Row],[Bonus %]]), 0)</f>
        <v>169527</v>
      </c>
      <c r="Q788" t="s">
        <v>21</v>
      </c>
      <c r="R788" t="s">
        <v>67</v>
      </c>
      <c r="T788">
        <f ca="1">DATEDIF(Employee_Sample_Data_1[[#This Row],[Hire Date]], IF(Employee_Sample_Data_1[[#This Row],[Exit Date]] = "", TODAY(), Employee_Sample_Data_1[[#This Row],[Exit Date]]), "Y")</f>
        <v>5</v>
      </c>
    </row>
    <row r="789" spans="1:20" x14ac:dyDescent="0.25">
      <c r="A789" t="s">
        <v>1650</v>
      </c>
      <c r="B789" t="s">
        <v>1651</v>
      </c>
      <c r="C789" t="s">
        <v>244</v>
      </c>
      <c r="D789" t="s">
        <v>123</v>
      </c>
      <c r="E789" t="s">
        <v>33</v>
      </c>
      <c r="F789" t="s">
        <v>39</v>
      </c>
      <c r="G789" t="s">
        <v>40</v>
      </c>
      <c r="H789">
        <v>58</v>
      </c>
      <c r="I789" s="1">
        <v>36554</v>
      </c>
      <c r="J789" s="1" t="str">
        <f>TEXT(Employee_Sample_Data_1[[#This Row],[Hire Date]], "dddd")</f>
        <v>Saturday</v>
      </c>
      <c r="K789" s="1" t="str">
        <f>TEXT(Employee_Sample_Data_1[[#This Row],[Hire Date]], "mmmm")</f>
        <v>January</v>
      </c>
      <c r="L789" s="1" t="str">
        <f>TEXT(Employee_Sample_Data_1[[#This Row],[Hire Date]], "yyyy")</f>
        <v>2000</v>
      </c>
      <c r="M789" s="2">
        <v>62686</v>
      </c>
      <c r="N789" s="3">
        <v>0</v>
      </c>
      <c r="O789" s="9">
        <f>PRODUCT(Employee_Sample_Data_1[[#This Row],[Annual Salary]],Employee_Sample_Data_1[[#This Row],[Bonus %]])</f>
        <v>0</v>
      </c>
      <c r="P789" s="2">
        <f>ROUND(Employee_Sample_Data_1[[#This Row],[Annual Salary]]*(1+Employee_Sample_Data_1[[#This Row],[Bonus %]]), 0)</f>
        <v>62686</v>
      </c>
      <c r="Q789" t="s">
        <v>21</v>
      </c>
      <c r="R789" t="s">
        <v>48</v>
      </c>
      <c r="T789">
        <f ca="1">DATEDIF(Employee_Sample_Data_1[[#This Row],[Hire Date]], IF(Employee_Sample_Data_1[[#This Row],[Exit Date]] = "", TODAY(), Employee_Sample_Data_1[[#This Row],[Exit Date]]), "Y")</f>
        <v>26</v>
      </c>
    </row>
    <row r="790" spans="1:20" x14ac:dyDescent="0.25">
      <c r="A790" t="s">
        <v>1652</v>
      </c>
      <c r="B790" t="s">
        <v>1653</v>
      </c>
      <c r="C790" t="s">
        <v>44</v>
      </c>
      <c r="D790" t="s">
        <v>123</v>
      </c>
      <c r="E790" t="s">
        <v>33</v>
      </c>
      <c r="F790" t="s">
        <v>39</v>
      </c>
      <c r="G790" t="s">
        <v>81</v>
      </c>
      <c r="H790">
        <v>51</v>
      </c>
      <c r="I790" s="1">
        <v>42016</v>
      </c>
      <c r="J790" s="1" t="str">
        <f>TEXT(Employee_Sample_Data_1[[#This Row],[Hire Date]], "dddd")</f>
        <v>Monday</v>
      </c>
      <c r="K790" s="1" t="str">
        <f>TEXT(Employee_Sample_Data_1[[#This Row],[Hire Date]], "mmmm")</f>
        <v>January</v>
      </c>
      <c r="L790" s="1" t="str">
        <f>TEXT(Employee_Sample_Data_1[[#This Row],[Hire Date]], "yyyy")</f>
        <v>2015</v>
      </c>
      <c r="M790" s="2">
        <v>178218</v>
      </c>
      <c r="N790" s="3">
        <v>0.27</v>
      </c>
      <c r="O790" s="9">
        <f>PRODUCT(Employee_Sample_Data_1[[#This Row],[Annual Salary]],Employee_Sample_Data_1[[#This Row],[Bonus %]])</f>
        <v>48118.86</v>
      </c>
      <c r="P790" s="2">
        <f>ROUND(Employee_Sample_Data_1[[#This Row],[Annual Salary]]*(1+Employee_Sample_Data_1[[#This Row],[Bonus %]]), 0)</f>
        <v>226337</v>
      </c>
      <c r="Q790" t="s">
        <v>21</v>
      </c>
      <c r="R790" t="s">
        <v>67</v>
      </c>
      <c r="T790">
        <f ca="1">DATEDIF(Employee_Sample_Data_1[[#This Row],[Hire Date]], IF(Employee_Sample_Data_1[[#This Row],[Exit Date]] = "", TODAY(), Employee_Sample_Data_1[[#This Row],[Exit Date]]), "Y")</f>
        <v>11</v>
      </c>
    </row>
    <row r="791" spans="1:20" x14ac:dyDescent="0.25">
      <c r="A791" t="s">
        <v>1654</v>
      </c>
      <c r="B791" t="s">
        <v>1655</v>
      </c>
      <c r="C791" t="s">
        <v>66</v>
      </c>
      <c r="D791" t="s">
        <v>123</v>
      </c>
      <c r="E791" t="s">
        <v>27</v>
      </c>
      <c r="F791" t="s">
        <v>39</v>
      </c>
      <c r="G791" t="s">
        <v>63</v>
      </c>
      <c r="H791">
        <v>55</v>
      </c>
      <c r="I791" s="1">
        <v>38369</v>
      </c>
      <c r="J791" s="1" t="str">
        <f>TEXT(Employee_Sample_Data_1[[#This Row],[Hire Date]], "dddd")</f>
        <v>Monday</v>
      </c>
      <c r="K791" s="1" t="str">
        <f>TEXT(Employee_Sample_Data_1[[#This Row],[Hire Date]], "mmmm")</f>
        <v>January</v>
      </c>
      <c r="L791" s="1" t="str">
        <f>TEXT(Employee_Sample_Data_1[[#This Row],[Hire Date]], "yyyy")</f>
        <v>2005</v>
      </c>
      <c r="M791" s="2">
        <v>128954</v>
      </c>
      <c r="N791" s="3">
        <v>0.05</v>
      </c>
      <c r="O791" s="9">
        <f>PRODUCT(Employee_Sample_Data_1[[#This Row],[Annual Salary]],Employee_Sample_Data_1[[#This Row],[Bonus %]])</f>
        <v>6447.7000000000007</v>
      </c>
      <c r="P791" s="2">
        <f>ROUND(Employee_Sample_Data_1[[#This Row],[Annual Salary]]*(1+Employee_Sample_Data_1[[#This Row],[Bonus %]]), 0)</f>
        <v>135402</v>
      </c>
      <c r="Q791" t="s">
        <v>21</v>
      </c>
      <c r="R791" t="s">
        <v>48</v>
      </c>
      <c r="T791">
        <f ca="1">DATEDIF(Employee_Sample_Data_1[[#This Row],[Hire Date]], IF(Employee_Sample_Data_1[[#This Row],[Exit Date]] = "", TODAY(), Employee_Sample_Data_1[[#This Row],[Exit Date]]), "Y")</f>
        <v>21</v>
      </c>
    </row>
    <row r="792" spans="1:20" x14ac:dyDescent="0.25">
      <c r="A792" t="s">
        <v>1656</v>
      </c>
      <c r="B792" t="s">
        <v>1657</v>
      </c>
      <c r="C792" t="s">
        <v>70</v>
      </c>
      <c r="D792" t="s">
        <v>32</v>
      </c>
      <c r="E792" t="s">
        <v>33</v>
      </c>
      <c r="F792" t="s">
        <v>39</v>
      </c>
      <c r="G792" t="s">
        <v>20</v>
      </c>
      <c r="H792">
        <v>59</v>
      </c>
      <c r="I792" s="1">
        <v>39589</v>
      </c>
      <c r="J792" s="1" t="str">
        <f>TEXT(Employee_Sample_Data_1[[#This Row],[Hire Date]], "dddd")</f>
        <v>Wednesday</v>
      </c>
      <c r="K792" s="1" t="str">
        <f>TEXT(Employee_Sample_Data_1[[#This Row],[Hire Date]], "mmmm")</f>
        <v>May</v>
      </c>
      <c r="L792" s="1" t="str">
        <f>TEXT(Employee_Sample_Data_1[[#This Row],[Hire Date]], "yyyy")</f>
        <v>2008</v>
      </c>
      <c r="M792" s="2">
        <v>46151</v>
      </c>
      <c r="N792" s="3">
        <v>0</v>
      </c>
      <c r="O792" s="9">
        <f>PRODUCT(Employee_Sample_Data_1[[#This Row],[Annual Salary]],Employee_Sample_Data_1[[#This Row],[Bonus %]])</f>
        <v>0</v>
      </c>
      <c r="P792" s="2">
        <f>ROUND(Employee_Sample_Data_1[[#This Row],[Annual Salary]]*(1+Employee_Sample_Data_1[[#This Row],[Bonus %]]), 0)</f>
        <v>46151</v>
      </c>
      <c r="Q792" t="s">
        <v>21</v>
      </c>
      <c r="R792" t="s">
        <v>48</v>
      </c>
      <c r="T792">
        <f ca="1">DATEDIF(Employee_Sample_Data_1[[#This Row],[Hire Date]], IF(Employee_Sample_Data_1[[#This Row],[Exit Date]] = "", TODAY(), Employee_Sample_Data_1[[#This Row],[Exit Date]]), "Y")</f>
        <v>18</v>
      </c>
    </row>
    <row r="793" spans="1:20" x14ac:dyDescent="0.25">
      <c r="A793" t="s">
        <v>1658</v>
      </c>
      <c r="B793" t="s">
        <v>1659</v>
      </c>
      <c r="C793" t="s">
        <v>352</v>
      </c>
      <c r="D793" t="s">
        <v>32</v>
      </c>
      <c r="E793" t="s">
        <v>18</v>
      </c>
      <c r="F793" t="s">
        <v>39</v>
      </c>
      <c r="G793" t="s">
        <v>63</v>
      </c>
      <c r="H793">
        <v>40</v>
      </c>
      <c r="I793" s="1">
        <v>39510</v>
      </c>
      <c r="J793" s="1" t="str">
        <f>TEXT(Employee_Sample_Data_1[[#This Row],[Hire Date]], "dddd")</f>
        <v>Monday</v>
      </c>
      <c r="K793" s="1" t="str">
        <f>TEXT(Employee_Sample_Data_1[[#This Row],[Hire Date]], "mmmm")</f>
        <v>March</v>
      </c>
      <c r="L793" s="1" t="str">
        <f>TEXT(Employee_Sample_Data_1[[#This Row],[Hire Date]], "yyyy")</f>
        <v>2008</v>
      </c>
      <c r="M793" s="2">
        <v>63889</v>
      </c>
      <c r="N793" s="3">
        <v>0</v>
      </c>
      <c r="O793" s="9">
        <f>PRODUCT(Employee_Sample_Data_1[[#This Row],[Annual Salary]],Employee_Sample_Data_1[[#This Row],[Bonus %]])</f>
        <v>0</v>
      </c>
      <c r="P793" s="2">
        <f>ROUND(Employee_Sample_Data_1[[#This Row],[Annual Salary]]*(1+Employee_Sample_Data_1[[#This Row],[Bonus %]]), 0)</f>
        <v>63889</v>
      </c>
      <c r="Q793" t="s">
        <v>21</v>
      </c>
      <c r="R793" t="s">
        <v>41</v>
      </c>
      <c r="S793" s="1">
        <v>44851</v>
      </c>
      <c r="T793">
        <f ca="1">DATEDIF(Employee_Sample_Data_1[[#This Row],[Hire Date]], IF(Employee_Sample_Data_1[[#This Row],[Exit Date]] = "", TODAY(), Employee_Sample_Data_1[[#This Row],[Exit Date]]), "Y")</f>
        <v>14</v>
      </c>
    </row>
    <row r="794" spans="1:20" x14ac:dyDescent="0.25">
      <c r="A794" t="s">
        <v>1660</v>
      </c>
      <c r="B794" t="s">
        <v>1661</v>
      </c>
      <c r="C794" t="s">
        <v>131</v>
      </c>
      <c r="D794" t="s">
        <v>17</v>
      </c>
      <c r="E794" t="s">
        <v>27</v>
      </c>
      <c r="F794" t="s">
        <v>39</v>
      </c>
      <c r="G794" t="s">
        <v>40</v>
      </c>
      <c r="H794">
        <v>53</v>
      </c>
      <c r="I794" s="1">
        <v>39920</v>
      </c>
      <c r="J794" s="1" t="str">
        <f>TEXT(Employee_Sample_Data_1[[#This Row],[Hire Date]], "dddd")</f>
        <v>Friday</v>
      </c>
      <c r="K794" s="1" t="str">
        <f>TEXT(Employee_Sample_Data_1[[#This Row],[Hire Date]], "mmmm")</f>
        <v>April</v>
      </c>
      <c r="L794" s="1" t="str">
        <f>TEXT(Employee_Sample_Data_1[[#This Row],[Hire Date]], "yyyy")</f>
        <v>2009</v>
      </c>
      <c r="M794" s="2">
        <v>75060</v>
      </c>
      <c r="N794" s="3">
        <v>0</v>
      </c>
      <c r="O794" s="9">
        <f>PRODUCT(Employee_Sample_Data_1[[#This Row],[Annual Salary]],Employee_Sample_Data_1[[#This Row],[Bonus %]])</f>
        <v>0</v>
      </c>
      <c r="P794" s="2">
        <f>ROUND(Employee_Sample_Data_1[[#This Row],[Annual Salary]]*(1+Employee_Sample_Data_1[[#This Row],[Bonus %]]), 0)</f>
        <v>75060</v>
      </c>
      <c r="Q794" t="s">
        <v>21</v>
      </c>
      <c r="R794" t="s">
        <v>22</v>
      </c>
      <c r="T794">
        <f ca="1">DATEDIF(Employee_Sample_Data_1[[#This Row],[Hire Date]], IF(Employee_Sample_Data_1[[#This Row],[Exit Date]] = "", TODAY(), Employee_Sample_Data_1[[#This Row],[Exit Date]]), "Y")</f>
        <v>17</v>
      </c>
    </row>
    <row r="795" spans="1:20" x14ac:dyDescent="0.25">
      <c r="A795" t="s">
        <v>1662</v>
      </c>
      <c r="B795" t="s">
        <v>1663</v>
      </c>
      <c r="C795" t="s">
        <v>44</v>
      </c>
      <c r="D795" t="s">
        <v>32</v>
      </c>
      <c r="E795" t="s">
        <v>18</v>
      </c>
      <c r="F795" t="s">
        <v>39</v>
      </c>
      <c r="G795" t="s">
        <v>20</v>
      </c>
      <c r="H795">
        <v>50</v>
      </c>
      <c r="I795" s="1">
        <v>40655</v>
      </c>
      <c r="J795" s="1" t="str">
        <f>TEXT(Employee_Sample_Data_1[[#This Row],[Hire Date]], "dddd")</f>
        <v>Friday</v>
      </c>
      <c r="K795" s="1" t="str">
        <f>TEXT(Employee_Sample_Data_1[[#This Row],[Hire Date]], "mmmm")</f>
        <v>April</v>
      </c>
      <c r="L795" s="1" t="str">
        <f>TEXT(Employee_Sample_Data_1[[#This Row],[Hire Date]], "yyyy")</f>
        <v>2011</v>
      </c>
      <c r="M795" s="2">
        <v>175033</v>
      </c>
      <c r="N795" s="3">
        <v>0.2</v>
      </c>
      <c r="O795" s="9">
        <f>PRODUCT(Employee_Sample_Data_1[[#This Row],[Annual Salary]],Employee_Sample_Data_1[[#This Row],[Bonus %]])</f>
        <v>35006.6</v>
      </c>
      <c r="P795" s="2">
        <f>ROUND(Employee_Sample_Data_1[[#This Row],[Annual Salary]]*(1+Employee_Sample_Data_1[[#This Row],[Bonus %]]), 0)</f>
        <v>210040</v>
      </c>
      <c r="Q795" t="s">
        <v>34</v>
      </c>
      <c r="R795" t="s">
        <v>108</v>
      </c>
      <c r="T795">
        <f ca="1">DATEDIF(Employee_Sample_Data_1[[#This Row],[Hire Date]], IF(Employee_Sample_Data_1[[#This Row],[Exit Date]] = "", TODAY(), Employee_Sample_Data_1[[#This Row],[Exit Date]]), "Y")</f>
        <v>15</v>
      </c>
    </row>
    <row r="796" spans="1:20" x14ac:dyDescent="0.25">
      <c r="A796" t="s">
        <v>1664</v>
      </c>
      <c r="B796" t="s">
        <v>1665</v>
      </c>
      <c r="C796" t="s">
        <v>177</v>
      </c>
      <c r="D796" t="s">
        <v>32</v>
      </c>
      <c r="E796" t="s">
        <v>53</v>
      </c>
      <c r="F796" t="s">
        <v>39</v>
      </c>
      <c r="G796" t="s">
        <v>63</v>
      </c>
      <c r="H796">
        <v>52</v>
      </c>
      <c r="I796" s="1">
        <v>41667</v>
      </c>
      <c r="J796" s="1" t="str">
        <f>TEXT(Employee_Sample_Data_1[[#This Row],[Hire Date]], "dddd")</f>
        <v>Tuesday</v>
      </c>
      <c r="K796" s="1" t="str">
        <f>TEXT(Employee_Sample_Data_1[[#This Row],[Hire Date]], "mmmm")</f>
        <v>January</v>
      </c>
      <c r="L796" s="1" t="str">
        <f>TEXT(Employee_Sample_Data_1[[#This Row],[Hire Date]], "yyyy")</f>
        <v>2014</v>
      </c>
      <c r="M796" s="2">
        <v>89379</v>
      </c>
      <c r="N796" s="3">
        <v>0.1</v>
      </c>
      <c r="O796" s="9">
        <f>PRODUCT(Employee_Sample_Data_1[[#This Row],[Annual Salary]],Employee_Sample_Data_1[[#This Row],[Bonus %]])</f>
        <v>8937.9</v>
      </c>
      <c r="P796" s="2">
        <f>ROUND(Employee_Sample_Data_1[[#This Row],[Annual Salary]]*(1+Employee_Sample_Data_1[[#This Row],[Bonus %]]), 0)</f>
        <v>98317</v>
      </c>
      <c r="Q796" t="s">
        <v>21</v>
      </c>
      <c r="R796" t="s">
        <v>41</v>
      </c>
      <c r="S796" s="1">
        <v>44723</v>
      </c>
      <c r="T796">
        <f ca="1">DATEDIF(Employee_Sample_Data_1[[#This Row],[Hire Date]], IF(Employee_Sample_Data_1[[#This Row],[Exit Date]] = "", TODAY(), Employee_Sample_Data_1[[#This Row],[Exit Date]]), "Y")</f>
        <v>8</v>
      </c>
    </row>
    <row r="797" spans="1:20" x14ac:dyDescent="0.25">
      <c r="A797" t="s">
        <v>1666</v>
      </c>
      <c r="B797" t="s">
        <v>1667</v>
      </c>
      <c r="C797" t="s">
        <v>16</v>
      </c>
      <c r="D797" t="s">
        <v>17</v>
      </c>
      <c r="E797" t="s">
        <v>27</v>
      </c>
      <c r="F797" t="s">
        <v>39</v>
      </c>
      <c r="G797" t="s">
        <v>81</v>
      </c>
      <c r="H797">
        <v>40</v>
      </c>
      <c r="I797" s="1">
        <v>40642</v>
      </c>
      <c r="J797" s="1" t="str">
        <f>TEXT(Employee_Sample_Data_1[[#This Row],[Hire Date]], "dddd")</f>
        <v>Saturday</v>
      </c>
      <c r="K797" s="1" t="str">
        <f>TEXT(Employee_Sample_Data_1[[#This Row],[Hire Date]], "mmmm")</f>
        <v>April</v>
      </c>
      <c r="L797" s="1" t="str">
        <f>TEXT(Employee_Sample_Data_1[[#This Row],[Hire Date]], "yyyy")</f>
        <v>2011</v>
      </c>
      <c r="M797" s="2">
        <v>98594</v>
      </c>
      <c r="N797" s="3">
        <v>0</v>
      </c>
      <c r="O797" s="9">
        <f>PRODUCT(Employee_Sample_Data_1[[#This Row],[Annual Salary]],Employee_Sample_Data_1[[#This Row],[Bonus %]])</f>
        <v>0</v>
      </c>
      <c r="P797" s="2">
        <f>ROUND(Employee_Sample_Data_1[[#This Row],[Annual Salary]]*(1+Employee_Sample_Data_1[[#This Row],[Bonus %]]), 0)</f>
        <v>98594</v>
      </c>
      <c r="Q797" t="s">
        <v>21</v>
      </c>
      <c r="R797" t="s">
        <v>48</v>
      </c>
      <c r="T797">
        <f ca="1">DATEDIF(Employee_Sample_Data_1[[#This Row],[Hire Date]], IF(Employee_Sample_Data_1[[#This Row],[Exit Date]] = "", TODAY(), Employee_Sample_Data_1[[#This Row],[Exit Date]]), "Y")</f>
        <v>15</v>
      </c>
    </row>
    <row r="798" spans="1:20" x14ac:dyDescent="0.25">
      <c r="A798" t="s">
        <v>1668</v>
      </c>
      <c r="B798" t="s">
        <v>1669</v>
      </c>
      <c r="C798" t="s">
        <v>86</v>
      </c>
      <c r="D798" t="s">
        <v>77</v>
      </c>
      <c r="E798" t="s">
        <v>33</v>
      </c>
      <c r="F798" t="s">
        <v>39</v>
      </c>
      <c r="G798" t="s">
        <v>63</v>
      </c>
      <c r="H798">
        <v>39</v>
      </c>
      <c r="I798" s="1">
        <v>44474</v>
      </c>
      <c r="J798" s="1" t="str">
        <f>TEXT(Employee_Sample_Data_1[[#This Row],[Hire Date]], "dddd")</f>
        <v>Tuesday</v>
      </c>
      <c r="K798" s="1" t="str">
        <f>TEXT(Employee_Sample_Data_1[[#This Row],[Hire Date]], "mmmm")</f>
        <v>October</v>
      </c>
      <c r="L798" s="1" t="str">
        <f>TEXT(Employee_Sample_Data_1[[#This Row],[Hire Date]], "yyyy")</f>
        <v>2021</v>
      </c>
      <c r="M798" s="2">
        <v>224435</v>
      </c>
      <c r="N798" s="3">
        <v>0.33</v>
      </c>
      <c r="O798" s="9">
        <f>PRODUCT(Employee_Sample_Data_1[[#This Row],[Annual Salary]],Employee_Sample_Data_1[[#This Row],[Bonus %]])</f>
        <v>74063.55</v>
      </c>
      <c r="P798" s="2">
        <f>ROUND(Employee_Sample_Data_1[[#This Row],[Annual Salary]]*(1+Employee_Sample_Data_1[[#This Row],[Bonus %]]), 0)</f>
        <v>298499</v>
      </c>
      <c r="Q798" t="s">
        <v>21</v>
      </c>
      <c r="R798" t="s">
        <v>41</v>
      </c>
      <c r="T798">
        <f ca="1">DATEDIF(Employee_Sample_Data_1[[#This Row],[Hire Date]], IF(Employee_Sample_Data_1[[#This Row],[Exit Date]] = "", TODAY(), Employee_Sample_Data_1[[#This Row],[Exit Date]]), "Y")</f>
        <v>4</v>
      </c>
    </row>
    <row r="799" spans="1:20" x14ac:dyDescent="0.25">
      <c r="A799" t="s">
        <v>1670</v>
      </c>
      <c r="B799" t="s">
        <v>1671</v>
      </c>
      <c r="C799" t="s">
        <v>98</v>
      </c>
      <c r="D799" t="s">
        <v>32</v>
      </c>
      <c r="E799" t="s">
        <v>27</v>
      </c>
      <c r="F799" t="s">
        <v>19</v>
      </c>
      <c r="G799" t="s">
        <v>40</v>
      </c>
      <c r="H799">
        <v>31</v>
      </c>
      <c r="I799" s="1">
        <v>42025</v>
      </c>
      <c r="J799" s="1" t="str">
        <f>TEXT(Employee_Sample_Data_1[[#This Row],[Hire Date]], "dddd")</f>
        <v>Wednesday</v>
      </c>
      <c r="K799" s="1" t="str">
        <f>TEXT(Employee_Sample_Data_1[[#This Row],[Hire Date]], "mmmm")</f>
        <v>January</v>
      </c>
      <c r="L799" s="1" t="str">
        <f>TEXT(Employee_Sample_Data_1[[#This Row],[Hire Date]], "yyyy")</f>
        <v>2015</v>
      </c>
      <c r="M799" s="2">
        <v>63644</v>
      </c>
      <c r="N799" s="3">
        <v>0</v>
      </c>
      <c r="O799" s="9">
        <f>PRODUCT(Employee_Sample_Data_1[[#This Row],[Annual Salary]],Employee_Sample_Data_1[[#This Row],[Bonus %]])</f>
        <v>0</v>
      </c>
      <c r="P799" s="2">
        <f>ROUND(Employee_Sample_Data_1[[#This Row],[Annual Salary]]*(1+Employee_Sample_Data_1[[#This Row],[Bonus %]]), 0)</f>
        <v>63644</v>
      </c>
      <c r="Q799" t="s">
        <v>134</v>
      </c>
      <c r="R799" t="s">
        <v>286</v>
      </c>
      <c r="T799">
        <f ca="1">DATEDIF(Employee_Sample_Data_1[[#This Row],[Hire Date]], IF(Employee_Sample_Data_1[[#This Row],[Exit Date]] = "", TODAY(), Employee_Sample_Data_1[[#This Row],[Exit Date]]), "Y")</f>
        <v>11</v>
      </c>
    </row>
    <row r="800" spans="1:20" x14ac:dyDescent="0.25">
      <c r="A800" t="s">
        <v>1672</v>
      </c>
      <c r="B800" t="s">
        <v>1673</v>
      </c>
      <c r="C800" t="s">
        <v>66</v>
      </c>
      <c r="D800" t="s">
        <v>52</v>
      </c>
      <c r="E800" t="s">
        <v>18</v>
      </c>
      <c r="F800" t="s">
        <v>39</v>
      </c>
      <c r="G800" t="s">
        <v>20</v>
      </c>
      <c r="H800">
        <v>30</v>
      </c>
      <c r="I800" s="1">
        <v>43450</v>
      </c>
      <c r="J800" s="1" t="str">
        <f>TEXT(Employee_Sample_Data_1[[#This Row],[Hire Date]], "dddd")</f>
        <v>Sunday</v>
      </c>
      <c r="K800" s="1" t="str">
        <f>TEXT(Employee_Sample_Data_1[[#This Row],[Hire Date]], "mmmm")</f>
        <v>December</v>
      </c>
      <c r="L800" s="1" t="str">
        <f>TEXT(Employee_Sample_Data_1[[#This Row],[Hire Date]], "yyyy")</f>
        <v>2018</v>
      </c>
      <c r="M800" s="2">
        <v>121234</v>
      </c>
      <c r="N800" s="3">
        <v>0.05</v>
      </c>
      <c r="O800" s="9">
        <f>PRODUCT(Employee_Sample_Data_1[[#This Row],[Annual Salary]],Employee_Sample_Data_1[[#This Row],[Bonus %]])</f>
        <v>6061.7000000000007</v>
      </c>
      <c r="P800" s="2">
        <f>ROUND(Employee_Sample_Data_1[[#This Row],[Annual Salary]]*(1+Employee_Sample_Data_1[[#This Row],[Bonus %]]), 0)</f>
        <v>127296</v>
      </c>
      <c r="Q800" t="s">
        <v>21</v>
      </c>
      <c r="R800" t="s">
        <v>45</v>
      </c>
      <c r="T800">
        <f ca="1">DATEDIF(Employee_Sample_Data_1[[#This Row],[Hire Date]], IF(Employee_Sample_Data_1[[#This Row],[Exit Date]] = "", TODAY(), Employee_Sample_Data_1[[#This Row],[Exit Date]]), "Y")</f>
        <v>7</v>
      </c>
    </row>
    <row r="801" spans="1:20" x14ac:dyDescent="0.25">
      <c r="A801" t="s">
        <v>1674</v>
      </c>
      <c r="B801" t="s">
        <v>1675</v>
      </c>
      <c r="C801" t="s">
        <v>51</v>
      </c>
      <c r="D801" t="s">
        <v>52</v>
      </c>
      <c r="E801" t="s">
        <v>33</v>
      </c>
      <c r="F801" t="s">
        <v>19</v>
      </c>
      <c r="G801" t="s">
        <v>40</v>
      </c>
      <c r="H801">
        <v>47</v>
      </c>
      <c r="I801" s="1">
        <v>39347</v>
      </c>
      <c r="J801" s="1" t="str">
        <f>TEXT(Employee_Sample_Data_1[[#This Row],[Hire Date]], "dddd")</f>
        <v>Saturday</v>
      </c>
      <c r="K801" s="1" t="str">
        <f>TEXT(Employee_Sample_Data_1[[#This Row],[Hire Date]], "mmmm")</f>
        <v>September</v>
      </c>
      <c r="L801" s="1" t="str">
        <f>TEXT(Employee_Sample_Data_1[[#This Row],[Hire Date]], "yyyy")</f>
        <v>2007</v>
      </c>
      <c r="M801" s="2">
        <v>83793</v>
      </c>
      <c r="N801" s="3">
        <v>0</v>
      </c>
      <c r="O801" s="9">
        <f>PRODUCT(Employee_Sample_Data_1[[#This Row],[Annual Salary]],Employee_Sample_Data_1[[#This Row],[Bonus %]])</f>
        <v>0</v>
      </c>
      <c r="P801" s="2">
        <f>ROUND(Employee_Sample_Data_1[[#This Row],[Annual Salary]]*(1+Employee_Sample_Data_1[[#This Row],[Bonus %]]), 0)</f>
        <v>83793</v>
      </c>
      <c r="Q801" t="s">
        <v>21</v>
      </c>
      <c r="R801" t="s">
        <v>67</v>
      </c>
      <c r="T801">
        <f ca="1">DATEDIF(Employee_Sample_Data_1[[#This Row],[Hire Date]], IF(Employee_Sample_Data_1[[#This Row],[Exit Date]] = "", TODAY(), Employee_Sample_Data_1[[#This Row],[Exit Date]]), "Y")</f>
        <v>18</v>
      </c>
    </row>
    <row r="802" spans="1:20" x14ac:dyDescent="0.25">
      <c r="A802" t="s">
        <v>1676</v>
      </c>
      <c r="B802" t="s">
        <v>1677</v>
      </c>
      <c r="C802" t="s">
        <v>131</v>
      </c>
      <c r="D802" t="s">
        <v>17</v>
      </c>
      <c r="E802" t="s">
        <v>33</v>
      </c>
      <c r="F802" t="s">
        <v>39</v>
      </c>
      <c r="G802" t="s">
        <v>63</v>
      </c>
      <c r="H802">
        <v>46</v>
      </c>
      <c r="I802" s="1">
        <v>43797</v>
      </c>
      <c r="J802" s="1" t="str">
        <f>TEXT(Employee_Sample_Data_1[[#This Row],[Hire Date]], "dddd")</f>
        <v>Thursday</v>
      </c>
      <c r="K802" s="1" t="str">
        <f>TEXT(Employee_Sample_Data_1[[#This Row],[Hire Date]], "mmmm")</f>
        <v>November</v>
      </c>
      <c r="L802" s="1" t="str">
        <f>TEXT(Employee_Sample_Data_1[[#This Row],[Hire Date]], "yyyy")</f>
        <v>2019</v>
      </c>
      <c r="M802" s="2">
        <v>99586</v>
      </c>
      <c r="N802" s="3">
        <v>0</v>
      </c>
      <c r="O802" s="9">
        <f>PRODUCT(Employee_Sample_Data_1[[#This Row],[Annual Salary]],Employee_Sample_Data_1[[#This Row],[Bonus %]])</f>
        <v>0</v>
      </c>
      <c r="P802" s="2">
        <f>ROUND(Employee_Sample_Data_1[[#This Row],[Annual Salary]]*(1+Employee_Sample_Data_1[[#This Row],[Bonus %]]), 0)</f>
        <v>99586</v>
      </c>
      <c r="Q802" t="s">
        <v>21</v>
      </c>
      <c r="R802" t="s">
        <v>67</v>
      </c>
      <c r="T802">
        <f ca="1">DATEDIF(Employee_Sample_Data_1[[#This Row],[Hire Date]], IF(Employee_Sample_Data_1[[#This Row],[Exit Date]] = "", TODAY(), Employee_Sample_Data_1[[#This Row],[Exit Date]]), "Y")</f>
        <v>6</v>
      </c>
    </row>
    <row r="803" spans="1:20" x14ac:dyDescent="0.25">
      <c r="A803" t="s">
        <v>1678</v>
      </c>
      <c r="B803" t="s">
        <v>1679</v>
      </c>
      <c r="C803" t="s">
        <v>128</v>
      </c>
      <c r="D803" t="s">
        <v>123</v>
      </c>
      <c r="E803" t="s">
        <v>27</v>
      </c>
      <c r="F803" t="s">
        <v>39</v>
      </c>
      <c r="G803" t="s">
        <v>40</v>
      </c>
      <c r="H803">
        <v>43</v>
      </c>
      <c r="I803" s="1">
        <v>38971</v>
      </c>
      <c r="J803" s="1" t="str">
        <f>TEXT(Employee_Sample_Data_1[[#This Row],[Hire Date]], "dddd")</f>
        <v>Monday</v>
      </c>
      <c r="K803" s="1" t="str">
        <f>TEXT(Employee_Sample_Data_1[[#This Row],[Hire Date]], "mmmm")</f>
        <v>September</v>
      </c>
      <c r="L803" s="1" t="str">
        <f>TEXT(Employee_Sample_Data_1[[#This Row],[Hire Date]], "yyyy")</f>
        <v>2006</v>
      </c>
      <c r="M803" s="2">
        <v>59514</v>
      </c>
      <c r="N803" s="3">
        <v>0</v>
      </c>
      <c r="O803" s="9">
        <f>PRODUCT(Employee_Sample_Data_1[[#This Row],[Annual Salary]],Employee_Sample_Data_1[[#This Row],[Bonus %]])</f>
        <v>0</v>
      </c>
      <c r="P803" s="2">
        <f>ROUND(Employee_Sample_Data_1[[#This Row],[Annual Salary]]*(1+Employee_Sample_Data_1[[#This Row],[Bonus %]]), 0)</f>
        <v>59514</v>
      </c>
      <c r="Q803" t="s">
        <v>134</v>
      </c>
      <c r="R803" t="s">
        <v>135</v>
      </c>
      <c r="T803">
        <f ca="1">DATEDIF(Employee_Sample_Data_1[[#This Row],[Hire Date]], IF(Employee_Sample_Data_1[[#This Row],[Exit Date]] = "", TODAY(), Employee_Sample_Data_1[[#This Row],[Exit Date]]), "Y")</f>
        <v>19</v>
      </c>
    </row>
    <row r="804" spans="1:20" x14ac:dyDescent="0.25">
      <c r="A804" t="s">
        <v>1680</v>
      </c>
      <c r="B804" t="s">
        <v>1681</v>
      </c>
      <c r="C804" t="s">
        <v>66</v>
      </c>
      <c r="D804" t="s">
        <v>77</v>
      </c>
      <c r="E804" t="s">
        <v>27</v>
      </c>
      <c r="F804" t="s">
        <v>39</v>
      </c>
      <c r="G804" t="s">
        <v>63</v>
      </c>
      <c r="H804">
        <v>28</v>
      </c>
      <c r="I804" s="1">
        <v>43948</v>
      </c>
      <c r="J804" s="1" t="str">
        <f>TEXT(Employee_Sample_Data_1[[#This Row],[Hire Date]], "dddd")</f>
        <v>Monday</v>
      </c>
      <c r="K804" s="1" t="str">
        <f>TEXT(Employee_Sample_Data_1[[#This Row],[Hire Date]], "mmmm")</f>
        <v>April</v>
      </c>
      <c r="L804" s="1" t="str">
        <f>TEXT(Employee_Sample_Data_1[[#This Row],[Hire Date]], "yyyy")</f>
        <v>2020</v>
      </c>
      <c r="M804" s="2">
        <v>106043</v>
      </c>
      <c r="N804" s="3">
        <v>0.1</v>
      </c>
      <c r="O804" s="9">
        <f>PRODUCT(Employee_Sample_Data_1[[#This Row],[Annual Salary]],Employee_Sample_Data_1[[#This Row],[Bonus %]])</f>
        <v>10604.300000000001</v>
      </c>
      <c r="P804" s="2">
        <f>ROUND(Employee_Sample_Data_1[[#This Row],[Annual Salary]]*(1+Employee_Sample_Data_1[[#This Row],[Bonus %]]), 0)</f>
        <v>116647</v>
      </c>
      <c r="Q804" t="s">
        <v>21</v>
      </c>
      <c r="R804" t="s">
        <v>22</v>
      </c>
      <c r="T804">
        <f ca="1">DATEDIF(Employee_Sample_Data_1[[#This Row],[Hire Date]], IF(Employee_Sample_Data_1[[#This Row],[Exit Date]] = "", TODAY(), Employee_Sample_Data_1[[#This Row],[Exit Date]]), "Y")</f>
        <v>6</v>
      </c>
    </row>
    <row r="805" spans="1:20" x14ac:dyDescent="0.25">
      <c r="A805" t="s">
        <v>1695</v>
      </c>
      <c r="B805" t="s">
        <v>1696</v>
      </c>
      <c r="C805" t="s">
        <v>66</v>
      </c>
      <c r="D805" t="s">
        <v>52</v>
      </c>
      <c r="E805" t="s">
        <v>18</v>
      </c>
      <c r="F805" t="s">
        <v>39</v>
      </c>
      <c r="G805" t="s">
        <v>63</v>
      </c>
      <c r="H805">
        <v>44</v>
      </c>
      <c r="I805" s="1">
        <v>40187</v>
      </c>
      <c r="J805" s="1" t="str">
        <f>TEXT(Employee_Sample_Data_1[[#This Row],[Hire Date]], "dddd")</f>
        <v>Saturday</v>
      </c>
      <c r="K805" s="1" t="str">
        <f>TEXT(Employee_Sample_Data_1[[#This Row],[Hire Date]], "mmmm")</f>
        <v>January</v>
      </c>
      <c r="L805" s="1" t="str">
        <f>TEXT(Employee_Sample_Data_1[[#This Row],[Hire Date]], "yyyy")</f>
        <v>2010</v>
      </c>
      <c r="M805" s="2">
        <v>129099</v>
      </c>
      <c r="N805" s="3">
        <v>0.06</v>
      </c>
      <c r="O805" s="9">
        <f>PRODUCT(Employee_Sample_Data_1[[#This Row],[Annual Salary]],Employee_Sample_Data_1[[#This Row],[Bonus %]])</f>
        <v>7745.94</v>
      </c>
      <c r="P805" s="2">
        <f>ROUND(Employee_Sample_Data_1[[#This Row],[Annual Salary]]*(1+Employee_Sample_Data_1[[#This Row],[Bonus %]]), 0)</f>
        <v>136845</v>
      </c>
      <c r="Q805" t="s">
        <v>21</v>
      </c>
      <c r="R805" t="s">
        <v>45</v>
      </c>
      <c r="T805">
        <f ca="1">DATEDIF(Employee_Sample_Data_1[[#This Row],[Hire Date]], IF(Employee_Sample_Data_1[[#This Row],[Exit Date]] = "", TODAY(), Employee_Sample_Data_1[[#This Row],[Exit Date]]), "Y")</f>
        <v>16</v>
      </c>
    </row>
    <row r="806" spans="1:20" x14ac:dyDescent="0.25">
      <c r="A806" t="s">
        <v>1697</v>
      </c>
      <c r="B806" t="s">
        <v>1698</v>
      </c>
      <c r="C806" t="s">
        <v>156</v>
      </c>
      <c r="D806" t="s">
        <v>32</v>
      </c>
      <c r="E806" t="s">
        <v>27</v>
      </c>
      <c r="F806" t="s">
        <v>39</v>
      </c>
      <c r="G806" t="s">
        <v>40</v>
      </c>
      <c r="H806">
        <v>37</v>
      </c>
      <c r="I806" s="1">
        <v>42724</v>
      </c>
      <c r="J806" s="1" t="str">
        <f>TEXT(Employee_Sample_Data_1[[#This Row],[Hire Date]], "dddd")</f>
        <v>Tuesday</v>
      </c>
      <c r="K806" s="1" t="str">
        <f>TEXT(Employee_Sample_Data_1[[#This Row],[Hire Date]], "mmmm")</f>
        <v>December</v>
      </c>
      <c r="L806" s="1" t="str">
        <f>TEXT(Employee_Sample_Data_1[[#This Row],[Hire Date]], "yyyy")</f>
        <v>2016</v>
      </c>
      <c r="M806" s="2">
        <v>59376</v>
      </c>
      <c r="N806" s="3">
        <v>0</v>
      </c>
      <c r="O806" s="9">
        <f>PRODUCT(Employee_Sample_Data_1[[#This Row],[Annual Salary]],Employee_Sample_Data_1[[#This Row],[Bonus %]])</f>
        <v>0</v>
      </c>
      <c r="P806" s="2">
        <f>ROUND(Employee_Sample_Data_1[[#This Row],[Annual Salary]]*(1+Employee_Sample_Data_1[[#This Row],[Bonus %]]), 0)</f>
        <v>59376</v>
      </c>
      <c r="Q806" t="s">
        <v>21</v>
      </c>
      <c r="R806" t="s">
        <v>67</v>
      </c>
      <c r="T806">
        <f ca="1">DATEDIF(Employee_Sample_Data_1[[#This Row],[Hire Date]], IF(Employee_Sample_Data_1[[#This Row],[Exit Date]] = "", TODAY(), Employee_Sample_Data_1[[#This Row],[Exit Date]]), "Y")</f>
        <v>9</v>
      </c>
    </row>
    <row r="807" spans="1:20" x14ac:dyDescent="0.25">
      <c r="A807" t="s">
        <v>1699</v>
      </c>
      <c r="B807" t="s">
        <v>1700</v>
      </c>
      <c r="C807" t="s">
        <v>62</v>
      </c>
      <c r="D807" t="s">
        <v>32</v>
      </c>
      <c r="E807" t="s">
        <v>33</v>
      </c>
      <c r="F807" t="s">
        <v>39</v>
      </c>
      <c r="G807" t="s">
        <v>20</v>
      </c>
      <c r="H807">
        <v>52</v>
      </c>
      <c r="I807" s="1">
        <v>43459</v>
      </c>
      <c r="J807" s="1" t="str">
        <f>TEXT(Employee_Sample_Data_1[[#This Row],[Hire Date]], "dddd")</f>
        <v>Tuesday</v>
      </c>
      <c r="K807" s="1" t="str">
        <f>TEXT(Employee_Sample_Data_1[[#This Row],[Hire Date]], "mmmm")</f>
        <v>December</v>
      </c>
      <c r="L807" s="1" t="str">
        <f>TEXT(Employee_Sample_Data_1[[#This Row],[Hire Date]], "yyyy")</f>
        <v>2018</v>
      </c>
      <c r="M807" s="2">
        <v>98060</v>
      </c>
      <c r="N807" s="3">
        <v>0</v>
      </c>
      <c r="O807" s="9">
        <f>PRODUCT(Employee_Sample_Data_1[[#This Row],[Annual Salary]],Employee_Sample_Data_1[[#This Row],[Bonus %]])</f>
        <v>0</v>
      </c>
      <c r="P807" s="2">
        <f>ROUND(Employee_Sample_Data_1[[#This Row],[Annual Salary]]*(1+Employee_Sample_Data_1[[#This Row],[Bonus %]]), 0)</f>
        <v>98060</v>
      </c>
      <c r="Q807" t="s">
        <v>21</v>
      </c>
      <c r="R807" t="s">
        <v>67</v>
      </c>
      <c r="T807">
        <f ca="1">DATEDIF(Employee_Sample_Data_1[[#This Row],[Hire Date]], IF(Employee_Sample_Data_1[[#This Row],[Exit Date]] = "", TODAY(), Employee_Sample_Data_1[[#This Row],[Exit Date]]), "Y")</f>
        <v>7</v>
      </c>
    </row>
    <row r="808" spans="1:20" x14ac:dyDescent="0.25">
      <c r="A808" t="s">
        <v>1701</v>
      </c>
      <c r="B808" t="s">
        <v>1702</v>
      </c>
      <c r="C808" t="s">
        <v>80</v>
      </c>
      <c r="D808" t="s">
        <v>123</v>
      </c>
      <c r="E808" t="s">
        <v>27</v>
      </c>
      <c r="F808" t="s">
        <v>19</v>
      </c>
      <c r="G808" t="s">
        <v>40</v>
      </c>
      <c r="H808">
        <v>49</v>
      </c>
      <c r="I808" s="1">
        <v>41691</v>
      </c>
      <c r="J808" s="1" t="str">
        <f>TEXT(Employee_Sample_Data_1[[#This Row],[Hire Date]], "dddd")</f>
        <v>Friday</v>
      </c>
      <c r="K808" s="1" t="str">
        <f>TEXT(Employee_Sample_Data_1[[#This Row],[Hire Date]], "mmmm")</f>
        <v>February</v>
      </c>
      <c r="L808" s="1" t="str">
        <f>TEXT(Employee_Sample_Data_1[[#This Row],[Hire Date]], "yyyy")</f>
        <v>2014</v>
      </c>
      <c r="M808" s="2">
        <v>152911</v>
      </c>
      <c r="N808" s="3">
        <v>0.1</v>
      </c>
      <c r="O808" s="9">
        <f>PRODUCT(Employee_Sample_Data_1[[#This Row],[Annual Salary]],Employee_Sample_Data_1[[#This Row],[Bonus %]])</f>
        <v>15291.1</v>
      </c>
      <c r="P808" s="2">
        <f>ROUND(Employee_Sample_Data_1[[#This Row],[Annual Salary]]*(1+Employee_Sample_Data_1[[#This Row],[Bonus %]]), 0)</f>
        <v>168202</v>
      </c>
      <c r="Q808" t="s">
        <v>134</v>
      </c>
      <c r="R808" t="s">
        <v>135</v>
      </c>
      <c r="T808">
        <f ca="1">DATEDIF(Employee_Sample_Data_1[[#This Row],[Hire Date]], IF(Employee_Sample_Data_1[[#This Row],[Exit Date]] = "", TODAY(), Employee_Sample_Data_1[[#This Row],[Exit Date]]), "Y")</f>
        <v>12</v>
      </c>
    </row>
    <row r="809" spans="1:20" x14ac:dyDescent="0.25">
      <c r="A809" t="s">
        <v>1703</v>
      </c>
      <c r="B809" t="s">
        <v>1704</v>
      </c>
      <c r="C809" t="s">
        <v>70</v>
      </c>
      <c r="D809" t="s">
        <v>32</v>
      </c>
      <c r="E809" t="s">
        <v>33</v>
      </c>
      <c r="F809" t="s">
        <v>19</v>
      </c>
      <c r="G809" t="s">
        <v>40</v>
      </c>
      <c r="H809">
        <v>47</v>
      </c>
      <c r="I809" s="1">
        <v>37970</v>
      </c>
      <c r="J809" s="1" t="str">
        <f>TEXT(Employee_Sample_Data_1[[#This Row],[Hire Date]], "dddd")</f>
        <v>Monday</v>
      </c>
      <c r="K809" s="1" t="str">
        <f>TEXT(Employee_Sample_Data_1[[#This Row],[Hire Date]], "mmmm")</f>
        <v>December</v>
      </c>
      <c r="L809" s="1" t="str">
        <f>TEXT(Employee_Sample_Data_1[[#This Row],[Hire Date]], "yyyy")</f>
        <v>2003</v>
      </c>
      <c r="M809" s="2">
        <v>42994</v>
      </c>
      <c r="N809" s="3">
        <v>0</v>
      </c>
      <c r="O809" s="9">
        <f>PRODUCT(Employee_Sample_Data_1[[#This Row],[Annual Salary]],Employee_Sample_Data_1[[#This Row],[Bonus %]])</f>
        <v>0</v>
      </c>
      <c r="P809" s="2">
        <f>ROUND(Employee_Sample_Data_1[[#This Row],[Annual Salary]]*(1+Employee_Sample_Data_1[[#This Row],[Bonus %]]), 0)</f>
        <v>42994</v>
      </c>
      <c r="Q809" t="s">
        <v>134</v>
      </c>
      <c r="R809" t="s">
        <v>180</v>
      </c>
      <c r="T809">
        <f ca="1">DATEDIF(Employee_Sample_Data_1[[#This Row],[Hire Date]], IF(Employee_Sample_Data_1[[#This Row],[Exit Date]] = "", TODAY(), Employee_Sample_Data_1[[#This Row],[Exit Date]]), "Y")</f>
        <v>22</v>
      </c>
    </row>
    <row r="810" spans="1:20" x14ac:dyDescent="0.25">
      <c r="A810" t="s">
        <v>1705</v>
      </c>
      <c r="B810" t="s">
        <v>1706</v>
      </c>
      <c r="C810" t="s">
        <v>25</v>
      </c>
      <c r="D810" t="s">
        <v>52</v>
      </c>
      <c r="E810" t="s">
        <v>18</v>
      </c>
      <c r="F810" t="s">
        <v>39</v>
      </c>
      <c r="G810" t="s">
        <v>20</v>
      </c>
      <c r="H810">
        <v>42</v>
      </c>
      <c r="I810" s="1">
        <v>43552</v>
      </c>
      <c r="J810" s="1" t="str">
        <f>TEXT(Employee_Sample_Data_1[[#This Row],[Hire Date]], "dddd")</f>
        <v>Thursday</v>
      </c>
      <c r="K810" s="1" t="str">
        <f>TEXT(Employee_Sample_Data_1[[#This Row],[Hire Date]], "mmmm")</f>
        <v>March</v>
      </c>
      <c r="L810" s="1" t="str">
        <f>TEXT(Employee_Sample_Data_1[[#This Row],[Hire Date]], "yyyy")</f>
        <v>2019</v>
      </c>
      <c r="M810" s="2">
        <v>59853</v>
      </c>
      <c r="N810" s="3">
        <v>0</v>
      </c>
      <c r="O810" s="9">
        <f>PRODUCT(Employee_Sample_Data_1[[#This Row],[Annual Salary]],Employee_Sample_Data_1[[#This Row],[Bonus %]])</f>
        <v>0</v>
      </c>
      <c r="P810" s="2">
        <f>ROUND(Employee_Sample_Data_1[[#This Row],[Annual Salary]]*(1+Employee_Sample_Data_1[[#This Row],[Bonus %]]), 0)</f>
        <v>59853</v>
      </c>
      <c r="Q810" t="s">
        <v>34</v>
      </c>
      <c r="R810" t="s">
        <v>59</v>
      </c>
      <c r="T810">
        <f ca="1">DATEDIF(Employee_Sample_Data_1[[#This Row],[Hire Date]], IF(Employee_Sample_Data_1[[#This Row],[Exit Date]] = "", TODAY(), Employee_Sample_Data_1[[#This Row],[Exit Date]]), "Y")</f>
        <v>7</v>
      </c>
    </row>
    <row r="811" spans="1:20" x14ac:dyDescent="0.25">
      <c r="A811" t="s">
        <v>1707</v>
      </c>
      <c r="B811" t="s">
        <v>1708</v>
      </c>
      <c r="C811" t="s">
        <v>70</v>
      </c>
      <c r="D811" t="s">
        <v>32</v>
      </c>
      <c r="E811" t="s">
        <v>18</v>
      </c>
      <c r="F811" t="s">
        <v>19</v>
      </c>
      <c r="G811" t="s">
        <v>81</v>
      </c>
      <c r="H811">
        <v>61</v>
      </c>
      <c r="I811" s="1">
        <v>40884</v>
      </c>
      <c r="J811" s="1" t="str">
        <f>TEXT(Employee_Sample_Data_1[[#This Row],[Hire Date]], "dddd")</f>
        <v>Wednesday</v>
      </c>
      <c r="K811" s="1" t="str">
        <f>TEXT(Employee_Sample_Data_1[[#This Row],[Hire Date]], "mmmm")</f>
        <v>December</v>
      </c>
      <c r="L811" s="1" t="str">
        <f>TEXT(Employee_Sample_Data_1[[#This Row],[Hire Date]], "yyyy")</f>
        <v>2011</v>
      </c>
      <c r="M811" s="2">
        <v>41220</v>
      </c>
      <c r="N811" s="3">
        <v>0</v>
      </c>
      <c r="O811" s="9">
        <f>PRODUCT(Employee_Sample_Data_1[[#This Row],[Annual Salary]],Employee_Sample_Data_1[[#This Row],[Bonus %]])</f>
        <v>0</v>
      </c>
      <c r="P811" s="2">
        <f>ROUND(Employee_Sample_Data_1[[#This Row],[Annual Salary]]*(1+Employee_Sample_Data_1[[#This Row],[Bonus %]]), 0)</f>
        <v>41220</v>
      </c>
      <c r="Q811" t="s">
        <v>21</v>
      </c>
      <c r="R811" t="s">
        <v>28</v>
      </c>
      <c r="T811">
        <f ca="1">DATEDIF(Employee_Sample_Data_1[[#This Row],[Hire Date]], IF(Employee_Sample_Data_1[[#This Row],[Exit Date]] = "", TODAY(), Employee_Sample_Data_1[[#This Row],[Exit Date]]), "Y")</f>
        <v>14</v>
      </c>
    </row>
    <row r="812" spans="1:20" x14ac:dyDescent="0.25">
      <c r="A812" t="s">
        <v>1709</v>
      </c>
      <c r="B812" t="s">
        <v>1710</v>
      </c>
      <c r="C812" t="s">
        <v>51</v>
      </c>
      <c r="D812" t="s">
        <v>52</v>
      </c>
      <c r="E812" t="s">
        <v>27</v>
      </c>
      <c r="F812" t="s">
        <v>39</v>
      </c>
      <c r="G812" t="s">
        <v>20</v>
      </c>
      <c r="H812">
        <v>33</v>
      </c>
      <c r="I812" s="1">
        <v>43879</v>
      </c>
      <c r="J812" s="1" t="str">
        <f>TEXT(Employee_Sample_Data_1[[#This Row],[Hire Date]], "dddd")</f>
        <v>Tuesday</v>
      </c>
      <c r="K812" s="1" t="str">
        <f>TEXT(Employee_Sample_Data_1[[#This Row],[Hire Date]], "mmmm")</f>
        <v>February</v>
      </c>
      <c r="L812" s="1" t="str">
        <f>TEXT(Employee_Sample_Data_1[[#This Row],[Hire Date]], "yyyy")</f>
        <v>2020</v>
      </c>
      <c r="M812" s="2">
        <v>97261</v>
      </c>
      <c r="N812" s="3">
        <v>0</v>
      </c>
      <c r="O812" s="9">
        <f>PRODUCT(Employee_Sample_Data_1[[#This Row],[Annual Salary]],Employee_Sample_Data_1[[#This Row],[Bonus %]])</f>
        <v>0</v>
      </c>
      <c r="P812" s="2">
        <f>ROUND(Employee_Sample_Data_1[[#This Row],[Annual Salary]]*(1+Employee_Sample_Data_1[[#This Row],[Bonus %]]), 0)</f>
        <v>97261</v>
      </c>
      <c r="Q812" t="s">
        <v>34</v>
      </c>
      <c r="R812" t="s">
        <v>108</v>
      </c>
      <c r="T812">
        <f ca="1">DATEDIF(Employee_Sample_Data_1[[#This Row],[Hire Date]], IF(Employee_Sample_Data_1[[#This Row],[Exit Date]] = "", TODAY(), Employee_Sample_Data_1[[#This Row],[Exit Date]]), "Y")</f>
        <v>6</v>
      </c>
    </row>
    <row r="813" spans="1:20" x14ac:dyDescent="0.25">
      <c r="A813" t="s">
        <v>1711</v>
      </c>
      <c r="B813" t="s">
        <v>1712</v>
      </c>
      <c r="C813" t="s">
        <v>66</v>
      </c>
      <c r="D813" t="s">
        <v>123</v>
      </c>
      <c r="E813" t="s">
        <v>18</v>
      </c>
      <c r="F813" t="s">
        <v>19</v>
      </c>
      <c r="G813" t="s">
        <v>81</v>
      </c>
      <c r="H813">
        <v>45</v>
      </c>
      <c r="I813" s="1">
        <v>43300</v>
      </c>
      <c r="J813" s="1" t="str">
        <f>TEXT(Employee_Sample_Data_1[[#This Row],[Hire Date]], "dddd")</f>
        <v>Thursday</v>
      </c>
      <c r="K813" s="1" t="str">
        <f>TEXT(Employee_Sample_Data_1[[#This Row],[Hire Date]], "mmmm")</f>
        <v>July</v>
      </c>
      <c r="L813" s="1" t="str">
        <f>TEXT(Employee_Sample_Data_1[[#This Row],[Hire Date]], "yyyy")</f>
        <v>2018</v>
      </c>
      <c r="M813" s="2">
        <v>127363</v>
      </c>
      <c r="N813" s="3">
        <v>0.09</v>
      </c>
      <c r="O813" s="9">
        <f>PRODUCT(Employee_Sample_Data_1[[#This Row],[Annual Salary]],Employee_Sample_Data_1[[#This Row],[Bonus %]])</f>
        <v>11462.67</v>
      </c>
      <c r="P813" s="2">
        <f>ROUND(Employee_Sample_Data_1[[#This Row],[Annual Salary]]*(1+Employee_Sample_Data_1[[#This Row],[Bonus %]]), 0)</f>
        <v>138826</v>
      </c>
      <c r="Q813" t="s">
        <v>21</v>
      </c>
      <c r="R813" t="s">
        <v>22</v>
      </c>
      <c r="T813">
        <f ca="1">DATEDIF(Employee_Sample_Data_1[[#This Row],[Hire Date]], IF(Employee_Sample_Data_1[[#This Row],[Exit Date]] = "", TODAY(), Employee_Sample_Data_1[[#This Row],[Exit Date]]), "Y")</f>
        <v>7</v>
      </c>
    </row>
    <row r="814" spans="1:20" x14ac:dyDescent="0.25">
      <c r="A814" t="s">
        <v>1713</v>
      </c>
      <c r="B814" t="s">
        <v>1714</v>
      </c>
      <c r="C814" t="s">
        <v>66</v>
      </c>
      <c r="D814" t="s">
        <v>77</v>
      </c>
      <c r="E814" t="s">
        <v>53</v>
      </c>
      <c r="F814" t="s">
        <v>19</v>
      </c>
      <c r="G814" t="s">
        <v>63</v>
      </c>
      <c r="H814">
        <v>30</v>
      </c>
      <c r="I814" s="1">
        <v>43751</v>
      </c>
      <c r="J814" s="1" t="str">
        <f>TEXT(Employee_Sample_Data_1[[#This Row],[Hire Date]], "dddd")</f>
        <v>Sunday</v>
      </c>
      <c r="K814" s="1" t="str">
        <f>TEXT(Employee_Sample_Data_1[[#This Row],[Hire Date]], "mmmm")</f>
        <v>October</v>
      </c>
      <c r="L814" s="1" t="str">
        <f>TEXT(Employee_Sample_Data_1[[#This Row],[Hire Date]], "yyyy")</f>
        <v>2019</v>
      </c>
      <c r="M814" s="2">
        <v>111274</v>
      </c>
      <c r="N814" s="3">
        <v>0.06</v>
      </c>
      <c r="O814" s="9">
        <f>PRODUCT(Employee_Sample_Data_1[[#This Row],[Annual Salary]],Employee_Sample_Data_1[[#This Row],[Bonus %]])</f>
        <v>6676.44</v>
      </c>
      <c r="P814" s="2">
        <f>ROUND(Employee_Sample_Data_1[[#This Row],[Annual Salary]]*(1+Employee_Sample_Data_1[[#This Row],[Bonus %]]), 0)</f>
        <v>117950</v>
      </c>
      <c r="Q814" t="s">
        <v>21</v>
      </c>
      <c r="R814" t="s">
        <v>41</v>
      </c>
      <c r="T814">
        <f ca="1">DATEDIF(Employee_Sample_Data_1[[#This Row],[Hire Date]], IF(Employee_Sample_Data_1[[#This Row],[Exit Date]] = "", TODAY(), Employee_Sample_Data_1[[#This Row],[Exit Date]]), "Y")</f>
        <v>6</v>
      </c>
    </row>
    <row r="815" spans="1:20" x14ac:dyDescent="0.25">
      <c r="A815" t="s">
        <v>1715</v>
      </c>
      <c r="B815" t="s">
        <v>1716</v>
      </c>
      <c r="C815" t="s">
        <v>177</v>
      </c>
      <c r="D815" t="s">
        <v>32</v>
      </c>
      <c r="E815" t="s">
        <v>27</v>
      </c>
      <c r="F815" t="s">
        <v>19</v>
      </c>
      <c r="G815" t="s">
        <v>40</v>
      </c>
      <c r="H815">
        <v>53</v>
      </c>
      <c r="I815" s="1">
        <v>43207</v>
      </c>
      <c r="J815" s="1" t="str">
        <f>TEXT(Employee_Sample_Data_1[[#This Row],[Hire Date]], "dddd")</f>
        <v>Tuesday</v>
      </c>
      <c r="K815" s="1" t="str">
        <f>TEXT(Employee_Sample_Data_1[[#This Row],[Hire Date]], "mmmm")</f>
        <v>April</v>
      </c>
      <c r="L815" s="1" t="str">
        <f>TEXT(Employee_Sample_Data_1[[#This Row],[Hire Date]], "yyyy")</f>
        <v>2018</v>
      </c>
      <c r="M815" s="2">
        <v>90554</v>
      </c>
      <c r="N815" s="3">
        <v>7.0000000000000007E-2</v>
      </c>
      <c r="O815" s="9">
        <f>PRODUCT(Employee_Sample_Data_1[[#This Row],[Annual Salary]],Employee_Sample_Data_1[[#This Row],[Bonus %]])</f>
        <v>6338.7800000000007</v>
      </c>
      <c r="P815" s="2">
        <f>ROUND(Employee_Sample_Data_1[[#This Row],[Annual Salary]]*(1+Employee_Sample_Data_1[[#This Row],[Bonus %]]), 0)</f>
        <v>96893</v>
      </c>
      <c r="Q815" t="s">
        <v>134</v>
      </c>
      <c r="R815" t="s">
        <v>135</v>
      </c>
      <c r="T815">
        <f ca="1">DATEDIF(Employee_Sample_Data_1[[#This Row],[Hire Date]], IF(Employee_Sample_Data_1[[#This Row],[Exit Date]] = "", TODAY(), Employee_Sample_Data_1[[#This Row],[Exit Date]]), "Y")</f>
        <v>8</v>
      </c>
    </row>
    <row r="816" spans="1:20" x14ac:dyDescent="0.25">
      <c r="A816" t="s">
        <v>1717</v>
      </c>
      <c r="B816" t="s">
        <v>1718</v>
      </c>
      <c r="C816" t="s">
        <v>66</v>
      </c>
      <c r="D816" t="s">
        <v>58</v>
      </c>
      <c r="E816" t="s">
        <v>33</v>
      </c>
      <c r="F816" t="s">
        <v>19</v>
      </c>
      <c r="G816" t="s">
        <v>40</v>
      </c>
      <c r="H816">
        <v>62</v>
      </c>
      <c r="I816" s="1">
        <v>35776</v>
      </c>
      <c r="J816" s="1" t="str">
        <f>TEXT(Employee_Sample_Data_1[[#This Row],[Hire Date]], "dddd")</f>
        <v>Friday</v>
      </c>
      <c r="K816" s="1" t="str">
        <f>TEXT(Employee_Sample_Data_1[[#This Row],[Hire Date]], "mmmm")</f>
        <v>December</v>
      </c>
      <c r="L816" s="1" t="str">
        <f>TEXT(Employee_Sample_Data_1[[#This Row],[Hire Date]], "yyyy")</f>
        <v>1997</v>
      </c>
      <c r="M816" s="2">
        <v>100226</v>
      </c>
      <c r="N816" s="3">
        <v>0.1</v>
      </c>
      <c r="O816" s="9">
        <f>PRODUCT(Employee_Sample_Data_1[[#This Row],[Annual Salary]],Employee_Sample_Data_1[[#This Row],[Bonus %]])</f>
        <v>10022.6</v>
      </c>
      <c r="P816" s="2">
        <f>ROUND(Employee_Sample_Data_1[[#This Row],[Annual Salary]]*(1+Employee_Sample_Data_1[[#This Row],[Bonus %]]), 0)</f>
        <v>110249</v>
      </c>
      <c r="Q816" t="s">
        <v>21</v>
      </c>
      <c r="R816" t="s">
        <v>41</v>
      </c>
      <c r="T816">
        <f ca="1">DATEDIF(Employee_Sample_Data_1[[#This Row],[Hire Date]], IF(Employee_Sample_Data_1[[#This Row],[Exit Date]] = "", TODAY(), Employee_Sample_Data_1[[#This Row],[Exit Date]]), "Y")</f>
        <v>28</v>
      </c>
    </row>
    <row r="817" spans="1:20" x14ac:dyDescent="0.25">
      <c r="A817" t="s">
        <v>1719</v>
      </c>
      <c r="B817" t="s">
        <v>1720</v>
      </c>
      <c r="C817" t="s">
        <v>289</v>
      </c>
      <c r="D817" t="s">
        <v>17</v>
      </c>
      <c r="E817" t="s">
        <v>18</v>
      </c>
      <c r="F817" t="s">
        <v>39</v>
      </c>
      <c r="G817" t="s">
        <v>20</v>
      </c>
      <c r="H817">
        <v>37</v>
      </c>
      <c r="I817" s="1">
        <v>42846</v>
      </c>
      <c r="J817" s="1" t="str">
        <f>TEXT(Employee_Sample_Data_1[[#This Row],[Hire Date]], "dddd")</f>
        <v>Friday</v>
      </c>
      <c r="K817" s="1" t="str">
        <f>TEXT(Employee_Sample_Data_1[[#This Row],[Hire Date]], "mmmm")</f>
        <v>April</v>
      </c>
      <c r="L817" s="1" t="str">
        <f>TEXT(Employee_Sample_Data_1[[#This Row],[Hire Date]], "yyyy")</f>
        <v>2017</v>
      </c>
      <c r="M817" s="2">
        <v>93348</v>
      </c>
      <c r="N817" s="3">
        <v>0</v>
      </c>
      <c r="O817" s="9">
        <f>PRODUCT(Employee_Sample_Data_1[[#This Row],[Annual Salary]],Employee_Sample_Data_1[[#This Row],[Bonus %]])</f>
        <v>0</v>
      </c>
      <c r="P817" s="2">
        <f>ROUND(Employee_Sample_Data_1[[#This Row],[Annual Salary]]*(1+Employee_Sample_Data_1[[#This Row],[Bonus %]]), 0)</f>
        <v>93348</v>
      </c>
      <c r="Q817" t="s">
        <v>34</v>
      </c>
      <c r="R817" t="s">
        <v>54</v>
      </c>
      <c r="T817">
        <f ca="1">DATEDIF(Employee_Sample_Data_1[[#This Row],[Hire Date]], IF(Employee_Sample_Data_1[[#This Row],[Exit Date]] = "", TODAY(), Employee_Sample_Data_1[[#This Row],[Exit Date]]), "Y")</f>
        <v>9</v>
      </c>
    </row>
    <row r="818" spans="1:20" x14ac:dyDescent="0.25">
      <c r="A818" t="s">
        <v>1729</v>
      </c>
      <c r="B818" t="s">
        <v>1730</v>
      </c>
      <c r="C818" t="s">
        <v>405</v>
      </c>
      <c r="D818" t="s">
        <v>17</v>
      </c>
      <c r="E818" t="s">
        <v>33</v>
      </c>
      <c r="F818" t="s">
        <v>39</v>
      </c>
      <c r="G818" t="s">
        <v>63</v>
      </c>
      <c r="H818">
        <v>31</v>
      </c>
      <c r="I818" s="1">
        <v>43974</v>
      </c>
      <c r="J818" s="1" t="str">
        <f>TEXT(Employee_Sample_Data_1[[#This Row],[Hire Date]], "dddd")</f>
        <v>Saturday</v>
      </c>
      <c r="K818" s="1" t="str">
        <f>TEXT(Employee_Sample_Data_1[[#This Row],[Hire Date]], "mmmm")</f>
        <v>May</v>
      </c>
      <c r="L818" s="1" t="str">
        <f>TEXT(Employee_Sample_Data_1[[#This Row],[Hire Date]], "yyyy")</f>
        <v>2020</v>
      </c>
      <c r="M818" s="2">
        <v>69108</v>
      </c>
      <c r="N818" s="3">
        <v>0</v>
      </c>
      <c r="O818" s="9">
        <f>PRODUCT(Employee_Sample_Data_1[[#This Row],[Annual Salary]],Employee_Sample_Data_1[[#This Row],[Bonus %]])</f>
        <v>0</v>
      </c>
      <c r="P818" s="2">
        <f>ROUND(Employee_Sample_Data_1[[#This Row],[Annual Salary]]*(1+Employee_Sample_Data_1[[#This Row],[Bonus %]]), 0)</f>
        <v>69108</v>
      </c>
      <c r="Q818" t="s">
        <v>21</v>
      </c>
      <c r="R818" t="s">
        <v>67</v>
      </c>
      <c r="T818">
        <f ca="1">DATEDIF(Employee_Sample_Data_1[[#This Row],[Hire Date]], IF(Employee_Sample_Data_1[[#This Row],[Exit Date]] = "", TODAY(), Employee_Sample_Data_1[[#This Row],[Exit Date]]), "Y")</f>
        <v>6</v>
      </c>
    </row>
    <row r="819" spans="1:20" x14ac:dyDescent="0.25">
      <c r="A819" t="s">
        <v>1732</v>
      </c>
      <c r="B819" t="s">
        <v>1733</v>
      </c>
      <c r="C819" t="s">
        <v>51</v>
      </c>
      <c r="D819" t="s">
        <v>26</v>
      </c>
      <c r="E819" t="s">
        <v>18</v>
      </c>
      <c r="F819" t="s">
        <v>19</v>
      </c>
      <c r="G819" t="s">
        <v>40</v>
      </c>
      <c r="H819">
        <v>41</v>
      </c>
      <c r="I819" s="1">
        <v>40682</v>
      </c>
      <c r="J819" s="1" t="str">
        <f>TEXT(Employee_Sample_Data_1[[#This Row],[Hire Date]], "dddd")</f>
        <v>Thursday</v>
      </c>
      <c r="K819" s="1" t="str">
        <f>TEXT(Employee_Sample_Data_1[[#This Row],[Hire Date]], "mmmm")</f>
        <v>May</v>
      </c>
      <c r="L819" s="1" t="str">
        <f>TEXT(Employee_Sample_Data_1[[#This Row],[Hire Date]], "yyyy")</f>
        <v>2011</v>
      </c>
      <c r="M819" s="2">
        <v>84627</v>
      </c>
      <c r="N819" s="3">
        <v>0</v>
      </c>
      <c r="O819" s="9">
        <f>PRODUCT(Employee_Sample_Data_1[[#This Row],[Annual Salary]],Employee_Sample_Data_1[[#This Row],[Bonus %]])</f>
        <v>0</v>
      </c>
      <c r="P819" s="2">
        <f>ROUND(Employee_Sample_Data_1[[#This Row],[Annual Salary]]*(1+Employee_Sample_Data_1[[#This Row],[Bonus %]]), 0)</f>
        <v>84627</v>
      </c>
      <c r="Q819" t="s">
        <v>134</v>
      </c>
      <c r="R819" t="s">
        <v>286</v>
      </c>
      <c r="T819">
        <f ca="1">DATEDIF(Employee_Sample_Data_1[[#This Row],[Hire Date]], IF(Employee_Sample_Data_1[[#This Row],[Exit Date]] = "", TODAY(), Employee_Sample_Data_1[[#This Row],[Exit Date]]), "Y")</f>
        <v>15</v>
      </c>
    </row>
    <row r="820" spans="1:20" x14ac:dyDescent="0.25">
      <c r="A820" t="s">
        <v>1734</v>
      </c>
      <c r="B820" t="s">
        <v>1731</v>
      </c>
      <c r="C820" t="s">
        <v>86</v>
      </c>
      <c r="D820" t="s">
        <v>17</v>
      </c>
      <c r="E820" t="s">
        <v>27</v>
      </c>
      <c r="F820" t="s">
        <v>19</v>
      </c>
      <c r="G820" t="s">
        <v>20</v>
      </c>
      <c r="H820">
        <v>26</v>
      </c>
      <c r="I820" s="1">
        <v>43892</v>
      </c>
      <c r="J820" s="1" t="str">
        <f>TEXT(Employee_Sample_Data_1[[#This Row],[Hire Date]], "dddd")</f>
        <v>Monday</v>
      </c>
      <c r="K820" s="1" t="str">
        <f>TEXT(Employee_Sample_Data_1[[#This Row],[Hire Date]], "mmmm")</f>
        <v>March</v>
      </c>
      <c r="L820" s="1" t="str">
        <f>TEXT(Employee_Sample_Data_1[[#This Row],[Hire Date]], "yyyy")</f>
        <v>2020</v>
      </c>
      <c r="M820" s="2">
        <v>211114</v>
      </c>
      <c r="N820" s="3">
        <v>0.3</v>
      </c>
      <c r="O820" s="9">
        <f>PRODUCT(Employee_Sample_Data_1[[#This Row],[Annual Salary]],Employee_Sample_Data_1[[#This Row],[Bonus %]])</f>
        <v>63334.2</v>
      </c>
      <c r="P820" s="2">
        <f>ROUND(Employee_Sample_Data_1[[#This Row],[Annual Salary]]*(1+Employee_Sample_Data_1[[#This Row],[Bonus %]]), 0)</f>
        <v>274448</v>
      </c>
      <c r="Q820" t="s">
        <v>21</v>
      </c>
      <c r="R820" t="s">
        <v>67</v>
      </c>
      <c r="T820">
        <f ca="1">DATEDIF(Employee_Sample_Data_1[[#This Row],[Hire Date]], IF(Employee_Sample_Data_1[[#This Row],[Exit Date]] = "", TODAY(), Employee_Sample_Data_1[[#This Row],[Exit Date]]), "Y")</f>
        <v>6</v>
      </c>
    </row>
    <row r="821" spans="1:20" x14ac:dyDescent="0.25">
      <c r="A821" t="s">
        <v>1721</v>
      </c>
      <c r="B821" t="s">
        <v>1722</v>
      </c>
      <c r="C821" t="s">
        <v>51</v>
      </c>
      <c r="D821" t="s">
        <v>77</v>
      </c>
      <c r="E821" t="s">
        <v>53</v>
      </c>
      <c r="F821" t="s">
        <v>19</v>
      </c>
      <c r="G821" t="s">
        <v>20</v>
      </c>
      <c r="H821">
        <v>50</v>
      </c>
      <c r="I821" s="1">
        <v>35316</v>
      </c>
      <c r="J821" s="1" t="str">
        <f>TEXT(Employee_Sample_Data_1[[#This Row],[Hire Date]], "dddd")</f>
        <v>Sunday</v>
      </c>
      <c r="K821" s="1" t="str">
        <f>TEXT(Employee_Sample_Data_1[[#This Row],[Hire Date]], "mmmm")</f>
        <v>September</v>
      </c>
      <c r="L821" s="1" t="str">
        <f>TEXT(Employee_Sample_Data_1[[#This Row],[Hire Date]], "yyyy")</f>
        <v>1996</v>
      </c>
      <c r="M821" s="2">
        <v>96297</v>
      </c>
      <c r="N821" s="3">
        <v>0</v>
      </c>
      <c r="O821" s="9">
        <f>PRODUCT(Employee_Sample_Data_1[[#This Row],[Annual Salary]],Employee_Sample_Data_1[[#This Row],[Bonus %]])</f>
        <v>0</v>
      </c>
      <c r="P821" s="2">
        <f>ROUND(Employee_Sample_Data_1[[#This Row],[Annual Salary]]*(1+Employee_Sample_Data_1[[#This Row],[Bonus %]]), 0)</f>
        <v>96297</v>
      </c>
      <c r="Q821" t="s">
        <v>21</v>
      </c>
      <c r="R821" t="s">
        <v>67</v>
      </c>
      <c r="T821">
        <f ca="1">DATEDIF(Employee_Sample_Data_1[[#This Row],[Hire Date]], IF(Employee_Sample_Data_1[[#This Row],[Exit Date]] = "", TODAY(), Employee_Sample_Data_1[[#This Row],[Exit Date]]), "Y")</f>
        <v>29</v>
      </c>
    </row>
    <row r="822" spans="1:20" x14ac:dyDescent="0.25">
      <c r="A822" t="s">
        <v>1723</v>
      </c>
      <c r="B822" t="s">
        <v>1724</v>
      </c>
      <c r="C822" t="s">
        <v>156</v>
      </c>
      <c r="D822" t="s">
        <v>32</v>
      </c>
      <c r="E822" t="s">
        <v>53</v>
      </c>
      <c r="F822" t="s">
        <v>19</v>
      </c>
      <c r="G822" t="s">
        <v>20</v>
      </c>
      <c r="H822">
        <v>48</v>
      </c>
      <c r="I822" s="1">
        <v>40539</v>
      </c>
      <c r="J822" s="1" t="str">
        <f>TEXT(Employee_Sample_Data_1[[#This Row],[Hire Date]], "dddd")</f>
        <v>Monday</v>
      </c>
      <c r="K822" s="1" t="str">
        <f>TEXT(Employee_Sample_Data_1[[#This Row],[Hire Date]], "mmmm")</f>
        <v>December</v>
      </c>
      <c r="L822" s="1" t="str">
        <f>TEXT(Employee_Sample_Data_1[[#This Row],[Hire Date]], "yyyy")</f>
        <v>2010</v>
      </c>
      <c r="M822" s="2">
        <v>53593</v>
      </c>
      <c r="N822" s="3">
        <v>0</v>
      </c>
      <c r="O822" s="9">
        <f>PRODUCT(Employee_Sample_Data_1[[#This Row],[Annual Salary]],Employee_Sample_Data_1[[#This Row],[Bonus %]])</f>
        <v>0</v>
      </c>
      <c r="P822" s="2">
        <f>ROUND(Employee_Sample_Data_1[[#This Row],[Annual Salary]]*(1+Employee_Sample_Data_1[[#This Row],[Bonus %]]), 0)</f>
        <v>53593</v>
      </c>
      <c r="Q822" t="s">
        <v>34</v>
      </c>
      <c r="R822" t="s">
        <v>59</v>
      </c>
      <c r="T822">
        <f ca="1">DATEDIF(Employee_Sample_Data_1[[#This Row],[Hire Date]], IF(Employee_Sample_Data_1[[#This Row],[Exit Date]] = "", TODAY(), Employee_Sample_Data_1[[#This Row],[Exit Date]]), "Y")</f>
        <v>15</v>
      </c>
    </row>
    <row r="823" spans="1:20" x14ac:dyDescent="0.25">
      <c r="A823" t="s">
        <v>1725</v>
      </c>
      <c r="B823" t="s">
        <v>1726</v>
      </c>
      <c r="C823" t="s">
        <v>44</v>
      </c>
      <c r="D823" t="s">
        <v>77</v>
      </c>
      <c r="E823" t="s">
        <v>18</v>
      </c>
      <c r="F823" t="s">
        <v>39</v>
      </c>
      <c r="G823" t="s">
        <v>40</v>
      </c>
      <c r="H823">
        <v>44</v>
      </c>
      <c r="I823" s="1">
        <v>43162</v>
      </c>
      <c r="J823" s="1" t="str">
        <f>TEXT(Employee_Sample_Data_1[[#This Row],[Hire Date]], "dddd")</f>
        <v>Saturday</v>
      </c>
      <c r="K823" s="1" t="str">
        <f>TEXT(Employee_Sample_Data_1[[#This Row],[Hire Date]], "mmmm")</f>
        <v>March</v>
      </c>
      <c r="L823" s="1" t="str">
        <f>TEXT(Employee_Sample_Data_1[[#This Row],[Hire Date]], "yyyy")</f>
        <v>2018</v>
      </c>
      <c r="M823" s="2">
        <v>167660</v>
      </c>
      <c r="N823" s="3">
        <v>0.28999999999999998</v>
      </c>
      <c r="O823" s="9">
        <f>PRODUCT(Employee_Sample_Data_1[[#This Row],[Annual Salary]],Employee_Sample_Data_1[[#This Row],[Bonus %]])</f>
        <v>48621.399999999994</v>
      </c>
      <c r="P823" s="2">
        <f>ROUND(Employee_Sample_Data_1[[#This Row],[Annual Salary]]*(1+Employee_Sample_Data_1[[#This Row],[Bonus %]]), 0)</f>
        <v>216281</v>
      </c>
      <c r="Q823" t="s">
        <v>134</v>
      </c>
      <c r="R823" t="s">
        <v>180</v>
      </c>
      <c r="T823">
        <f ca="1">DATEDIF(Employee_Sample_Data_1[[#This Row],[Hire Date]], IF(Employee_Sample_Data_1[[#This Row],[Exit Date]] = "", TODAY(), Employee_Sample_Data_1[[#This Row],[Exit Date]]), "Y")</f>
        <v>8</v>
      </c>
    </row>
    <row r="824" spans="1:20" x14ac:dyDescent="0.25">
      <c r="A824" t="s">
        <v>1727</v>
      </c>
      <c r="B824" t="s">
        <v>1735</v>
      </c>
      <c r="C824" t="s">
        <v>86</v>
      </c>
      <c r="D824" t="s">
        <v>77</v>
      </c>
      <c r="E824" t="s">
        <v>33</v>
      </c>
      <c r="F824" t="s">
        <v>19</v>
      </c>
      <c r="G824" t="s">
        <v>20</v>
      </c>
      <c r="H824">
        <v>61</v>
      </c>
      <c r="I824" s="1">
        <v>41749</v>
      </c>
      <c r="J824" s="1" t="str">
        <f>TEXT(Employee_Sample_Data_1[[#This Row],[Hire Date]], "dddd")</f>
        <v>Sunday</v>
      </c>
      <c r="K824" s="1" t="str">
        <f>TEXT(Employee_Sample_Data_1[[#This Row],[Hire Date]], "mmmm")</f>
        <v>April</v>
      </c>
      <c r="L824" s="1" t="str">
        <f>TEXT(Employee_Sample_Data_1[[#This Row],[Hire Date]], "yyyy")</f>
        <v>2014</v>
      </c>
      <c r="M824" s="2">
        <v>209680</v>
      </c>
      <c r="N824" s="3">
        <v>0.34</v>
      </c>
      <c r="O824" s="9">
        <f>PRODUCT(Employee_Sample_Data_1[[#This Row],[Annual Salary]],Employee_Sample_Data_1[[#This Row],[Bonus %]])</f>
        <v>71291.200000000012</v>
      </c>
      <c r="P824" s="2">
        <f>ROUND(Employee_Sample_Data_1[[#This Row],[Annual Salary]]*(1+Employee_Sample_Data_1[[#This Row],[Bonus %]]), 0)</f>
        <v>280971</v>
      </c>
      <c r="Q824" t="s">
        <v>34</v>
      </c>
      <c r="R824" t="s">
        <v>35</v>
      </c>
      <c r="T824">
        <f ca="1">DATEDIF(Employee_Sample_Data_1[[#This Row],[Hire Date]], IF(Employee_Sample_Data_1[[#This Row],[Exit Date]] = "", TODAY(), Employee_Sample_Data_1[[#This Row],[Exit Date]]), "Y")</f>
        <v>12</v>
      </c>
    </row>
    <row r="825" spans="1:20" x14ac:dyDescent="0.25">
      <c r="A825" t="s">
        <v>1728</v>
      </c>
      <c r="B825" t="s">
        <v>1736</v>
      </c>
      <c r="C825" t="s">
        <v>31</v>
      </c>
      <c r="D825" t="s">
        <v>32</v>
      </c>
      <c r="E825" t="s">
        <v>18</v>
      </c>
      <c r="F825" t="s">
        <v>39</v>
      </c>
      <c r="G825" t="s">
        <v>63</v>
      </c>
      <c r="H825">
        <v>50</v>
      </c>
      <c r="I825" s="1">
        <v>41624</v>
      </c>
      <c r="J825" s="1" t="str">
        <f>TEXT(Employee_Sample_Data_1[[#This Row],[Hire Date]], "dddd")</f>
        <v>Monday</v>
      </c>
      <c r="K825" s="1" t="str">
        <f>TEXT(Employee_Sample_Data_1[[#This Row],[Hire Date]], "mmmm")</f>
        <v>December</v>
      </c>
      <c r="L825" s="1" t="str">
        <f>TEXT(Employee_Sample_Data_1[[#This Row],[Hire Date]], "yyyy")</f>
        <v>2013</v>
      </c>
      <c r="M825" s="2">
        <v>63884</v>
      </c>
      <c r="N825" s="3">
        <v>0</v>
      </c>
      <c r="O825" s="9">
        <f>PRODUCT(Employee_Sample_Data_1[[#This Row],[Annual Salary]],Employee_Sample_Data_1[[#This Row],[Bonus %]])</f>
        <v>0</v>
      </c>
      <c r="P825" s="2">
        <f>ROUND(Employee_Sample_Data_1[[#This Row],[Annual Salary]]*(1+Employee_Sample_Data_1[[#This Row],[Bonus %]]), 0)</f>
        <v>63884</v>
      </c>
      <c r="Q825" t="s">
        <v>21</v>
      </c>
      <c r="R825" t="s">
        <v>67</v>
      </c>
      <c r="T825">
        <f ca="1">DATEDIF(Employee_Sample_Data_1[[#This Row],[Hire Date]], IF(Employee_Sample_Data_1[[#This Row],[Exit Date]] = "", TODAY(), Employee_Sample_Data_1[[#This Row],[Exit Date]]), "Y")</f>
        <v>12</v>
      </c>
    </row>
    <row r="826" spans="1:20" x14ac:dyDescent="0.25">
      <c r="A826" t="s">
        <v>1686</v>
      </c>
      <c r="B826" t="s">
        <v>1687</v>
      </c>
      <c r="C826" t="s">
        <v>57</v>
      </c>
      <c r="D826" t="s">
        <v>77</v>
      </c>
      <c r="E826" t="s">
        <v>18</v>
      </c>
      <c r="F826" t="s">
        <v>19</v>
      </c>
      <c r="G826" t="s">
        <v>40</v>
      </c>
      <c r="H826">
        <v>31</v>
      </c>
      <c r="I826" s="1">
        <v>43970</v>
      </c>
      <c r="J826" s="1" t="str">
        <f>TEXT(Employee_Sample_Data_1[[#This Row],[Hire Date]], "dddd")</f>
        <v>Tuesday</v>
      </c>
      <c r="K826" s="1" t="str">
        <f>TEXT(Employee_Sample_Data_1[[#This Row],[Hire Date]], "mmmm")</f>
        <v>May</v>
      </c>
      <c r="L826" s="1" t="str">
        <f>TEXT(Employee_Sample_Data_1[[#This Row],[Hire Date]], "yyyy")</f>
        <v>2020</v>
      </c>
      <c r="M826" s="2">
        <v>64234</v>
      </c>
      <c r="N826" s="3">
        <v>0</v>
      </c>
      <c r="O826" s="9">
        <f>PRODUCT(Employee_Sample_Data_1[[#This Row],[Annual Salary]],Employee_Sample_Data_1[[#This Row],[Bonus %]])</f>
        <v>0</v>
      </c>
      <c r="P826" s="2">
        <f>ROUND(Employee_Sample_Data_1[[#This Row],[Annual Salary]]*(1+Employee_Sample_Data_1[[#This Row],[Bonus %]]), 0)</f>
        <v>64234</v>
      </c>
      <c r="Q826" t="s">
        <v>21</v>
      </c>
      <c r="R826" t="s">
        <v>41</v>
      </c>
      <c r="S826" s="1">
        <v>44511</v>
      </c>
      <c r="T826">
        <f ca="1">DATEDIF(Employee_Sample_Data_1[[#This Row],[Hire Date]], IF(Employee_Sample_Data_1[[#This Row],[Exit Date]] = "", TODAY(), Employee_Sample_Data_1[[#This Row],[Exit Date]]), "Y")</f>
        <v>1</v>
      </c>
    </row>
    <row r="827" spans="1:20" x14ac:dyDescent="0.25">
      <c r="A827" t="s">
        <v>1688</v>
      </c>
      <c r="B827" t="s">
        <v>1689</v>
      </c>
      <c r="C827" t="s">
        <v>66</v>
      </c>
      <c r="D827" t="s">
        <v>32</v>
      </c>
      <c r="E827" t="s">
        <v>53</v>
      </c>
      <c r="F827" t="s">
        <v>19</v>
      </c>
      <c r="G827" t="s">
        <v>20</v>
      </c>
      <c r="H827">
        <v>55</v>
      </c>
      <c r="I827" s="1">
        <v>34527</v>
      </c>
      <c r="J827" s="1" t="str">
        <f>TEXT(Employee_Sample_Data_1[[#This Row],[Hire Date]], "dddd")</f>
        <v>Tuesday</v>
      </c>
      <c r="K827" s="1" t="str">
        <f>TEXT(Employee_Sample_Data_1[[#This Row],[Hire Date]], "mmmm")</f>
        <v>July</v>
      </c>
      <c r="L827" s="1" t="str">
        <f>TEXT(Employee_Sample_Data_1[[#This Row],[Hire Date]], "yyyy")</f>
        <v>1994</v>
      </c>
      <c r="M827" s="2">
        <v>103726</v>
      </c>
      <c r="N827" s="3">
        <v>0.08</v>
      </c>
      <c r="O827" s="9">
        <f>PRODUCT(Employee_Sample_Data_1[[#This Row],[Annual Salary]],Employee_Sample_Data_1[[#This Row],[Bonus %]])</f>
        <v>8298.08</v>
      </c>
      <c r="P827" s="2">
        <f>ROUND(Employee_Sample_Data_1[[#This Row],[Annual Salary]]*(1+Employee_Sample_Data_1[[#This Row],[Bonus %]]), 0)</f>
        <v>112024</v>
      </c>
      <c r="Q827" t="s">
        <v>34</v>
      </c>
      <c r="R827" t="s">
        <v>35</v>
      </c>
      <c r="T827">
        <f ca="1">DATEDIF(Employee_Sample_Data_1[[#This Row],[Hire Date]], IF(Employee_Sample_Data_1[[#This Row],[Exit Date]] = "", TODAY(), Employee_Sample_Data_1[[#This Row],[Exit Date]]), "Y")</f>
        <v>31</v>
      </c>
    </row>
    <row r="828" spans="1:20" x14ac:dyDescent="0.25">
      <c r="A828" t="s">
        <v>1690</v>
      </c>
      <c r="B828" t="s">
        <v>1737</v>
      </c>
      <c r="C828" t="s">
        <v>195</v>
      </c>
      <c r="D828" t="s">
        <v>17</v>
      </c>
      <c r="E828" t="s">
        <v>33</v>
      </c>
      <c r="F828" t="s">
        <v>19</v>
      </c>
      <c r="G828" t="s">
        <v>20</v>
      </c>
      <c r="H828">
        <v>46</v>
      </c>
      <c r="I828" s="1">
        <v>36889</v>
      </c>
      <c r="J828" s="1" t="str">
        <f>TEXT(Employee_Sample_Data_1[[#This Row],[Hire Date]], "dddd")</f>
        <v>Friday</v>
      </c>
      <c r="K828" s="1" t="str">
        <f>TEXT(Employee_Sample_Data_1[[#This Row],[Hire Date]], "mmmm")</f>
        <v>December</v>
      </c>
      <c r="L828" s="1" t="str">
        <f>TEXT(Employee_Sample_Data_1[[#This Row],[Hire Date]], "yyyy")</f>
        <v>2000</v>
      </c>
      <c r="M828" s="2">
        <v>114260</v>
      </c>
      <c r="N828" s="3">
        <v>0</v>
      </c>
      <c r="O828" s="9">
        <f>PRODUCT(Employee_Sample_Data_1[[#This Row],[Annual Salary]],Employee_Sample_Data_1[[#This Row],[Bonus %]])</f>
        <v>0</v>
      </c>
      <c r="P828" s="2">
        <f>ROUND(Employee_Sample_Data_1[[#This Row],[Annual Salary]]*(1+Employee_Sample_Data_1[[#This Row],[Bonus %]]), 0)</f>
        <v>114260</v>
      </c>
      <c r="Q828" t="s">
        <v>34</v>
      </c>
      <c r="R828" t="s">
        <v>59</v>
      </c>
      <c r="T828">
        <f ca="1">DATEDIF(Employee_Sample_Data_1[[#This Row],[Hire Date]], IF(Employee_Sample_Data_1[[#This Row],[Exit Date]] = "", TODAY(), Employee_Sample_Data_1[[#This Row],[Exit Date]]), "Y")</f>
        <v>25</v>
      </c>
    </row>
    <row r="829" spans="1:20" x14ac:dyDescent="0.25">
      <c r="A829" t="s">
        <v>1691</v>
      </c>
      <c r="B829" t="s">
        <v>1692</v>
      </c>
      <c r="C829" t="s">
        <v>16</v>
      </c>
      <c r="D829" t="s">
        <v>17</v>
      </c>
      <c r="E829" t="s">
        <v>27</v>
      </c>
      <c r="F829" t="s">
        <v>19</v>
      </c>
      <c r="G829" t="s">
        <v>40</v>
      </c>
      <c r="H829">
        <v>36</v>
      </c>
      <c r="I829" s="1">
        <v>41026</v>
      </c>
      <c r="J829" s="1" t="str">
        <f>TEXT(Employee_Sample_Data_1[[#This Row],[Hire Date]], "dddd")</f>
        <v>Friday</v>
      </c>
      <c r="K829" s="1" t="str">
        <f>TEXT(Employee_Sample_Data_1[[#This Row],[Hire Date]], "mmmm")</f>
        <v>April</v>
      </c>
      <c r="L829" s="1" t="str">
        <f>TEXT(Employee_Sample_Data_1[[#This Row],[Hire Date]], "yyyy")</f>
        <v>2012</v>
      </c>
      <c r="M829" s="2">
        <v>116168</v>
      </c>
      <c r="N829" s="3">
        <v>0</v>
      </c>
      <c r="O829" s="9">
        <f>PRODUCT(Employee_Sample_Data_1[[#This Row],[Annual Salary]],Employee_Sample_Data_1[[#This Row],[Bonus %]])</f>
        <v>0</v>
      </c>
      <c r="P829" s="2">
        <f>ROUND(Employee_Sample_Data_1[[#This Row],[Annual Salary]]*(1+Employee_Sample_Data_1[[#This Row],[Bonus %]]), 0)</f>
        <v>116168</v>
      </c>
      <c r="Q829" t="s">
        <v>21</v>
      </c>
      <c r="R829" t="s">
        <v>45</v>
      </c>
      <c r="T829">
        <f ca="1">DATEDIF(Employee_Sample_Data_1[[#This Row],[Hire Date]], IF(Employee_Sample_Data_1[[#This Row],[Exit Date]] = "", TODAY(), Employee_Sample_Data_1[[#This Row],[Exit Date]]), "Y")</f>
        <v>14</v>
      </c>
    </row>
    <row r="830" spans="1:20" x14ac:dyDescent="0.25">
      <c r="A830" t="s">
        <v>1693</v>
      </c>
      <c r="B830" t="s">
        <v>1694</v>
      </c>
      <c r="C830" t="s">
        <v>80</v>
      </c>
      <c r="D830" t="s">
        <v>26</v>
      </c>
      <c r="E830" t="s">
        <v>33</v>
      </c>
      <c r="F830" t="s">
        <v>19</v>
      </c>
      <c r="G830" t="s">
        <v>20</v>
      </c>
      <c r="H830">
        <v>27</v>
      </c>
      <c r="I830" s="1">
        <v>44417</v>
      </c>
      <c r="J830" s="1" t="str">
        <f>TEXT(Employee_Sample_Data_1[[#This Row],[Hire Date]], "dddd")</f>
        <v>Monday</v>
      </c>
      <c r="K830" s="1" t="str">
        <f>TEXT(Employee_Sample_Data_1[[#This Row],[Hire Date]], "mmmm")</f>
        <v>August</v>
      </c>
      <c r="L830" s="1" t="str">
        <f>TEXT(Employee_Sample_Data_1[[#This Row],[Hire Date]], "yyyy")</f>
        <v>2021</v>
      </c>
      <c r="M830" s="2">
        <v>133267</v>
      </c>
      <c r="N830" s="3">
        <v>0.12</v>
      </c>
      <c r="O830" s="9">
        <f>PRODUCT(Employee_Sample_Data_1[[#This Row],[Annual Salary]],Employee_Sample_Data_1[[#This Row],[Bonus %]])</f>
        <v>15992.039999999999</v>
      </c>
      <c r="P830" s="2">
        <f>ROUND(Employee_Sample_Data_1[[#This Row],[Annual Salary]]*(1+Employee_Sample_Data_1[[#This Row],[Bonus %]]), 0)</f>
        <v>149259</v>
      </c>
      <c r="Q830" t="s">
        <v>21</v>
      </c>
      <c r="R830" t="s">
        <v>48</v>
      </c>
      <c r="T830">
        <f ca="1">DATEDIF(Employee_Sample_Data_1[[#This Row],[Hire Date]], IF(Employee_Sample_Data_1[[#This Row],[Exit Date]] = "", TODAY(), Employee_Sample_Data_1[[#This Row],[Exit Date]]), "Y")</f>
        <v>4</v>
      </c>
    </row>
    <row r="831" spans="1:20" x14ac:dyDescent="0.25">
      <c r="A831" t="s">
        <v>1682</v>
      </c>
      <c r="B831" t="s">
        <v>1683</v>
      </c>
      <c r="C831" t="s">
        <v>128</v>
      </c>
      <c r="D831" t="s">
        <v>123</v>
      </c>
      <c r="E831" t="s">
        <v>53</v>
      </c>
      <c r="F831" t="s">
        <v>39</v>
      </c>
      <c r="G831" t="s">
        <v>20</v>
      </c>
      <c r="H831">
        <v>49</v>
      </c>
      <c r="I831" s="1">
        <v>41927</v>
      </c>
      <c r="J831" s="1" t="str">
        <f>TEXT(Employee_Sample_Data_1[[#This Row],[Hire Date]], "dddd")</f>
        <v>Wednesday</v>
      </c>
      <c r="K831" s="1" t="str">
        <f>TEXT(Employee_Sample_Data_1[[#This Row],[Hire Date]], "mmmm")</f>
        <v>October</v>
      </c>
      <c r="L831" s="1" t="str">
        <f>TEXT(Employee_Sample_Data_1[[#This Row],[Hire Date]], "yyyy")</f>
        <v>2014</v>
      </c>
      <c r="M831" s="2">
        <v>52292</v>
      </c>
      <c r="N831" s="3">
        <v>0</v>
      </c>
      <c r="O831" s="9">
        <f>PRODUCT(Employee_Sample_Data_1[[#This Row],[Annual Salary]],Employee_Sample_Data_1[[#This Row],[Bonus %]])</f>
        <v>0</v>
      </c>
      <c r="P831" s="2">
        <f>ROUND(Employee_Sample_Data_1[[#This Row],[Annual Salary]]*(1+Employee_Sample_Data_1[[#This Row],[Bonus %]]), 0)</f>
        <v>52292</v>
      </c>
      <c r="Q831" t="s">
        <v>34</v>
      </c>
      <c r="R831" t="s">
        <v>59</v>
      </c>
      <c r="T831">
        <f ca="1">DATEDIF(Employee_Sample_Data_1[[#This Row],[Hire Date]], IF(Employee_Sample_Data_1[[#This Row],[Exit Date]] = "", TODAY(), Employee_Sample_Data_1[[#This Row],[Exit Date]]), "Y")</f>
        <v>11</v>
      </c>
    </row>
    <row r="832" spans="1:20" x14ac:dyDescent="0.25">
      <c r="A832" t="s">
        <v>1684</v>
      </c>
      <c r="B832" t="s">
        <v>1685</v>
      </c>
      <c r="C832" t="s">
        <v>80</v>
      </c>
      <c r="D832" t="s">
        <v>123</v>
      </c>
      <c r="E832" t="s">
        <v>27</v>
      </c>
      <c r="F832" t="s">
        <v>39</v>
      </c>
      <c r="G832" t="s">
        <v>63</v>
      </c>
      <c r="H832">
        <v>53</v>
      </c>
      <c r="I832" s="1">
        <v>39626</v>
      </c>
      <c r="J832" s="1" t="str">
        <f>TEXT(Employee_Sample_Data_1[[#This Row],[Hire Date]], "dddd")</f>
        <v>Friday</v>
      </c>
      <c r="K832" s="1" t="str">
        <f>TEXT(Employee_Sample_Data_1[[#This Row],[Hire Date]], "mmmm")</f>
        <v>June</v>
      </c>
      <c r="L832" s="1" t="str">
        <f>TEXT(Employee_Sample_Data_1[[#This Row],[Hire Date]], "yyyy")</f>
        <v>2008</v>
      </c>
      <c r="M832" s="2">
        <v>69110</v>
      </c>
      <c r="N832" s="3">
        <v>0</v>
      </c>
      <c r="O832" s="9">
        <f>PRODUCT(Employee_Sample_Data_1[[#This Row],[Annual Salary]],Employee_Sample_Data_1[[#This Row],[Bonus %]])</f>
        <v>0</v>
      </c>
      <c r="P832" s="2">
        <f>ROUND(Employee_Sample_Data_1[[#This Row],[Annual Salary]]*(1+Employee_Sample_Data_1[[#This Row],[Bonus %]]), 0)</f>
        <v>69110</v>
      </c>
      <c r="Q832" t="s">
        <v>21</v>
      </c>
      <c r="R832" t="s">
        <v>41</v>
      </c>
      <c r="T832">
        <f ca="1">DATEDIF(Employee_Sample_Data_1[[#This Row],[Hire Date]], IF(Employee_Sample_Data_1[[#This Row],[Exit Date]] = "", TODAY(), Employee_Sample_Data_1[[#This Row],[Exit Date]]), "Y")</f>
        <v>17</v>
      </c>
    </row>
    <row r="833" customFormat="1" x14ac:dyDescent="0.25"/>
    <row r="834" customFormat="1" x14ac:dyDescent="0.25"/>
    <row r="835" customFormat="1" x14ac:dyDescent="0.25"/>
    <row r="836" customFormat="1" x14ac:dyDescent="0.25"/>
    <row r="837" customFormat="1" x14ac:dyDescent="0.25"/>
    <row r="838" customFormat="1" x14ac:dyDescent="0.25"/>
    <row r="839" customFormat="1" x14ac:dyDescent="0.25"/>
    <row r="840" customFormat="1" x14ac:dyDescent="0.25"/>
    <row r="841" customFormat="1" x14ac:dyDescent="0.25"/>
    <row r="842" customFormat="1" x14ac:dyDescent="0.25"/>
    <row r="843" customFormat="1" x14ac:dyDescent="0.25"/>
    <row r="844" customFormat="1" x14ac:dyDescent="0.25"/>
    <row r="845" customFormat="1" x14ac:dyDescent="0.25"/>
    <row r="846" customFormat="1" x14ac:dyDescent="0.25"/>
    <row r="847" customFormat="1" x14ac:dyDescent="0.25"/>
    <row r="848" customFormat="1" x14ac:dyDescent="0.25"/>
    <row r="849" customFormat="1" x14ac:dyDescent="0.25"/>
    <row r="850" customFormat="1" x14ac:dyDescent="0.25"/>
    <row r="851" customFormat="1" x14ac:dyDescent="0.25"/>
    <row r="852" customFormat="1" x14ac:dyDescent="0.25"/>
    <row r="853" customFormat="1" x14ac:dyDescent="0.25"/>
    <row r="854" customFormat="1" x14ac:dyDescent="0.25"/>
    <row r="855" customFormat="1" x14ac:dyDescent="0.25"/>
    <row r="856" customFormat="1" x14ac:dyDescent="0.25"/>
    <row r="857" customFormat="1" x14ac:dyDescent="0.25"/>
    <row r="858" customFormat="1" x14ac:dyDescent="0.25"/>
    <row r="859" customFormat="1" x14ac:dyDescent="0.25"/>
    <row r="860" customFormat="1" x14ac:dyDescent="0.25"/>
    <row r="861" customFormat="1" x14ac:dyDescent="0.25"/>
    <row r="862" customFormat="1" x14ac:dyDescent="0.25"/>
    <row r="863" customFormat="1" x14ac:dyDescent="0.25"/>
    <row r="864" customFormat="1" x14ac:dyDescent="0.25"/>
    <row r="865" customFormat="1" x14ac:dyDescent="0.25"/>
    <row r="866" customFormat="1" x14ac:dyDescent="0.25"/>
    <row r="867" customFormat="1" x14ac:dyDescent="0.25"/>
    <row r="868" customFormat="1" x14ac:dyDescent="0.25"/>
    <row r="869" customFormat="1" x14ac:dyDescent="0.25"/>
    <row r="870" customFormat="1" x14ac:dyDescent="0.25"/>
    <row r="871" customFormat="1" x14ac:dyDescent="0.25"/>
    <row r="872" customFormat="1" x14ac:dyDescent="0.25"/>
    <row r="873" customFormat="1" x14ac:dyDescent="0.25"/>
    <row r="874" customFormat="1" x14ac:dyDescent="0.25"/>
    <row r="875" customFormat="1" x14ac:dyDescent="0.25"/>
    <row r="876" customFormat="1" x14ac:dyDescent="0.25"/>
    <row r="877" customFormat="1" x14ac:dyDescent="0.25"/>
    <row r="878" customFormat="1" x14ac:dyDescent="0.25"/>
    <row r="879" customFormat="1" x14ac:dyDescent="0.25"/>
    <row r="880" customFormat="1" x14ac:dyDescent="0.25"/>
    <row r="881" customFormat="1" x14ac:dyDescent="0.25"/>
    <row r="882" customFormat="1" x14ac:dyDescent="0.25"/>
    <row r="883" customFormat="1" x14ac:dyDescent="0.25"/>
    <row r="884" customFormat="1" x14ac:dyDescent="0.25"/>
    <row r="885" customFormat="1" x14ac:dyDescent="0.25"/>
    <row r="886" customFormat="1" x14ac:dyDescent="0.25"/>
    <row r="887" customFormat="1" x14ac:dyDescent="0.25"/>
    <row r="888" customFormat="1" x14ac:dyDescent="0.25"/>
    <row r="889" customFormat="1" x14ac:dyDescent="0.25"/>
    <row r="890" customFormat="1" x14ac:dyDescent="0.25"/>
    <row r="891" customFormat="1" x14ac:dyDescent="0.25"/>
    <row r="892" customFormat="1" x14ac:dyDescent="0.25"/>
    <row r="893" customFormat="1" x14ac:dyDescent="0.25"/>
    <row r="894" customFormat="1" x14ac:dyDescent="0.25"/>
    <row r="895" customFormat="1" x14ac:dyDescent="0.25"/>
    <row r="896" customFormat="1" x14ac:dyDescent="0.25"/>
    <row r="897" customFormat="1" x14ac:dyDescent="0.25"/>
    <row r="898" customFormat="1" x14ac:dyDescent="0.25"/>
    <row r="899" customFormat="1" x14ac:dyDescent="0.25"/>
    <row r="900" customFormat="1" x14ac:dyDescent="0.25"/>
    <row r="901" customFormat="1" x14ac:dyDescent="0.25"/>
    <row r="902" customFormat="1" x14ac:dyDescent="0.25"/>
    <row r="903" customFormat="1" x14ac:dyDescent="0.25"/>
    <row r="904" customFormat="1" x14ac:dyDescent="0.25"/>
    <row r="905" customFormat="1" x14ac:dyDescent="0.25"/>
    <row r="906" customFormat="1" x14ac:dyDescent="0.25"/>
    <row r="907" customFormat="1" x14ac:dyDescent="0.25"/>
    <row r="908" customFormat="1" x14ac:dyDescent="0.25"/>
    <row r="909" customFormat="1" x14ac:dyDescent="0.25"/>
    <row r="910" customFormat="1" x14ac:dyDescent="0.25"/>
    <row r="911" customFormat="1" x14ac:dyDescent="0.25"/>
    <row r="912" customFormat="1" x14ac:dyDescent="0.25"/>
    <row r="913" customFormat="1" x14ac:dyDescent="0.25"/>
    <row r="914" customFormat="1" x14ac:dyDescent="0.25"/>
    <row r="915" customFormat="1" x14ac:dyDescent="0.25"/>
    <row r="916" customFormat="1" x14ac:dyDescent="0.25"/>
    <row r="917" customFormat="1" x14ac:dyDescent="0.25"/>
    <row r="918" customFormat="1" x14ac:dyDescent="0.25"/>
    <row r="919" customFormat="1" x14ac:dyDescent="0.25"/>
    <row r="920" customFormat="1" x14ac:dyDescent="0.25"/>
    <row r="921" customFormat="1" x14ac:dyDescent="0.25"/>
    <row r="922" customFormat="1" x14ac:dyDescent="0.25"/>
    <row r="923" customFormat="1" x14ac:dyDescent="0.25"/>
    <row r="924" customFormat="1" x14ac:dyDescent="0.25"/>
    <row r="925" customFormat="1" x14ac:dyDescent="0.25"/>
    <row r="926" customFormat="1" x14ac:dyDescent="0.25"/>
    <row r="927" customFormat="1" x14ac:dyDescent="0.25"/>
    <row r="928" customFormat="1" x14ac:dyDescent="0.25"/>
    <row r="929" customFormat="1" x14ac:dyDescent="0.25"/>
    <row r="930" customFormat="1" x14ac:dyDescent="0.25"/>
    <row r="931" customFormat="1" x14ac:dyDescent="0.25"/>
    <row r="932" customFormat="1" x14ac:dyDescent="0.25"/>
    <row r="933" customFormat="1" x14ac:dyDescent="0.25"/>
    <row r="934" customFormat="1" x14ac:dyDescent="0.25"/>
    <row r="935" customFormat="1" x14ac:dyDescent="0.25"/>
    <row r="936" customFormat="1" x14ac:dyDescent="0.25"/>
    <row r="937" customFormat="1" x14ac:dyDescent="0.25"/>
    <row r="938" customFormat="1" x14ac:dyDescent="0.25"/>
    <row r="939" customFormat="1" x14ac:dyDescent="0.25"/>
    <row r="940" customFormat="1" x14ac:dyDescent="0.25"/>
    <row r="941" customFormat="1" x14ac:dyDescent="0.25"/>
    <row r="942" customFormat="1" x14ac:dyDescent="0.25"/>
    <row r="943" customFormat="1" x14ac:dyDescent="0.25"/>
    <row r="944" customFormat="1" x14ac:dyDescent="0.25"/>
    <row r="945" customFormat="1" x14ac:dyDescent="0.25"/>
    <row r="946" customFormat="1" x14ac:dyDescent="0.25"/>
    <row r="947" customFormat="1" x14ac:dyDescent="0.25"/>
    <row r="948" customFormat="1" x14ac:dyDescent="0.25"/>
    <row r="949" customFormat="1" x14ac:dyDescent="0.25"/>
    <row r="950" customFormat="1" x14ac:dyDescent="0.25"/>
    <row r="951" customFormat="1" x14ac:dyDescent="0.25"/>
    <row r="952" customFormat="1" x14ac:dyDescent="0.25"/>
    <row r="953" customFormat="1" x14ac:dyDescent="0.25"/>
    <row r="954" customFormat="1" x14ac:dyDescent="0.25"/>
    <row r="955" customFormat="1" x14ac:dyDescent="0.25"/>
    <row r="956" customFormat="1" x14ac:dyDescent="0.25"/>
    <row r="957" customFormat="1" x14ac:dyDescent="0.25"/>
    <row r="958" customFormat="1" x14ac:dyDescent="0.25"/>
    <row r="959" customFormat="1" x14ac:dyDescent="0.25"/>
    <row r="960" customFormat="1" x14ac:dyDescent="0.25"/>
    <row r="961" customFormat="1" x14ac:dyDescent="0.25"/>
    <row r="962" customFormat="1" x14ac:dyDescent="0.25"/>
    <row r="963" customFormat="1" x14ac:dyDescent="0.25"/>
    <row r="964" customFormat="1" x14ac:dyDescent="0.25"/>
    <row r="965" customFormat="1" x14ac:dyDescent="0.25"/>
    <row r="966" customFormat="1" x14ac:dyDescent="0.25"/>
    <row r="967" customFormat="1" x14ac:dyDescent="0.25"/>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3CA3AB9-3BD3-4D25-859B-F3A6DBDEE50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Count of Employee (Job Title)</vt:lpstr>
      <vt:lpstr>Salary by Department</vt:lpstr>
      <vt:lpstr>Salary by Business Unit</vt:lpstr>
      <vt:lpstr>Most Dominant Ethnic Group</vt:lpstr>
      <vt:lpstr>Bonus Pay by Department</vt:lpstr>
      <vt:lpstr>Hire By Day</vt:lpstr>
      <vt:lpstr>Hire by Month</vt:lpstr>
      <vt:lpstr>Hire by Year</vt:lpstr>
      <vt:lpstr>Gender Count by Department</vt:lpstr>
      <vt:lpstr>Number of Exited Employees</vt:lpstr>
      <vt:lpstr>Dashboard</vt:lpstr>
      <vt:lpstr>Employee Sample Data 1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Sarki B</dc:creator>
  <cp:lastModifiedBy>Mfoniso Ekong</cp:lastModifiedBy>
  <dcterms:created xsi:type="dcterms:W3CDTF">2025-10-05T15:52:48Z</dcterms:created>
  <dcterms:modified xsi:type="dcterms:W3CDTF">2026-06-06T19:11:10Z</dcterms:modified>
</cp:coreProperties>
</file>