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arki B\Documents\DATA SCIENCE\LECTURE DATA\RAW DATA\Processed Data\"/>
    </mc:Choice>
  </mc:AlternateContent>
  <xr:revisionPtr revIDLastSave="0" documentId="13_ncr:1_{87B37A48-5450-4E9F-8A5B-243374E2497C}" xr6:coauthVersionLast="47" xr6:coauthVersionMax="47" xr10:uidLastSave="{00000000-0000-0000-0000-000000000000}"/>
  <bookViews>
    <workbookView xWindow="-120" yWindow="-120" windowWidth="20730" windowHeight="11040" firstSheet="7" activeTab="10" xr2:uid="{00000000-000D-0000-FFFF-FFFF00000000}"/>
  </bookViews>
  <sheets>
    <sheet name="Unique Count of Apps" sheetId="14" r:id="rId1"/>
    <sheet name="App usage by Count" sheetId="3" r:id="rId2"/>
    <sheet name="App Reviews by Day" sheetId="5" r:id="rId3"/>
    <sheet name="App Review by Month " sheetId="6" r:id="rId4"/>
    <sheet name="Reviews by Year" sheetId="7" r:id="rId5"/>
    <sheet name="App Usage by Age Class" sheetId="8" r:id="rId6"/>
    <sheet name=" Rating by App Name" sheetId="4" r:id="rId7"/>
    <sheet name="App Usage by Category" sheetId="12" r:id="rId8"/>
    <sheet name="App Usage by Gender" sheetId="9" r:id="rId9"/>
    <sheet name="App Usage by Country" sheetId="11" r:id="rId10"/>
    <sheet name="DASHBOARD" sheetId="13" r:id="rId11"/>
    <sheet name="Multilingual_Mobile_App_Reviews" sheetId="1" r:id="rId12"/>
  </sheets>
  <definedNames>
    <definedName name="_xlnm._FilterDatabase" localSheetId="11" hidden="1">Multilingual_Mobile_App_Reviews!$A$1:$P$942</definedName>
    <definedName name="_xlchart.v1.0" hidden="1">'App Usage by Age Class'!$K$2:$M$3</definedName>
    <definedName name="_xlchart.v1.1" hidden="1">'App Usage by Age Class'!$K$4:$M$4</definedName>
    <definedName name="_xlchart.v1.4" hidden="1">'App Usage by Age Class'!$K$2:$M$3</definedName>
    <definedName name="_xlchart.v1.5" hidden="1">'App Usage by Age Class'!$K$4:$M$4</definedName>
    <definedName name="_xlchart.v2.2" hidden="1">'App Usage by Country'!$E$3:$E$5</definedName>
    <definedName name="_xlchart.v2.3" hidden="1">'App Usage by Country'!$G$3:$G$5</definedName>
    <definedName name="_xlchart.v2.6" hidden="1">'App Usage by Country'!$E$3:$E$5</definedName>
    <definedName name="_xlchart.v2.7" hidden="1">'App Usage by Country'!$G$3:$G$5</definedName>
    <definedName name="Slicer_Rating_Category">#N/A</definedName>
    <definedName name="Slicer_Review_Yea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12" l="1"/>
  <c r="J6" i="12"/>
  <c r="J5" i="12"/>
  <c r="J4" i="12"/>
  <c r="J3" i="12"/>
  <c r="J8" i="12" l="1"/>
  <c r="K3" i="12" s="1"/>
  <c r="K7" i="12" l="1"/>
  <c r="K5" i="12"/>
  <c r="K6" i="12"/>
  <c r="K4" i="12"/>
  <c r="C3" i="14"/>
  <c r="M3" i="9"/>
  <c r="M9" i="9" s="1"/>
  <c r="L3" i="9"/>
  <c r="M8" i="9" s="1"/>
  <c r="H5" i="12"/>
  <c r="J5" i="9"/>
  <c r="G10" i="9"/>
  <c r="J8" i="9"/>
  <c r="M10" i="9" l="1"/>
  <c r="N9" i="9" s="1"/>
  <c r="N3" i="9"/>
  <c r="M4" i="9" s="1"/>
  <c r="E4" i="12"/>
  <c r="E3" i="12"/>
  <c r="I5" i="9"/>
  <c r="F5" i="11"/>
  <c r="F3" i="11"/>
  <c r="E9" i="11"/>
  <c r="F4" i="11"/>
  <c r="N8" i="9" l="1"/>
  <c r="L4" i="9"/>
  <c r="G4" i="11"/>
  <c r="G3" i="11"/>
  <c r="G5" i="11"/>
  <c r="I6" i="9"/>
  <c r="E5" i="12"/>
  <c r="F5" i="12" s="1"/>
  <c r="E3" i="6"/>
  <c r="K4" i="8"/>
  <c r="E3" i="7"/>
  <c r="E5" i="6"/>
  <c r="D17" i="6"/>
  <c r="H5" i="9"/>
  <c r="D7" i="7"/>
  <c r="L4" i="8"/>
  <c r="E4" i="6"/>
  <c r="E4" i="7"/>
  <c r="E2" i="7"/>
  <c r="M4" i="8"/>
  <c r="F3" i="6" l="1"/>
  <c r="F5" i="6"/>
  <c r="H6" i="9"/>
  <c r="F4" i="6"/>
  <c r="F6" i="6"/>
  <c r="F8" i="6"/>
  <c r="F10" i="6"/>
  <c r="F12" i="6"/>
  <c r="F14" i="6"/>
  <c r="F7" i="6"/>
  <c r="F9" i="6"/>
  <c r="F11" i="6"/>
  <c r="F13" i="6"/>
  <c r="F4" i="12"/>
  <c r="F3" i="12"/>
  <c r="F3" i="7"/>
  <c r="F2" i="7"/>
  <c r="F4" i="7"/>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2" i="1"/>
  <c r="E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5" i="5"/>
  <c r="E7" i="5"/>
  <c r="E8" i="3"/>
  <c r="E4" i="3"/>
  <c r="Q5" i="4"/>
  <c r="E2" i="5"/>
  <c r="E4" i="5"/>
  <c r="E7" i="3"/>
  <c r="P5" i="4"/>
  <c r="O5" i="4"/>
  <c r="E11" i="3"/>
  <c r="E6" i="3"/>
  <c r="E8" i="5"/>
  <c r="E14" i="3"/>
  <c r="E6" i="5"/>
  <c r="E5" i="3"/>
  <c r="E13" i="3"/>
  <c r="E17" i="3"/>
  <c r="E16" i="3"/>
  <c r="E3" i="5"/>
  <c r="E15" i="3"/>
  <c r="E12" i="3"/>
  <c r="E9" i="3"/>
  <c r="E10" i="3"/>
  <c r="N5" i="4"/>
  <c r="E9" i="5" l="1"/>
  <c r="F9" i="5" s="1"/>
  <c r="F3" i="5" l="1"/>
  <c r="F7" i="5"/>
  <c r="F4" i="5"/>
  <c r="F5" i="5"/>
  <c r="F8" i="5"/>
  <c r="F2" i="5"/>
  <c r="F6" i="5"/>
</calcChain>
</file>

<file path=xl/sharedStrings.xml><?xml version="1.0" encoding="utf-8"?>
<sst xmlns="http://schemas.openxmlformats.org/spreadsheetml/2006/main" count="5409" uniqueCount="166">
  <si>
    <t>MX Player</t>
  </si>
  <si>
    <t>Travel &amp; Local</t>
  </si>
  <si>
    <t>Android Tablet</t>
  </si>
  <si>
    <t>China</t>
  </si>
  <si>
    <t>Female</t>
  </si>
  <si>
    <t>Tinder</t>
  </si>
  <si>
    <t>Navigation</t>
  </si>
  <si>
    <t>iPad</t>
  </si>
  <si>
    <t>Germany</t>
  </si>
  <si>
    <t>Male</t>
  </si>
  <si>
    <t>Netflix</t>
  </si>
  <si>
    <t>Dating</t>
  </si>
  <si>
    <t>Nigeria</t>
  </si>
  <si>
    <t>Venmo</t>
  </si>
  <si>
    <t>Productivity</t>
  </si>
  <si>
    <t>iOS</t>
  </si>
  <si>
    <t>India</t>
  </si>
  <si>
    <t>Google Drive</t>
  </si>
  <si>
    <t>Education</t>
  </si>
  <si>
    <t>South Korea</t>
  </si>
  <si>
    <t>Music &amp; Audio</t>
  </si>
  <si>
    <t>Windows Phone</t>
  </si>
  <si>
    <t>Spain</t>
  </si>
  <si>
    <t>Signal</t>
  </si>
  <si>
    <t>Australia</t>
  </si>
  <si>
    <t>Canva</t>
  </si>
  <si>
    <t>Social Networking</t>
  </si>
  <si>
    <t>Malaysia</t>
  </si>
  <si>
    <t>Microsoft Office</t>
  </si>
  <si>
    <t>Video Players &amp; Editors</t>
  </si>
  <si>
    <t>Dropbox</t>
  </si>
  <si>
    <t>News &amp; Magazines</t>
  </si>
  <si>
    <t>Coursera</t>
  </si>
  <si>
    <t>Adobe Photoshop</t>
  </si>
  <si>
    <t>Utilities</t>
  </si>
  <si>
    <t>Udemy</t>
  </si>
  <si>
    <t>Health &amp; Fitness</t>
  </si>
  <si>
    <t>Vietnam</t>
  </si>
  <si>
    <t>Entertainment</t>
  </si>
  <si>
    <t>Pakistan</t>
  </si>
  <si>
    <t>eBay</t>
  </si>
  <si>
    <t>Khan Academy</t>
  </si>
  <si>
    <t>United Kingdom</t>
  </si>
  <si>
    <t>Communication</t>
  </si>
  <si>
    <t>Japan</t>
  </si>
  <si>
    <t>Snapchat</t>
  </si>
  <si>
    <t>Facebook</t>
  </si>
  <si>
    <t>Photography</t>
  </si>
  <si>
    <t>Brazil</t>
  </si>
  <si>
    <t>LinkedIn</t>
  </si>
  <si>
    <t>Italy</t>
  </si>
  <si>
    <t>PayPal</t>
  </si>
  <si>
    <t>Google Maps</t>
  </si>
  <si>
    <t>Turkey</t>
  </si>
  <si>
    <t>Booking.com</t>
  </si>
  <si>
    <t>Thailand</t>
  </si>
  <si>
    <t>Zoom</t>
  </si>
  <si>
    <t>Games</t>
  </si>
  <si>
    <t>Android</t>
  </si>
  <si>
    <t>France</t>
  </si>
  <si>
    <t>Reddit</t>
  </si>
  <si>
    <t>Duolingo</t>
  </si>
  <si>
    <t>YouTube</t>
  </si>
  <si>
    <t>Finance</t>
  </si>
  <si>
    <t>Waze</t>
  </si>
  <si>
    <t>Mexico</t>
  </si>
  <si>
    <t>United States</t>
  </si>
  <si>
    <t>Discord</t>
  </si>
  <si>
    <t>Bangladesh</t>
  </si>
  <si>
    <t>Instagram</t>
  </si>
  <si>
    <t>Spotify</t>
  </si>
  <si>
    <t>OneDrive</t>
  </si>
  <si>
    <t>Canada</t>
  </si>
  <si>
    <t>VLC</t>
  </si>
  <si>
    <t>Amazon</t>
  </si>
  <si>
    <t>Business</t>
  </si>
  <si>
    <t>Pinterest</t>
  </si>
  <si>
    <t>Philippines</t>
  </si>
  <si>
    <t>Bumble</t>
  </si>
  <si>
    <t>Uber</t>
  </si>
  <si>
    <t>Airbnb</t>
  </si>
  <si>
    <t>Indonesia</t>
  </si>
  <si>
    <t>Grammarly</t>
  </si>
  <si>
    <t>Lyft</t>
  </si>
  <si>
    <t>Telegram</t>
  </si>
  <si>
    <t>Shopping</t>
  </si>
  <si>
    <t>Russia</t>
  </si>
  <si>
    <t>WhatsApp</t>
  </si>
  <si>
    <t>Twitter</t>
  </si>
  <si>
    <t>TikTok</t>
  </si>
  <si>
    <t>User Id</t>
  </si>
  <si>
    <t>App Name</t>
  </si>
  <si>
    <t>App Category</t>
  </si>
  <si>
    <t>Rating</t>
  </si>
  <si>
    <t>Review Date</t>
  </si>
  <si>
    <t>Verified Purchase</t>
  </si>
  <si>
    <t>Device Type</t>
  </si>
  <si>
    <t>Number of Votes</t>
  </si>
  <si>
    <t>User Age</t>
  </si>
  <si>
    <t>User Country</t>
  </si>
  <si>
    <t>User Gender</t>
  </si>
  <si>
    <t>Review Day</t>
  </si>
  <si>
    <t>Review Month</t>
  </si>
  <si>
    <t>Review Year</t>
  </si>
  <si>
    <t>Age Class</t>
  </si>
  <si>
    <t>Rating Category</t>
  </si>
  <si>
    <t>Grand Total</t>
  </si>
  <si>
    <t>Number of Users</t>
  </si>
  <si>
    <t>Top 10 Most Used Apps</t>
  </si>
  <si>
    <t>Excellent</t>
  </si>
  <si>
    <t>Very Good</t>
  </si>
  <si>
    <t>Good</t>
  </si>
  <si>
    <t>Poor</t>
  </si>
  <si>
    <t>Sunday</t>
  </si>
  <si>
    <t>Monday</t>
  </si>
  <si>
    <t>Tuesday</t>
  </si>
  <si>
    <t>Wednesday</t>
  </si>
  <si>
    <t>Thursday</t>
  </si>
  <si>
    <t>Friday</t>
  </si>
  <si>
    <t>Saturday</t>
  </si>
  <si>
    <t>Count of User Id</t>
  </si>
  <si>
    <t>Number of Reviews</t>
  </si>
  <si>
    <t>No. of Reviews</t>
  </si>
  <si>
    <t>Review Days</t>
  </si>
  <si>
    <t>Percentage</t>
  </si>
  <si>
    <t>Total</t>
  </si>
  <si>
    <t>January</t>
  </si>
  <si>
    <t>February</t>
  </si>
  <si>
    <t>March</t>
  </si>
  <si>
    <t>April</t>
  </si>
  <si>
    <t>May</t>
  </si>
  <si>
    <t>June</t>
  </si>
  <si>
    <t>July</t>
  </si>
  <si>
    <t>August</t>
  </si>
  <si>
    <t>September</t>
  </si>
  <si>
    <t>October</t>
  </si>
  <si>
    <t>November</t>
  </si>
  <si>
    <t>December</t>
  </si>
  <si>
    <t>Review Months</t>
  </si>
  <si>
    <t>Top 3 Review Months</t>
  </si>
  <si>
    <t>Total Reviews</t>
  </si>
  <si>
    <t>Review Years</t>
  </si>
  <si>
    <t>2023</t>
  </si>
  <si>
    <t>2024</t>
  </si>
  <si>
    <t>2025</t>
  </si>
  <si>
    <t>Teenagers</t>
  </si>
  <si>
    <t>Adults</t>
  </si>
  <si>
    <t>Seniors</t>
  </si>
  <si>
    <t>Gender</t>
  </si>
  <si>
    <t>Tinder, Twitter</t>
  </si>
  <si>
    <t>Most Used App by Gender</t>
  </si>
  <si>
    <t>Total Users</t>
  </si>
  <si>
    <t>Country</t>
  </si>
  <si>
    <t>App Usage by Top 3  Countries</t>
  </si>
  <si>
    <t>Description</t>
  </si>
  <si>
    <t>Top 3</t>
  </si>
  <si>
    <t>Others</t>
  </si>
  <si>
    <t>(All)</t>
  </si>
  <si>
    <t>Female Users of Tinder</t>
  </si>
  <si>
    <t>Total Number of App</t>
  </si>
  <si>
    <t/>
  </si>
  <si>
    <t>Other</t>
  </si>
  <si>
    <t>Gender Proportion</t>
  </si>
  <si>
    <t>Top 3 Categories by App Usage</t>
  </si>
  <si>
    <t>Categories</t>
  </si>
  <si>
    <t>Number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</si>
</sst>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1">
    <xf numFmtId="0" fontId="0" fillId="0" borderId="0" xfId="0"/>
    <xf numFmtId="14" fontId="0" fillId="0" borderId="0" xfId="0" applyNumberFormat="1"/>
    <xf numFmtId="0" fontId="16" fillId="0" borderId="0" xfId="0" applyFont="1" applyAlignment="1">
      <alignment horizontal="center"/>
    </xf>
    <xf numFmtId="0" fontId="0" fillId="0" borderId="0" xfId="0" pivotButton="1"/>
    <xf numFmtId="0" fontId="0" fillId="0" borderId="0" xfId="0" applyAlignment="1">
      <alignment horizontal="left"/>
    </xf>
    <xf numFmtId="0" fontId="16" fillId="33" borderId="0" xfId="0" applyFont="1" applyFill="1"/>
    <xf numFmtId="0" fontId="16" fillId="0" borderId="0" xfId="0" applyFont="1"/>
    <xf numFmtId="9" fontId="0" fillId="0" borderId="0" xfId="42" applyFont="1"/>
    <xf numFmtId="9" fontId="0" fillId="0" borderId="0" xfId="0" applyNumberFormat="1"/>
    <xf numFmtId="9" fontId="16" fillId="0" borderId="0" xfId="0" applyNumberFormat="1" applyFont="1"/>
    <xf numFmtId="10" fontId="0" fillId="0" borderId="0" xfId="0" applyNumberFormat="1"/>
    <xf numFmtId="0" fontId="18" fillId="35" borderId="0" xfId="0" applyFont="1" applyFill="1"/>
    <xf numFmtId="0" fontId="0" fillId="35" borderId="0" xfId="0" applyFill="1"/>
    <xf numFmtId="0" fontId="16" fillId="36" borderId="0" xfId="0" applyFont="1" applyFill="1"/>
    <xf numFmtId="0" fontId="13" fillId="0" borderId="0" xfId="0" applyFont="1"/>
    <xf numFmtId="164" fontId="0" fillId="0" borderId="0" xfId="0" applyNumberFormat="1"/>
    <xf numFmtId="0" fontId="16" fillId="0" borderId="0" xfId="0" applyFont="1" applyAlignment="1">
      <alignment horizontal="left"/>
    </xf>
    <xf numFmtId="0" fontId="16" fillId="0" borderId="0" xfId="0" applyFont="1" applyAlignment="1">
      <alignment horizontal="center"/>
    </xf>
    <xf numFmtId="0" fontId="16" fillId="33" borderId="0" xfId="0" applyFont="1" applyFill="1" applyAlignment="1">
      <alignment horizontal="center"/>
    </xf>
    <xf numFmtId="0" fontId="16" fillId="34" borderId="0" xfId="0" applyFont="1" applyFill="1" applyAlignment="1">
      <alignment horizontal="center"/>
    </xf>
    <xf numFmtId="0" fontId="16" fillId="36"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
    <dxf>
      <numFmt numFmtId="19" formatCode="m/d/yyyy"/>
    </dxf>
    <dxf>
      <numFmt numFmtId="19" formatCode="m/d/yyyy"/>
    </dxf>
    <dxf>
      <numFmt numFmtId="19" formatCode="m/d/yyyy"/>
    </dxf>
    <dxf>
      <numFmt numFmtId="19" formatCode="m/d/yyyy"/>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color theme="0"/>
      </font>
    </dxf>
    <dxf>
      <font>
        <b/>
      </font>
    </dxf>
    <dxf>
      <font>
        <color rgb="FF9C0006"/>
      </font>
      <fill>
        <patternFill>
          <bgColor rgb="FF92D050"/>
        </patternFill>
      </fill>
    </dxf>
    <dxf>
      <font>
        <color rgb="FF9C0006"/>
      </font>
      <fill>
        <patternFill>
          <bgColor rgb="FF92D050"/>
        </patternFill>
      </fill>
    </dxf>
    <dxf>
      <fill>
        <patternFill>
          <bgColor rgb="FF92D050"/>
        </patternFill>
      </fill>
    </dxf>
    <dxf>
      <font>
        <b/>
        <i val="0"/>
      </font>
      <fill>
        <patternFill>
          <bgColor theme="0"/>
        </patternFill>
      </fill>
    </dxf>
    <dxf>
      <fill>
        <patternFill>
          <bgColor rgb="FF4472C4"/>
        </patternFill>
      </fill>
    </dxf>
  </dxfs>
  <tableStyles count="1" defaultTableStyle="TableStyleMedium2" defaultPivotStyle="PivotStyleLight16">
    <tableStyle name="Slicer Style 1" pivot="0" table="0" count="3" xr9:uid="{08D1B2C7-12C3-4658-B409-ADBBAE286398}">
      <tableStyleElement type="wholeTable" dxfId="11"/>
      <tableStyleElement type="headerRow" dxfId="10"/>
    </tableStyle>
  </tableStyles>
  <colors>
    <mruColors>
      <color rgb="FF27BFCF"/>
      <color rgb="FF24B3C2"/>
      <color rgb="FF60D6E2"/>
      <color rgb="FF5D56E4"/>
      <color rgb="FFF7B975"/>
      <color rgb="FF29C6D7"/>
      <color rgb="FF51DEED"/>
      <color rgb="FFFF8B8B"/>
      <color rgb="FFFFA3A3"/>
      <color rgb="FFCE88B0"/>
    </mruColors>
  </colors>
  <extLst>
    <ext xmlns:x14="http://schemas.microsoft.com/office/spreadsheetml/2009/9/main" uri="{46F421CA-312F-682f-3DD2-61675219B42D}">
      <x14:dxfs count="1">
        <dxf>
          <font>
            <b/>
            <i val="0"/>
          </font>
          <fill>
            <patternFill>
              <bgColor rgb="FF00B0F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Top 10 Most Used Apps</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'App usage by Count'!$D$4:$D$17</c:f>
              <c:strCache>
                <c:ptCount val="14"/>
                <c:pt idx="0">
                  <c:v>Tinder</c:v>
                </c:pt>
                <c:pt idx="1">
                  <c:v>OneDrive</c:v>
                </c:pt>
                <c:pt idx="2">
                  <c:v>Instagram</c:v>
                </c:pt>
                <c:pt idx="3">
                  <c:v>Pinterest</c:v>
                </c:pt>
                <c:pt idx="4">
                  <c:v>Twitter</c:v>
                </c:pt>
                <c:pt idx="5">
                  <c:v>Microsoft Office</c:v>
                </c:pt>
                <c:pt idx="6">
                  <c:v>MX Player</c:v>
                </c:pt>
                <c:pt idx="7">
                  <c:v>eBay</c:v>
                </c:pt>
                <c:pt idx="8">
                  <c:v>Coursera</c:v>
                </c:pt>
                <c:pt idx="9">
                  <c:v>Telegram</c:v>
                </c:pt>
                <c:pt idx="10">
                  <c:v>Reddit</c:v>
                </c:pt>
                <c:pt idx="11">
                  <c:v>YouTube</c:v>
                </c:pt>
                <c:pt idx="12">
                  <c:v>Google Drive</c:v>
                </c:pt>
                <c:pt idx="13">
                  <c:v>Adobe Photoshop</c:v>
                </c:pt>
              </c:strCache>
            </c:strRef>
          </c:cat>
          <c:val>
            <c:numRef>
              <c:f>'App usage by Count'!$E$4:$E$17</c:f>
              <c:numCache>
                <c:formatCode>General</c:formatCode>
                <c:ptCount val="14"/>
                <c:pt idx="0">
                  <c:v>39</c:v>
                </c:pt>
                <c:pt idx="1">
                  <c:v>31</c:v>
                </c:pt>
                <c:pt idx="2">
                  <c:v>31</c:v>
                </c:pt>
                <c:pt idx="3">
                  <c:v>29</c:v>
                </c:pt>
                <c:pt idx="4">
                  <c:v>29</c:v>
                </c:pt>
                <c:pt idx="5">
                  <c:v>29</c:v>
                </c:pt>
                <c:pt idx="6">
                  <c:v>28</c:v>
                </c:pt>
                <c:pt idx="7">
                  <c:v>27</c:v>
                </c:pt>
                <c:pt idx="8">
                  <c:v>27</c:v>
                </c:pt>
                <c:pt idx="9">
                  <c:v>26</c:v>
                </c:pt>
                <c:pt idx="10">
                  <c:v>26</c:v>
                </c:pt>
                <c:pt idx="11">
                  <c:v>26</c:v>
                </c:pt>
                <c:pt idx="12">
                  <c:v>26</c:v>
                </c:pt>
                <c:pt idx="13">
                  <c:v>26</c:v>
                </c:pt>
              </c:numCache>
            </c:numRef>
          </c:val>
          <c:extLst>
            <c:ext xmlns:c16="http://schemas.microsoft.com/office/drawing/2014/chart" uri="{C3380CC4-5D6E-409C-BE32-E72D297353CC}">
              <c16:uniqueId val="{00000000-8789-4372-BEF0-447043F6BE25}"/>
            </c:ext>
          </c:extLst>
        </c:ser>
        <c:dLbls>
          <c:showLegendKey val="0"/>
          <c:showVal val="0"/>
          <c:showCatName val="0"/>
          <c:showSerName val="0"/>
          <c:showPercent val="0"/>
          <c:showBubbleSize val="0"/>
        </c:dLbls>
        <c:gapWidth val="219"/>
        <c:overlap val="-27"/>
        <c:axId val="286153280"/>
        <c:axId val="219376032"/>
      </c:barChart>
      <c:catAx>
        <c:axId val="28615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9376032"/>
        <c:crosses val="autoZero"/>
        <c:auto val="1"/>
        <c:lblAlgn val="ctr"/>
        <c:lblOffset val="100"/>
        <c:noMultiLvlLbl val="0"/>
      </c:catAx>
      <c:valAx>
        <c:axId val="21937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8615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App</a:t>
            </a:r>
            <a:r>
              <a:rPr lang="en-US" sz="1200" b="1" baseline="0">
                <a:solidFill>
                  <a:sysClr val="windowText" lastClr="000000"/>
                </a:solidFill>
              </a:rPr>
              <a:t> Reviews by Day</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Number of Reviews</c:v>
          </c:tx>
          <c:spPr>
            <a:solidFill>
              <a:schemeClr val="accent1"/>
            </a:solidFill>
            <a:ln>
              <a:noFill/>
            </a:ln>
            <a:effectLst/>
          </c:spPr>
          <c:invertIfNegative val="0"/>
          <c:cat>
            <c:strRef>
              <c:f>'App Reviews by Day'!$D$2:$D$8</c:f>
              <c:strCache>
                <c:ptCount val="7"/>
                <c:pt idx="0">
                  <c:v>Wednesday</c:v>
                </c:pt>
                <c:pt idx="1">
                  <c:v>Friday</c:v>
                </c:pt>
                <c:pt idx="2">
                  <c:v>Monday</c:v>
                </c:pt>
                <c:pt idx="3">
                  <c:v>Sunday</c:v>
                </c:pt>
                <c:pt idx="4">
                  <c:v>Saturday</c:v>
                </c:pt>
                <c:pt idx="5">
                  <c:v>Thursday</c:v>
                </c:pt>
                <c:pt idx="6">
                  <c:v>Tuesday</c:v>
                </c:pt>
              </c:strCache>
            </c:strRef>
          </c:cat>
          <c:val>
            <c:numRef>
              <c:f>'App Reviews by Day'!$E$2:$E$8</c:f>
              <c:numCache>
                <c:formatCode>General</c:formatCode>
                <c:ptCount val="7"/>
                <c:pt idx="0">
                  <c:v>164</c:v>
                </c:pt>
                <c:pt idx="1">
                  <c:v>139</c:v>
                </c:pt>
                <c:pt idx="2">
                  <c:v>138</c:v>
                </c:pt>
                <c:pt idx="3">
                  <c:v>128</c:v>
                </c:pt>
                <c:pt idx="4">
                  <c:v>127</c:v>
                </c:pt>
                <c:pt idx="5">
                  <c:v>125</c:v>
                </c:pt>
                <c:pt idx="6">
                  <c:v>120</c:v>
                </c:pt>
              </c:numCache>
            </c:numRef>
          </c:val>
          <c:extLst>
            <c:ext xmlns:c16="http://schemas.microsoft.com/office/drawing/2014/chart" uri="{C3380CC4-5D6E-409C-BE32-E72D297353CC}">
              <c16:uniqueId val="{00000000-3A4C-4B1D-BCAE-3DF3935595B7}"/>
            </c:ext>
          </c:extLst>
        </c:ser>
        <c:dLbls>
          <c:showLegendKey val="0"/>
          <c:showVal val="0"/>
          <c:showCatName val="0"/>
          <c:showSerName val="0"/>
          <c:showPercent val="0"/>
          <c:showBubbleSize val="0"/>
        </c:dLbls>
        <c:gapWidth val="150"/>
        <c:axId val="218730816"/>
        <c:axId val="333453840"/>
      </c:barChart>
      <c:lineChart>
        <c:grouping val="standard"/>
        <c:varyColors val="0"/>
        <c:ser>
          <c:idx val="1"/>
          <c:order val="1"/>
          <c:tx>
            <c:v>% of Reviews</c:v>
          </c:tx>
          <c:spPr>
            <a:ln w="28575" cap="rnd">
              <a:solidFill>
                <a:schemeClr val="accent2"/>
              </a:solidFill>
              <a:round/>
            </a:ln>
            <a:effectLst/>
          </c:spPr>
          <c:marker>
            <c:symbol val="none"/>
          </c:marker>
          <c:cat>
            <c:strRef>
              <c:f>'App Reviews by Day'!$D$2:$D$8</c:f>
              <c:strCache>
                <c:ptCount val="7"/>
                <c:pt idx="0">
                  <c:v>Wednesday</c:v>
                </c:pt>
                <c:pt idx="1">
                  <c:v>Friday</c:v>
                </c:pt>
                <c:pt idx="2">
                  <c:v>Monday</c:v>
                </c:pt>
                <c:pt idx="3">
                  <c:v>Sunday</c:v>
                </c:pt>
                <c:pt idx="4">
                  <c:v>Saturday</c:v>
                </c:pt>
                <c:pt idx="5">
                  <c:v>Thursday</c:v>
                </c:pt>
                <c:pt idx="6">
                  <c:v>Tuesday</c:v>
                </c:pt>
              </c:strCache>
            </c:strRef>
          </c:cat>
          <c:val>
            <c:numRef>
              <c:f>'App Reviews by Day'!$F$2:$F$8</c:f>
              <c:numCache>
                <c:formatCode>0%</c:formatCode>
                <c:ptCount val="7"/>
                <c:pt idx="0">
                  <c:v>0.17428267800212541</c:v>
                </c:pt>
                <c:pt idx="1">
                  <c:v>0.14771519659936239</c:v>
                </c:pt>
                <c:pt idx="2">
                  <c:v>0.14665249734325186</c:v>
                </c:pt>
                <c:pt idx="3">
                  <c:v>0.13602550478214664</c:v>
                </c:pt>
                <c:pt idx="4">
                  <c:v>0.13496280552603612</c:v>
                </c:pt>
                <c:pt idx="5">
                  <c:v>0.13283740701381508</c:v>
                </c:pt>
                <c:pt idx="6">
                  <c:v>0.1275239107332625</c:v>
                </c:pt>
              </c:numCache>
            </c:numRef>
          </c:val>
          <c:smooth val="0"/>
          <c:extLst>
            <c:ext xmlns:c16="http://schemas.microsoft.com/office/drawing/2014/chart" uri="{C3380CC4-5D6E-409C-BE32-E72D297353CC}">
              <c16:uniqueId val="{00000001-3A4C-4B1D-BCAE-3DF3935595B7}"/>
            </c:ext>
          </c:extLst>
        </c:ser>
        <c:dLbls>
          <c:showLegendKey val="0"/>
          <c:showVal val="0"/>
          <c:showCatName val="0"/>
          <c:showSerName val="0"/>
          <c:showPercent val="0"/>
          <c:showBubbleSize val="0"/>
        </c:dLbls>
        <c:marker val="1"/>
        <c:smooth val="0"/>
        <c:axId val="218730416"/>
        <c:axId val="333450096"/>
      </c:lineChart>
      <c:catAx>
        <c:axId val="21873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3453840"/>
        <c:crosses val="autoZero"/>
        <c:auto val="1"/>
        <c:lblAlgn val="ctr"/>
        <c:lblOffset val="100"/>
        <c:noMultiLvlLbl val="0"/>
      </c:catAx>
      <c:valAx>
        <c:axId val="33345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8730816"/>
        <c:crosses val="autoZero"/>
        <c:crossBetween val="between"/>
      </c:valAx>
      <c:valAx>
        <c:axId val="33345009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8730416"/>
        <c:crosses val="max"/>
        <c:crossBetween val="between"/>
      </c:valAx>
      <c:catAx>
        <c:axId val="218730416"/>
        <c:scaling>
          <c:orientation val="minMax"/>
        </c:scaling>
        <c:delete val="1"/>
        <c:axPos val="b"/>
        <c:numFmt formatCode="General" sourceLinked="1"/>
        <c:majorTickMark val="none"/>
        <c:minorTickMark val="none"/>
        <c:tickLblPos val="nextTo"/>
        <c:crossAx val="333450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Review by Month</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Review Months</c:v>
          </c:tx>
          <c:spPr>
            <a:solidFill>
              <a:schemeClr val="accent1"/>
            </a:solidFill>
            <a:ln>
              <a:noFill/>
            </a:ln>
            <a:effectLst/>
          </c:spPr>
          <c:invertIfNegative val="0"/>
          <c:cat>
            <c:strRef>
              <c:f>'App Review by Month '!$D$3:$D$14</c:f>
              <c:strCache>
                <c:ptCount val="12"/>
                <c:pt idx="0">
                  <c:v>October</c:v>
                </c:pt>
                <c:pt idx="1">
                  <c:v>April</c:v>
                </c:pt>
                <c:pt idx="2">
                  <c:v>August</c:v>
                </c:pt>
                <c:pt idx="3">
                  <c:v>January</c:v>
                </c:pt>
                <c:pt idx="4">
                  <c:v>May</c:v>
                </c:pt>
                <c:pt idx="5">
                  <c:v>March</c:v>
                </c:pt>
                <c:pt idx="6">
                  <c:v>June</c:v>
                </c:pt>
                <c:pt idx="7">
                  <c:v>July</c:v>
                </c:pt>
                <c:pt idx="8">
                  <c:v>November</c:v>
                </c:pt>
                <c:pt idx="9">
                  <c:v>February</c:v>
                </c:pt>
                <c:pt idx="10">
                  <c:v>September</c:v>
                </c:pt>
                <c:pt idx="11">
                  <c:v>December</c:v>
                </c:pt>
              </c:strCache>
            </c:strRef>
          </c:cat>
          <c:val>
            <c:numRef>
              <c:f>'App Review by Month '!$E$3:$E$14</c:f>
              <c:numCache>
                <c:formatCode>General</c:formatCode>
                <c:ptCount val="12"/>
                <c:pt idx="0">
                  <c:v>88</c:v>
                </c:pt>
                <c:pt idx="1">
                  <c:v>85</c:v>
                </c:pt>
                <c:pt idx="2">
                  <c:v>84</c:v>
                </c:pt>
                <c:pt idx="3">
                  <c:v>82</c:v>
                </c:pt>
                <c:pt idx="4">
                  <c:v>81</c:v>
                </c:pt>
                <c:pt idx="5">
                  <c:v>79</c:v>
                </c:pt>
                <c:pt idx="6">
                  <c:v>79</c:v>
                </c:pt>
                <c:pt idx="7">
                  <c:v>78</c:v>
                </c:pt>
                <c:pt idx="8">
                  <c:v>75</c:v>
                </c:pt>
                <c:pt idx="9">
                  <c:v>71</c:v>
                </c:pt>
                <c:pt idx="10">
                  <c:v>70</c:v>
                </c:pt>
                <c:pt idx="11">
                  <c:v>69</c:v>
                </c:pt>
              </c:numCache>
            </c:numRef>
          </c:val>
          <c:extLst>
            <c:ext xmlns:c16="http://schemas.microsoft.com/office/drawing/2014/chart" uri="{C3380CC4-5D6E-409C-BE32-E72D297353CC}">
              <c16:uniqueId val="{00000000-EAD9-4EAC-A059-6BDB29E400EA}"/>
            </c:ext>
          </c:extLst>
        </c:ser>
        <c:dLbls>
          <c:showLegendKey val="0"/>
          <c:showVal val="0"/>
          <c:showCatName val="0"/>
          <c:showSerName val="0"/>
          <c:showPercent val="0"/>
          <c:showBubbleSize val="0"/>
        </c:dLbls>
        <c:gapWidth val="150"/>
        <c:axId val="328493936"/>
        <c:axId val="333438864"/>
      </c:barChart>
      <c:lineChart>
        <c:grouping val="standard"/>
        <c:varyColors val="0"/>
        <c:ser>
          <c:idx val="1"/>
          <c:order val="1"/>
          <c:tx>
            <c:v>% of Reviews</c:v>
          </c:tx>
          <c:spPr>
            <a:ln w="28575" cap="rnd">
              <a:solidFill>
                <a:schemeClr val="accent2"/>
              </a:solidFill>
              <a:round/>
            </a:ln>
            <a:effectLst/>
          </c:spPr>
          <c:marker>
            <c:symbol val="none"/>
          </c:marker>
          <c:cat>
            <c:strRef>
              <c:f>'App Review by Month '!$D$3:$D$14</c:f>
              <c:strCache>
                <c:ptCount val="12"/>
                <c:pt idx="0">
                  <c:v>October</c:v>
                </c:pt>
                <c:pt idx="1">
                  <c:v>April</c:v>
                </c:pt>
                <c:pt idx="2">
                  <c:v>August</c:v>
                </c:pt>
                <c:pt idx="3">
                  <c:v>January</c:v>
                </c:pt>
                <c:pt idx="4">
                  <c:v>May</c:v>
                </c:pt>
                <c:pt idx="5">
                  <c:v>March</c:v>
                </c:pt>
                <c:pt idx="6">
                  <c:v>June</c:v>
                </c:pt>
                <c:pt idx="7">
                  <c:v>July</c:v>
                </c:pt>
                <c:pt idx="8">
                  <c:v>November</c:v>
                </c:pt>
                <c:pt idx="9">
                  <c:v>February</c:v>
                </c:pt>
                <c:pt idx="10">
                  <c:v>September</c:v>
                </c:pt>
                <c:pt idx="11">
                  <c:v>December</c:v>
                </c:pt>
              </c:strCache>
            </c:strRef>
          </c:cat>
          <c:val>
            <c:numRef>
              <c:f>'App Review by Month '!$F$3:$F$14</c:f>
              <c:numCache>
                <c:formatCode>0%</c:formatCode>
                <c:ptCount val="12"/>
                <c:pt idx="0">
                  <c:v>9.3517534537725822E-2</c:v>
                </c:pt>
                <c:pt idx="1">
                  <c:v>9.0329436769394256E-2</c:v>
                </c:pt>
                <c:pt idx="2">
                  <c:v>8.9266737513283748E-2</c:v>
                </c:pt>
                <c:pt idx="3">
                  <c:v>8.7141339001062704E-2</c:v>
                </c:pt>
                <c:pt idx="4">
                  <c:v>8.6078639744952182E-2</c:v>
                </c:pt>
                <c:pt idx="5">
                  <c:v>8.3953241232731138E-2</c:v>
                </c:pt>
                <c:pt idx="6">
                  <c:v>8.3953241232731138E-2</c:v>
                </c:pt>
                <c:pt idx="7">
                  <c:v>8.2890541976620616E-2</c:v>
                </c:pt>
                <c:pt idx="8">
                  <c:v>7.970244420828905E-2</c:v>
                </c:pt>
                <c:pt idx="9">
                  <c:v>7.5451647183846976E-2</c:v>
                </c:pt>
                <c:pt idx="10">
                  <c:v>7.4388947927736454E-2</c:v>
                </c:pt>
                <c:pt idx="11">
                  <c:v>7.3326248671625932E-2</c:v>
                </c:pt>
              </c:numCache>
            </c:numRef>
          </c:val>
          <c:smooth val="0"/>
          <c:extLst>
            <c:ext xmlns:c16="http://schemas.microsoft.com/office/drawing/2014/chart" uri="{C3380CC4-5D6E-409C-BE32-E72D297353CC}">
              <c16:uniqueId val="{00000001-EAD9-4EAC-A059-6BDB29E400EA}"/>
            </c:ext>
          </c:extLst>
        </c:ser>
        <c:dLbls>
          <c:showLegendKey val="0"/>
          <c:showVal val="0"/>
          <c:showCatName val="0"/>
          <c:showSerName val="0"/>
          <c:showPercent val="0"/>
          <c:showBubbleSize val="0"/>
        </c:dLbls>
        <c:marker val="1"/>
        <c:smooth val="0"/>
        <c:axId val="218688416"/>
        <c:axId val="333420144"/>
      </c:lineChart>
      <c:catAx>
        <c:axId val="32849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3438864"/>
        <c:crosses val="autoZero"/>
        <c:auto val="1"/>
        <c:lblAlgn val="ctr"/>
        <c:lblOffset val="100"/>
        <c:noMultiLvlLbl val="0"/>
      </c:catAx>
      <c:valAx>
        <c:axId val="33343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28493936"/>
        <c:crosses val="autoZero"/>
        <c:crossBetween val="between"/>
      </c:valAx>
      <c:valAx>
        <c:axId val="33342014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8688416"/>
        <c:crosses val="max"/>
        <c:crossBetween val="between"/>
      </c:valAx>
      <c:catAx>
        <c:axId val="218688416"/>
        <c:scaling>
          <c:orientation val="minMax"/>
        </c:scaling>
        <c:delete val="1"/>
        <c:axPos val="b"/>
        <c:numFmt formatCode="General" sourceLinked="1"/>
        <c:majorTickMark val="none"/>
        <c:minorTickMark val="none"/>
        <c:tickLblPos val="nextTo"/>
        <c:crossAx val="333420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Reviews by Year</a:t>
            </a:r>
          </a:p>
        </c:rich>
      </c:tx>
      <c:layout>
        <c:manualLayout>
          <c:xMode val="edge"/>
          <c:yMode val="edge"/>
          <c:x val="0.31691360540257324"/>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5860658015210619"/>
          <c:y val="0.19256344955423968"/>
          <c:w val="0.43237620867227317"/>
          <c:h val="0.6055923541323924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4-732B-4194-9FC2-25399CF39F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732B-4194-9FC2-25399CF39F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732B-4194-9FC2-25399CF39FFB}"/>
              </c:ext>
            </c:extLst>
          </c:dPt>
          <c:dLbls>
            <c:dLbl>
              <c:idx val="0"/>
              <c:layout>
                <c:manualLayout>
                  <c:x val="-0.1371324365704287"/>
                  <c:y val="-4.6551472732575094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2B-4194-9FC2-25399CF39FFB}"/>
                </c:ext>
              </c:extLst>
            </c:dLbl>
            <c:dLbl>
              <c:idx val="1"/>
              <c:layout>
                <c:manualLayout>
                  <c:x val="0.10246358267716535"/>
                  <c:y val="-0.13148731408573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2B-4194-9FC2-25399CF39FFB}"/>
                </c:ext>
              </c:extLst>
            </c:dLbl>
            <c:dLbl>
              <c:idx val="2"/>
              <c:layout>
                <c:manualLayout>
                  <c:x val="0.10789599729024545"/>
                  <c:y val="0.15601911930197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2B-4194-9FC2-25399CF39FFB}"/>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'Reviews by Year'!$D$2:$D$4</c:f>
              <c:numCache>
                <c:formatCode>General</c:formatCode>
                <c:ptCount val="3"/>
                <c:pt idx="0">
                  <c:v>2024</c:v>
                </c:pt>
                <c:pt idx="1">
                  <c:v>2025</c:v>
                </c:pt>
                <c:pt idx="2">
                  <c:v>2023</c:v>
                </c:pt>
              </c:numCache>
            </c:numRef>
          </c:cat>
          <c:val>
            <c:numRef>
              <c:f>'Reviews by Year'!$F$2:$F$4</c:f>
              <c:numCache>
                <c:formatCode>0%</c:formatCode>
                <c:ptCount val="3"/>
                <c:pt idx="0">
                  <c:v>0.4962805526036132</c:v>
                </c:pt>
                <c:pt idx="1">
                  <c:v>0.29117959617428268</c:v>
                </c:pt>
                <c:pt idx="2">
                  <c:v>0.21253985122210414</c:v>
                </c:pt>
              </c:numCache>
            </c:numRef>
          </c:val>
          <c:extLst>
            <c:ext xmlns:c16="http://schemas.microsoft.com/office/drawing/2014/chart" uri="{C3380CC4-5D6E-409C-BE32-E72D297353CC}">
              <c16:uniqueId val="{00000000-732B-4194-9FC2-25399CF39FF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ysClr val="windowText" lastClr="000000"/>
                </a:solidFill>
              </a:rPr>
              <a:t>Rating by App Name</a:t>
            </a: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multiLvlStrRef>
              <c:f>(' Rating by App Name'!$N$3:$N$4,' Rating by App Name'!$O$3:$O$4,' Rating by App Name'!$P$3:$P$4,' Rating by App Name'!$Q$3:$Q$4)</c:f>
              <c:multiLvlStrCache>
                <c:ptCount val="4"/>
                <c:lvl>
                  <c:pt idx="0">
                    <c:v>Canva</c:v>
                  </c:pt>
                  <c:pt idx="1">
                    <c:v>OneDrive</c:v>
                  </c:pt>
                  <c:pt idx="2">
                    <c:v>Tinder</c:v>
                  </c:pt>
                  <c:pt idx="3">
                    <c:v>Tinder</c:v>
                  </c:pt>
                </c:lvl>
                <c:lvl>
                  <c:pt idx="0">
                    <c:v>Excellent</c:v>
                  </c:pt>
                  <c:pt idx="1">
                    <c:v>Very Good</c:v>
                  </c:pt>
                  <c:pt idx="2">
                    <c:v>Good</c:v>
                  </c:pt>
                  <c:pt idx="3">
                    <c:v>Poor</c:v>
                  </c:pt>
                </c:lvl>
              </c:multiLvlStrCache>
            </c:multiLvlStrRef>
          </c:cat>
          <c:val>
            <c:numRef>
              <c:f>(' Rating by App Name'!$N$5,' Rating by App Name'!$O$5,' Rating by App Name'!$P$5,' Rating by App Name'!$Q$5)</c:f>
              <c:numCache>
                <c:formatCode>General</c:formatCode>
                <c:ptCount val="4"/>
                <c:pt idx="0">
                  <c:v>25</c:v>
                </c:pt>
                <c:pt idx="1">
                  <c:v>31</c:v>
                </c:pt>
                <c:pt idx="2">
                  <c:v>39</c:v>
                </c:pt>
                <c:pt idx="3">
                  <c:v>39</c:v>
                </c:pt>
              </c:numCache>
            </c:numRef>
          </c:val>
          <c:extLst>
            <c:ext xmlns:c16="http://schemas.microsoft.com/office/drawing/2014/chart" uri="{C3380CC4-5D6E-409C-BE32-E72D297353CC}">
              <c16:uniqueId val="{00000000-0021-4107-888C-2575A83C48D3}"/>
            </c:ext>
          </c:extLst>
        </c:ser>
        <c:dLbls>
          <c:showLegendKey val="0"/>
          <c:showVal val="0"/>
          <c:showCatName val="0"/>
          <c:showSerName val="0"/>
          <c:showPercent val="0"/>
          <c:showBubbleSize val="0"/>
        </c:dLbls>
        <c:gapWidth val="182"/>
        <c:axId val="218724816"/>
        <c:axId val="333430544"/>
      </c:barChart>
      <c:catAx>
        <c:axId val="21872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333430544"/>
        <c:crosses val="autoZero"/>
        <c:auto val="1"/>
        <c:lblAlgn val="ctr"/>
        <c:lblOffset val="100"/>
        <c:noMultiLvlLbl val="0"/>
      </c:catAx>
      <c:valAx>
        <c:axId val="33343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872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a:t>
            </a:r>
            <a:r>
              <a:rPr lang="en-US" sz="1200" b="1" baseline="0"/>
              <a:t> 3 App Category</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0"/>
              <c:layout>
                <c:manualLayout>
                  <c:x val="-0.10379241516966067"/>
                  <c:y val="7.74818598900205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7E-4769-863E-E6B93BF8E118}"/>
                </c:ext>
              </c:extLst>
            </c:dLbl>
            <c:dLbl>
              <c:idx val="1"/>
              <c:layout>
                <c:manualLayout>
                  <c:x val="-7.9840319361277438E-3"/>
                  <c:y val="2.5827286630006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7E-4769-863E-E6B93BF8E118}"/>
                </c:ext>
              </c:extLst>
            </c:dLbl>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 Usage by Category'!$D$3:$D$4</c:f>
              <c:strCache>
                <c:ptCount val="2"/>
                <c:pt idx="0">
                  <c:v>Top 3</c:v>
                </c:pt>
                <c:pt idx="1">
                  <c:v>Others</c:v>
                </c:pt>
              </c:strCache>
            </c:strRef>
          </c:cat>
          <c:val>
            <c:numRef>
              <c:f>'App Usage by Category'!$F$3:$F$4</c:f>
              <c:numCache>
                <c:formatCode>0%</c:formatCode>
                <c:ptCount val="2"/>
                <c:pt idx="0">
                  <c:v>0.26992561105207225</c:v>
                </c:pt>
                <c:pt idx="1">
                  <c:v>0.73007438894792775</c:v>
                </c:pt>
              </c:numCache>
            </c:numRef>
          </c:val>
          <c:smooth val="0"/>
          <c:extLst>
            <c:ext xmlns:c16="http://schemas.microsoft.com/office/drawing/2014/chart" uri="{C3380CC4-5D6E-409C-BE32-E72D297353CC}">
              <c16:uniqueId val="{00000000-D07E-4769-863E-E6B93BF8E118}"/>
            </c:ext>
          </c:extLst>
        </c:ser>
        <c:dLbls>
          <c:showLegendKey val="0"/>
          <c:showVal val="0"/>
          <c:showCatName val="0"/>
          <c:showSerName val="0"/>
          <c:showPercent val="0"/>
          <c:showBubbleSize val="0"/>
        </c:dLbls>
        <c:smooth val="0"/>
        <c:axId val="1656059920"/>
        <c:axId val="1586831184"/>
      </c:lineChart>
      <c:catAx>
        <c:axId val="165605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6831184"/>
        <c:crosses val="autoZero"/>
        <c:auto val="1"/>
        <c:lblAlgn val="ctr"/>
        <c:lblOffset val="100"/>
        <c:noMultiLvlLbl val="0"/>
      </c:catAx>
      <c:valAx>
        <c:axId val="1586831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5605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C1-4E76-832B-C03B7AD7B6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C1-4E76-832B-C03B7AD7B6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C1-4E76-832B-C03B7AD7B6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C1-4E76-832B-C03B7AD7B6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C1-4E76-832B-C03B7AD7B6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 Usage by Category'!$I$3:$I$7</c:f>
              <c:strCache>
                <c:ptCount val="5"/>
                <c:pt idx="0">
                  <c:v>Business</c:v>
                </c:pt>
                <c:pt idx="1">
                  <c:v>Entertainment</c:v>
                </c:pt>
                <c:pt idx="2">
                  <c:v>Travel &amp; Local</c:v>
                </c:pt>
                <c:pt idx="3">
                  <c:v>Navigation</c:v>
                </c:pt>
                <c:pt idx="4">
                  <c:v>Others</c:v>
                </c:pt>
              </c:strCache>
            </c:strRef>
          </c:cat>
          <c:val>
            <c:numRef>
              <c:f>'App Usage by Category'!$K$3:$K$7</c:f>
              <c:numCache>
                <c:formatCode>0%</c:formatCode>
                <c:ptCount val="5"/>
                <c:pt idx="0" formatCode="0.00%">
                  <c:v>7.1200850159404888E-2</c:v>
                </c:pt>
                <c:pt idx="1">
                  <c:v>7.1200850159404888E-2</c:v>
                </c:pt>
                <c:pt idx="2" formatCode="0.00%">
                  <c:v>6.3761955366631248E-2</c:v>
                </c:pt>
                <c:pt idx="3" formatCode="0.00%">
                  <c:v>6.3761955366631248E-2</c:v>
                </c:pt>
                <c:pt idx="4" formatCode="0.00%">
                  <c:v>0.73007438894792775</c:v>
                </c:pt>
              </c:numCache>
            </c:numRef>
          </c:val>
          <c:extLst>
            <c:ext xmlns:c16="http://schemas.microsoft.com/office/drawing/2014/chart" uri="{C3380CC4-5D6E-409C-BE32-E72D297353CC}">
              <c16:uniqueId val="{00000000-005F-4E42-94C5-04D7268CF17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2.2402460428642738E-2"/>
          <c:y val="0.81555036295469963"/>
          <c:w val="0.96337503824291904"/>
          <c:h val="0.155516539328129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Most</a:t>
            </a:r>
            <a:r>
              <a:rPr lang="en-US" sz="1200" b="1" baseline="0">
                <a:solidFill>
                  <a:sysClr val="windowText" lastClr="000000"/>
                </a:solidFill>
              </a:rPr>
              <a:t> Used App by Gender</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9E-4337-A9D6-1C6859FD84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9E-4337-A9D6-1C6859FD843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Male - Tinder</c:v>
              </c:pt>
              <c:pt idx="1">
                <c:v> Female - Tinder and Twitter</c:v>
              </c:pt>
            </c:strLit>
          </c:cat>
          <c:val>
            <c:numRef>
              <c:f>('App Usage by Gender'!$H$6,'App Usage by Gender'!$I$6)</c:f>
              <c:numCache>
                <c:formatCode>0%</c:formatCode>
                <c:ptCount val="2"/>
                <c:pt idx="0">
                  <c:v>2.2316684378320937E-2</c:v>
                </c:pt>
                <c:pt idx="1">
                  <c:v>3.8257173219978749E-2</c:v>
                </c:pt>
              </c:numCache>
            </c:numRef>
          </c:val>
          <c:extLst>
            <c:ext xmlns:c16="http://schemas.microsoft.com/office/drawing/2014/chart" uri="{C3380CC4-5D6E-409C-BE32-E72D297353CC}">
              <c16:uniqueId val="{00000000-6818-4D9F-BB34-4CBA77ACD2F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2F-4FCD-AFF5-A41D770B47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2F-4FCD-AFF5-A41D770B4711}"/>
              </c:ext>
            </c:extLst>
          </c:dPt>
          <c:val>
            <c:numRef>
              <c:f>'App Usage by Gender'!$N$8:$N$9</c:f>
              <c:numCache>
                <c:formatCode>0.0%</c:formatCode>
                <c:ptCount val="2"/>
                <c:pt idx="0">
                  <c:v>0.49840595111583424</c:v>
                </c:pt>
                <c:pt idx="1">
                  <c:v>0.50159404888416581</c:v>
                </c:pt>
              </c:numCache>
            </c:numRef>
          </c:val>
          <c:extLst>
            <c:ext xmlns:c16="http://schemas.microsoft.com/office/drawing/2014/chart" uri="{C3380CC4-5D6E-409C-BE32-E72D297353CC}">
              <c16:uniqueId val="{00000000-289D-4A0B-89C1-B9D8E87CFB3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5">
                <a:lumMod val="20000"/>
                <a:lumOff val="80000"/>
              </a:schemeClr>
            </a:solidFill>
            <a:ln>
              <a:noFill/>
            </a:ln>
            <a:effectLst/>
          </c:spPr>
          <c:invertIfNegative val="0"/>
          <c:cat>
            <c:strRef>
              <c:f>'App usage by Count'!$D$4:$D$17</c:f>
              <c:strCache>
                <c:ptCount val="14"/>
                <c:pt idx="0">
                  <c:v>Tinder</c:v>
                </c:pt>
                <c:pt idx="1">
                  <c:v>OneDrive</c:v>
                </c:pt>
                <c:pt idx="2">
                  <c:v>Instagram</c:v>
                </c:pt>
                <c:pt idx="3">
                  <c:v>Pinterest</c:v>
                </c:pt>
                <c:pt idx="4">
                  <c:v>Twitter</c:v>
                </c:pt>
                <c:pt idx="5">
                  <c:v>Microsoft Office</c:v>
                </c:pt>
                <c:pt idx="6">
                  <c:v>MX Player</c:v>
                </c:pt>
                <c:pt idx="7">
                  <c:v>eBay</c:v>
                </c:pt>
                <c:pt idx="8">
                  <c:v>Coursera</c:v>
                </c:pt>
                <c:pt idx="9">
                  <c:v>Telegram</c:v>
                </c:pt>
                <c:pt idx="10">
                  <c:v>Reddit</c:v>
                </c:pt>
                <c:pt idx="11">
                  <c:v>YouTube</c:v>
                </c:pt>
                <c:pt idx="12">
                  <c:v>Google Drive</c:v>
                </c:pt>
                <c:pt idx="13">
                  <c:v>Adobe Photoshop</c:v>
                </c:pt>
              </c:strCache>
            </c:strRef>
          </c:cat>
          <c:val>
            <c:numRef>
              <c:f>'App usage by Count'!$E$4:$E$17</c:f>
              <c:numCache>
                <c:formatCode>General</c:formatCode>
                <c:ptCount val="14"/>
                <c:pt idx="0">
                  <c:v>39</c:v>
                </c:pt>
                <c:pt idx="1">
                  <c:v>31</c:v>
                </c:pt>
                <c:pt idx="2">
                  <c:v>31</c:v>
                </c:pt>
                <c:pt idx="3">
                  <c:v>29</c:v>
                </c:pt>
                <c:pt idx="4">
                  <c:v>29</c:v>
                </c:pt>
                <c:pt idx="5">
                  <c:v>29</c:v>
                </c:pt>
                <c:pt idx="6">
                  <c:v>28</c:v>
                </c:pt>
                <c:pt idx="7">
                  <c:v>27</c:v>
                </c:pt>
                <c:pt idx="8">
                  <c:v>27</c:v>
                </c:pt>
                <c:pt idx="9">
                  <c:v>26</c:v>
                </c:pt>
                <c:pt idx="10">
                  <c:v>26</c:v>
                </c:pt>
                <c:pt idx="11">
                  <c:v>26</c:v>
                </c:pt>
                <c:pt idx="12">
                  <c:v>26</c:v>
                </c:pt>
                <c:pt idx="13">
                  <c:v>26</c:v>
                </c:pt>
              </c:numCache>
            </c:numRef>
          </c:val>
          <c:extLst>
            <c:ext xmlns:c16="http://schemas.microsoft.com/office/drawing/2014/chart" uri="{C3380CC4-5D6E-409C-BE32-E72D297353CC}">
              <c16:uniqueId val="{00000000-5273-49BB-A51F-014661AEA62B}"/>
            </c:ext>
          </c:extLst>
        </c:ser>
        <c:dLbls>
          <c:showLegendKey val="0"/>
          <c:showVal val="0"/>
          <c:showCatName val="0"/>
          <c:showSerName val="0"/>
          <c:showPercent val="0"/>
          <c:showBubbleSize val="0"/>
        </c:dLbls>
        <c:gapWidth val="219"/>
        <c:overlap val="-27"/>
        <c:axId val="286153280"/>
        <c:axId val="219376032"/>
      </c:barChart>
      <c:catAx>
        <c:axId val="28615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9376032"/>
        <c:crosses val="autoZero"/>
        <c:auto val="1"/>
        <c:lblAlgn val="ctr"/>
        <c:lblOffset val="100"/>
        <c:noMultiLvlLbl val="0"/>
      </c:catAx>
      <c:valAx>
        <c:axId val="2193760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8615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lumMod val="20000"/>
                <a:lumOff val="80000"/>
              </a:schemeClr>
            </a:solidFill>
            <a:ln>
              <a:noFill/>
            </a:ln>
            <a:effectLst/>
          </c:spPr>
          <c:invertIfNegative val="0"/>
          <c:cat>
            <c:multiLvlStrRef>
              <c:f>(' Rating by App Name'!$N$3:$N$4,' Rating by App Name'!$O$3:$O$4,' Rating by App Name'!$P$3:$P$4,' Rating by App Name'!$Q$3:$Q$4)</c:f>
              <c:multiLvlStrCache>
                <c:ptCount val="4"/>
                <c:lvl>
                  <c:pt idx="0">
                    <c:v>Canva</c:v>
                  </c:pt>
                  <c:pt idx="1">
                    <c:v>OneDrive</c:v>
                  </c:pt>
                  <c:pt idx="2">
                    <c:v>Tinder</c:v>
                  </c:pt>
                  <c:pt idx="3">
                    <c:v>Tinder</c:v>
                  </c:pt>
                </c:lvl>
                <c:lvl>
                  <c:pt idx="0">
                    <c:v>Excellent</c:v>
                  </c:pt>
                  <c:pt idx="1">
                    <c:v>Very Good</c:v>
                  </c:pt>
                  <c:pt idx="2">
                    <c:v>Good</c:v>
                  </c:pt>
                  <c:pt idx="3">
                    <c:v>Poor</c:v>
                  </c:pt>
                </c:lvl>
              </c:multiLvlStrCache>
            </c:multiLvlStrRef>
          </c:cat>
          <c:val>
            <c:numRef>
              <c:f>(' Rating by App Name'!$N$5,' Rating by App Name'!$O$5,' Rating by App Name'!$P$5,' Rating by App Name'!$Q$5)</c:f>
              <c:numCache>
                <c:formatCode>General</c:formatCode>
                <c:ptCount val="4"/>
                <c:pt idx="0">
                  <c:v>25</c:v>
                </c:pt>
                <c:pt idx="1">
                  <c:v>31</c:v>
                </c:pt>
                <c:pt idx="2">
                  <c:v>39</c:v>
                </c:pt>
                <c:pt idx="3">
                  <c:v>39</c:v>
                </c:pt>
              </c:numCache>
            </c:numRef>
          </c:val>
          <c:extLst>
            <c:ext xmlns:c16="http://schemas.microsoft.com/office/drawing/2014/chart" uri="{C3380CC4-5D6E-409C-BE32-E72D297353CC}">
              <c16:uniqueId val="{00000000-3316-4497-B1E1-84CB7CC4F595}"/>
            </c:ext>
          </c:extLst>
        </c:ser>
        <c:dLbls>
          <c:showLegendKey val="0"/>
          <c:showVal val="0"/>
          <c:showCatName val="0"/>
          <c:showSerName val="0"/>
          <c:showPercent val="0"/>
          <c:showBubbleSize val="0"/>
        </c:dLbls>
        <c:gapWidth val="182"/>
        <c:axId val="218724816"/>
        <c:axId val="333430544"/>
      </c:barChart>
      <c:catAx>
        <c:axId val="2187248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3430544"/>
        <c:crosses val="autoZero"/>
        <c:auto val="1"/>
        <c:lblAlgn val="ctr"/>
        <c:lblOffset val="100"/>
        <c:noMultiLvlLbl val="0"/>
      </c:catAx>
      <c:valAx>
        <c:axId val="333430544"/>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21872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687515124439233"/>
          <c:y val="7.9372639395685285E-2"/>
          <c:w val="0.42421264479749221"/>
          <c:h val="0.75690833739865115"/>
        </c:manualLayout>
      </c:layout>
      <c:pieChart>
        <c:varyColors val="1"/>
        <c:ser>
          <c:idx val="0"/>
          <c:order val="0"/>
          <c:spPr>
            <a:ln>
              <a:noFill/>
            </a:ln>
          </c:spPr>
          <c:dPt>
            <c:idx val="0"/>
            <c:bubble3D val="0"/>
            <c:spPr>
              <a:solidFill>
                <a:srgbClr val="27BFCF"/>
              </a:solidFill>
              <a:ln w="19050">
                <a:noFill/>
              </a:ln>
              <a:effectLst/>
            </c:spPr>
            <c:extLst>
              <c:ext xmlns:c16="http://schemas.microsoft.com/office/drawing/2014/chart" uri="{C3380CC4-5D6E-409C-BE32-E72D297353CC}">
                <c16:uniqueId val="{00000001-3B07-42A9-A63E-7883072BCCF9}"/>
              </c:ext>
            </c:extLst>
          </c:dPt>
          <c:dPt>
            <c:idx val="1"/>
            <c:bubble3D val="0"/>
            <c:spPr>
              <a:solidFill>
                <a:schemeClr val="bg1"/>
              </a:solidFill>
              <a:ln w="19050">
                <a:noFill/>
              </a:ln>
              <a:effectLst/>
            </c:spPr>
            <c:extLst>
              <c:ext xmlns:c16="http://schemas.microsoft.com/office/drawing/2014/chart" uri="{C3380CC4-5D6E-409C-BE32-E72D297353CC}">
                <c16:uniqueId val="{00000003-3B07-42A9-A63E-7883072BCCF9}"/>
              </c:ext>
            </c:extLst>
          </c:dPt>
          <c:dPt>
            <c:idx val="2"/>
            <c:bubble3D val="0"/>
            <c:spPr>
              <a:solidFill>
                <a:schemeClr val="accent3"/>
              </a:solidFill>
              <a:ln w="19050">
                <a:noFill/>
              </a:ln>
              <a:effectLst/>
            </c:spPr>
            <c:extLst>
              <c:ext xmlns:c16="http://schemas.microsoft.com/office/drawing/2014/chart" uri="{C3380CC4-5D6E-409C-BE32-E72D297353CC}">
                <c16:uniqueId val="{00000005-3B07-42A9-A63E-7883072BCCF9}"/>
              </c:ext>
            </c:extLst>
          </c:dPt>
          <c:dLbls>
            <c:dLbl>
              <c:idx val="0"/>
              <c:layout>
                <c:manualLayout>
                  <c:x val="-0.16540107398235998"/>
                  <c:y val="-4.653327128897932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07-42A9-A63E-7883072BCCF9}"/>
                </c:ext>
              </c:extLst>
            </c:dLbl>
            <c:dLbl>
              <c:idx val="1"/>
              <c:layout>
                <c:manualLayout>
                  <c:x val="0.13073203305417203"/>
                  <c:y val="-0.1903323322833009"/>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07-42A9-A63E-7883072BCCF9}"/>
                </c:ext>
              </c:extLst>
            </c:dLbl>
            <c:dLbl>
              <c:idx val="2"/>
              <c:layout>
                <c:manualLayout>
                  <c:x val="0.11260751416673623"/>
                  <c:y val="0.18123815569383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07-42A9-A63E-7883072BCCF9}"/>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'Reviews by Year'!$D$2:$D$4</c:f>
              <c:numCache>
                <c:formatCode>General</c:formatCode>
                <c:ptCount val="3"/>
                <c:pt idx="0">
                  <c:v>2024</c:v>
                </c:pt>
                <c:pt idx="1">
                  <c:v>2025</c:v>
                </c:pt>
                <c:pt idx="2">
                  <c:v>2023</c:v>
                </c:pt>
              </c:numCache>
            </c:numRef>
          </c:cat>
          <c:val>
            <c:numRef>
              <c:f>'Reviews by Year'!$F$2:$F$4</c:f>
              <c:numCache>
                <c:formatCode>0%</c:formatCode>
                <c:ptCount val="3"/>
                <c:pt idx="0">
                  <c:v>0.4962805526036132</c:v>
                </c:pt>
                <c:pt idx="1">
                  <c:v>0.29117959617428268</c:v>
                </c:pt>
                <c:pt idx="2">
                  <c:v>0.21253985122210414</c:v>
                </c:pt>
              </c:numCache>
            </c:numRef>
          </c:val>
          <c:extLst>
            <c:ext xmlns:c16="http://schemas.microsoft.com/office/drawing/2014/chart" uri="{C3380CC4-5D6E-409C-BE32-E72D297353CC}">
              <c16:uniqueId val="{00000006-3B07-42A9-A63E-7883072BCCF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1724084842751545"/>
          <c:y val="0.86967543691184945"/>
          <c:w val="0.55138365654823185"/>
          <c:h val="0.130324563088150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666666666666666"/>
          <c:y val="0.1111111111111111"/>
          <c:w val="0.73015873015873012"/>
          <c:h val="0.85185185185185186"/>
        </c:manualLayout>
      </c:layout>
      <c:doughnutChart>
        <c:varyColors val="1"/>
        <c:ser>
          <c:idx val="0"/>
          <c:order val="0"/>
          <c:spPr>
            <a:ln>
              <a:noFill/>
            </a:ln>
          </c:spPr>
          <c:dPt>
            <c:idx val="0"/>
            <c:bubble3D val="0"/>
            <c:spPr>
              <a:solidFill>
                <a:srgbClr val="60D6E2"/>
              </a:solidFill>
              <a:ln w="19050">
                <a:noFill/>
              </a:ln>
              <a:effectLst/>
            </c:spPr>
            <c:extLst>
              <c:ext xmlns:c16="http://schemas.microsoft.com/office/drawing/2014/chart" uri="{C3380CC4-5D6E-409C-BE32-E72D297353CC}">
                <c16:uniqueId val="{00000001-C3FB-4EEA-9A4F-8DD84A3D3A3B}"/>
              </c:ext>
            </c:extLst>
          </c:dPt>
          <c:dPt>
            <c:idx val="1"/>
            <c:bubble3D val="0"/>
            <c:spPr>
              <a:solidFill>
                <a:schemeClr val="accent2"/>
              </a:solidFill>
              <a:ln w="19050">
                <a:noFill/>
              </a:ln>
              <a:effectLst/>
            </c:spPr>
            <c:extLst>
              <c:ext xmlns:c16="http://schemas.microsoft.com/office/drawing/2014/chart" uri="{C3380CC4-5D6E-409C-BE32-E72D297353CC}">
                <c16:uniqueId val="{00000003-C3FB-4EEA-9A4F-8DD84A3D3A3B}"/>
              </c:ext>
            </c:extLst>
          </c:dPt>
          <c:val>
            <c:numRef>
              <c:f>'App Usage by Gender'!$N$8:$N$9</c:f>
              <c:numCache>
                <c:formatCode>0.0%</c:formatCode>
                <c:ptCount val="2"/>
                <c:pt idx="0">
                  <c:v>0.49840595111583424</c:v>
                </c:pt>
                <c:pt idx="1">
                  <c:v>0.50159404888416581</c:v>
                </c:pt>
              </c:numCache>
            </c:numRef>
          </c:val>
          <c:extLst>
            <c:ext xmlns:c16="http://schemas.microsoft.com/office/drawing/2014/chart" uri="{C3380CC4-5D6E-409C-BE32-E72D297353CC}">
              <c16:uniqueId val="{00000004-C3FB-4EEA-9A4F-8DD84A3D3A3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3968253968253"/>
          <c:y val="0.12962962962962962"/>
          <c:w val="0.7142857142857143"/>
          <c:h val="0.83333333333333337"/>
        </c:manualLayout>
      </c:layout>
      <c:doughnutChart>
        <c:varyColors val="1"/>
        <c:ser>
          <c:idx val="0"/>
          <c:order val="0"/>
          <c:dPt>
            <c:idx val="0"/>
            <c:bubble3D val="0"/>
            <c:spPr>
              <a:solidFill>
                <a:srgbClr val="60D6E2"/>
              </a:solidFill>
              <a:ln w="19050">
                <a:noFill/>
              </a:ln>
              <a:effectLst/>
            </c:spPr>
            <c:extLst>
              <c:ext xmlns:c16="http://schemas.microsoft.com/office/drawing/2014/chart" uri="{C3380CC4-5D6E-409C-BE32-E72D297353CC}">
                <c16:uniqueId val="{00000001-C3FB-4EEA-9A4F-8DD84A3D3A3B}"/>
              </c:ext>
            </c:extLst>
          </c:dPt>
          <c:dPt>
            <c:idx val="1"/>
            <c:bubble3D val="0"/>
            <c:spPr>
              <a:solidFill>
                <a:schemeClr val="accent2"/>
              </a:solidFill>
              <a:ln w="19050">
                <a:noFill/>
              </a:ln>
              <a:effectLst/>
            </c:spPr>
            <c:extLst>
              <c:ext xmlns:c16="http://schemas.microsoft.com/office/drawing/2014/chart" uri="{C3380CC4-5D6E-409C-BE32-E72D297353CC}">
                <c16:uniqueId val="{00000003-C3FB-4EEA-9A4F-8DD84A3D3A3B}"/>
              </c:ext>
            </c:extLst>
          </c:dPt>
          <c:val>
            <c:numRef>
              <c:f>'App Usage by Gender'!$N$8:$N$9</c:f>
              <c:numCache>
                <c:formatCode>0.0%</c:formatCode>
                <c:ptCount val="2"/>
                <c:pt idx="0">
                  <c:v>0.49840595111583424</c:v>
                </c:pt>
                <c:pt idx="1">
                  <c:v>0.50159404888416581</c:v>
                </c:pt>
              </c:numCache>
            </c:numRef>
          </c:val>
          <c:extLst>
            <c:ext xmlns:c16="http://schemas.microsoft.com/office/drawing/2014/chart" uri="{C3380CC4-5D6E-409C-BE32-E72D297353CC}">
              <c16:uniqueId val="{00000004-C3FB-4EEA-9A4F-8DD84A3D3A3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066152254121525E-2"/>
          <c:y val="0.15804684791759518"/>
          <c:w val="0.44472730785952369"/>
          <c:h val="0.81679615067265632"/>
        </c:manualLayout>
      </c:layout>
      <c:pieChart>
        <c:varyColors val="1"/>
        <c:ser>
          <c:idx val="0"/>
          <c:order val="0"/>
          <c:spPr>
            <a:ln>
              <a:noFill/>
            </a:ln>
          </c:spPr>
          <c:dPt>
            <c:idx val="0"/>
            <c:bubble3D val="0"/>
            <c:spPr>
              <a:gradFill flip="none" rotWithShape="1">
                <a:gsLst>
                  <a:gs pos="0">
                    <a:schemeClr val="accent1">
                      <a:lumMod val="20000"/>
                      <a:lumOff val="80000"/>
                    </a:schemeClr>
                  </a:gs>
                  <a:gs pos="100000">
                    <a:schemeClr val="accent2">
                      <a:lumMod val="75000"/>
                    </a:schemeClr>
                  </a:gs>
                </a:gsLst>
                <a:lin ang="8100000" scaled="1"/>
                <a:tileRect/>
              </a:gradFill>
              <a:ln w="19050">
                <a:noFill/>
              </a:ln>
              <a:effectLst/>
            </c:spPr>
            <c:extLst>
              <c:ext xmlns:c16="http://schemas.microsoft.com/office/drawing/2014/chart" uri="{C3380CC4-5D6E-409C-BE32-E72D297353CC}">
                <c16:uniqueId val="{00000001-842F-42EE-AFEE-D4A04D63F7E9}"/>
              </c:ext>
            </c:extLst>
          </c:dPt>
          <c:dPt>
            <c:idx val="1"/>
            <c:bubble3D val="0"/>
            <c:spPr>
              <a:gradFill flip="none" rotWithShape="1">
                <a:gsLst>
                  <a:gs pos="0">
                    <a:srgbClr val="4472C4"/>
                  </a:gs>
                  <a:gs pos="89000">
                    <a:schemeClr val="bg2"/>
                  </a:gs>
                </a:gsLst>
                <a:lin ang="8100000" scaled="1"/>
                <a:tileRect/>
              </a:gradFill>
              <a:ln w="19050">
                <a:noFill/>
              </a:ln>
              <a:effectLst/>
            </c:spPr>
            <c:extLst>
              <c:ext xmlns:c16="http://schemas.microsoft.com/office/drawing/2014/chart" uri="{C3380CC4-5D6E-409C-BE32-E72D297353CC}">
                <c16:uniqueId val="{00000003-842F-42EE-AFEE-D4A04D63F7E9}"/>
              </c:ext>
            </c:extLst>
          </c:dPt>
          <c:dPt>
            <c:idx val="2"/>
            <c:bubble3D val="0"/>
            <c:spPr>
              <a:gradFill flip="none" rotWithShape="1">
                <a:gsLst>
                  <a:gs pos="20000">
                    <a:srgbClr val="FFFF00"/>
                  </a:gs>
                  <a:gs pos="80000">
                    <a:srgbClr val="92D050"/>
                  </a:gs>
                </a:gsLst>
                <a:lin ang="5400000" scaled="1"/>
                <a:tileRect/>
              </a:gradFill>
              <a:ln w="19050">
                <a:noFill/>
              </a:ln>
              <a:effectLst/>
            </c:spPr>
            <c:extLst>
              <c:ext xmlns:c16="http://schemas.microsoft.com/office/drawing/2014/chart" uri="{C3380CC4-5D6E-409C-BE32-E72D297353CC}">
                <c16:uniqueId val="{00000005-842F-42EE-AFEE-D4A04D63F7E9}"/>
              </c:ext>
            </c:extLst>
          </c:dPt>
          <c:dPt>
            <c:idx val="3"/>
            <c:bubble3D val="0"/>
            <c:spPr>
              <a:gradFill flip="none" rotWithShape="1">
                <a:gsLst>
                  <a:gs pos="0">
                    <a:srgbClr val="FF0000"/>
                  </a:gs>
                  <a:gs pos="100000">
                    <a:srgbClr val="5D56E4"/>
                  </a:gs>
                </a:gsLst>
                <a:lin ang="0" scaled="1"/>
                <a:tileRect/>
              </a:gradFill>
              <a:ln w="19050">
                <a:noFill/>
              </a:ln>
              <a:effectLst/>
            </c:spPr>
            <c:extLst>
              <c:ext xmlns:c16="http://schemas.microsoft.com/office/drawing/2014/chart" uri="{C3380CC4-5D6E-409C-BE32-E72D297353CC}">
                <c16:uniqueId val="{00000007-842F-42EE-AFEE-D4A04D63F7E9}"/>
              </c:ext>
            </c:extLst>
          </c:dPt>
          <c:dPt>
            <c:idx val="4"/>
            <c:bubble3D val="0"/>
            <c:spPr>
              <a:solidFill>
                <a:srgbClr val="27BFCF"/>
              </a:solidFill>
              <a:ln w="19050">
                <a:noFill/>
              </a:ln>
              <a:effectLst/>
            </c:spPr>
            <c:extLst>
              <c:ext xmlns:c16="http://schemas.microsoft.com/office/drawing/2014/chart" uri="{C3380CC4-5D6E-409C-BE32-E72D297353CC}">
                <c16:uniqueId val="{00000009-842F-42EE-AFEE-D4A04D63F7E9}"/>
              </c:ext>
            </c:extLst>
          </c:dPt>
          <c:dLbls>
            <c:dLbl>
              <c:idx val="0"/>
              <c:layout>
                <c:manualLayout>
                  <c:x val="0.12864673384358416"/>
                  <c:y val="1.61967327480960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2F-42EE-AFEE-D4A04D63F7E9}"/>
                </c:ext>
              </c:extLst>
            </c:dLbl>
            <c:dLbl>
              <c:idx val="1"/>
              <c:layout>
                <c:manualLayout>
                  <c:x val="0.10456845313690627"/>
                  <c:y val="0.10769717599671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2F-42EE-AFEE-D4A04D63F7E9}"/>
                </c:ext>
              </c:extLst>
            </c:dLbl>
            <c:dLbl>
              <c:idx val="2"/>
              <c:layout>
                <c:manualLayout>
                  <c:x val="3.7835407670815419E-2"/>
                  <c:y val="0.13494057142519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2F-42EE-AFEE-D4A04D63F7E9}"/>
                </c:ext>
              </c:extLst>
            </c:dLbl>
            <c:dLbl>
              <c:idx val="3"/>
              <c:layout>
                <c:manualLayout>
                  <c:x val="2.54501735670138E-2"/>
                  <c:y val="0.156221886395159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2F-42EE-AFEE-D4A04D63F7E9}"/>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 Usage by Category'!$I$3:$I$7</c:f>
              <c:strCache>
                <c:ptCount val="5"/>
                <c:pt idx="0">
                  <c:v>Business</c:v>
                </c:pt>
                <c:pt idx="1">
                  <c:v>Entertainment</c:v>
                </c:pt>
                <c:pt idx="2">
                  <c:v>Travel &amp; Local</c:v>
                </c:pt>
                <c:pt idx="3">
                  <c:v>Navigation</c:v>
                </c:pt>
                <c:pt idx="4">
                  <c:v>Others</c:v>
                </c:pt>
              </c:strCache>
            </c:strRef>
          </c:cat>
          <c:val>
            <c:numRef>
              <c:f>'App Usage by Category'!$K$3:$K$7</c:f>
              <c:numCache>
                <c:formatCode>0%</c:formatCode>
                <c:ptCount val="5"/>
                <c:pt idx="0" formatCode="0.00%">
                  <c:v>7.1200850159404888E-2</c:v>
                </c:pt>
                <c:pt idx="1">
                  <c:v>7.1200850159404888E-2</c:v>
                </c:pt>
                <c:pt idx="2" formatCode="0.00%">
                  <c:v>6.3761955366631248E-2</c:v>
                </c:pt>
                <c:pt idx="3" formatCode="0.00%">
                  <c:v>6.3761955366631248E-2</c:v>
                </c:pt>
                <c:pt idx="4" formatCode="0.00%">
                  <c:v>0.73007438894792775</c:v>
                </c:pt>
              </c:numCache>
            </c:numRef>
          </c:val>
          <c:extLst>
            <c:ext xmlns:c16="http://schemas.microsoft.com/office/drawing/2014/chart" uri="{C3380CC4-5D6E-409C-BE32-E72D297353CC}">
              <c16:uniqueId val="{0000000A-842F-42EE-AFEE-D4A04D63F7E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827465634592299"/>
          <c:y val="0.14622360884134766"/>
          <c:w val="0.32172534365407712"/>
          <c:h val="0.707552122022483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chartData>
  <cx:chart>
    <cx:title pos="t" align="ctr" overlay="0">
      <cx:tx>
        <cx:txData>
          <cx:v>Most Used App by Age Class</cx:v>
        </cx:txData>
      </cx:tx>
      <cx:txPr>
        <a:bodyPr spcFirstLastPara="1" vertOverflow="ellipsis" horzOverflow="overflow" wrap="square" lIns="0" tIns="0" rIns="0" bIns="0" anchor="ctr" anchorCtr="1"/>
        <a:lstStyle/>
        <a:p>
          <a:pPr algn="ctr" rtl="0">
            <a:defRPr sz="1200" b="1"/>
          </a:pPr>
          <a:r>
            <a:rPr lang="en-US" sz="1200" b="1" i="0" u="none" strike="noStrike" baseline="0">
              <a:solidFill>
                <a:sysClr val="windowText" lastClr="000000">
                  <a:lumMod val="65000"/>
                  <a:lumOff val="35000"/>
                </a:sysClr>
              </a:solidFill>
              <a:latin typeface="Calibri" panose="020F0502020204030204"/>
            </a:rPr>
            <a:t>Most Used App by Age Class</a:t>
          </a:r>
        </a:p>
      </cx:txPr>
    </cx:title>
    <cx:plotArea>
      <cx:plotAreaRegion>
        <cx:series layoutId="treemap" uniqueId="{5B4ACCDC-7B34-4C48-B7E4-578F1A4F3BA7}">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App Usage by Top 3 Countries</cx:v>
        </cx:txData>
      </cx:tx>
      <cx:txPr>
        <a:bodyPr spcFirstLastPara="1" vertOverflow="ellipsis" horzOverflow="overflow" wrap="square" lIns="0" tIns="0" rIns="0" bIns="0" anchor="ctr" anchorCtr="1"/>
        <a:lstStyle/>
        <a:p>
          <a:pPr algn="ctr" rtl="0">
            <a:defRPr sz="1200" b="1">
              <a:solidFill>
                <a:sysClr val="windowText" lastClr="000000"/>
              </a:solidFill>
            </a:defRPr>
          </a:pPr>
          <a:r>
            <a:rPr lang="en-US" sz="1200" b="1" i="0" u="none" strike="noStrike" baseline="0">
              <a:solidFill>
                <a:sysClr val="windowText" lastClr="000000"/>
              </a:solidFill>
              <a:latin typeface="Calibri" panose="020F0502020204030204"/>
            </a:rPr>
            <a:t>App Usage by Top 3 Countries</a:t>
          </a:r>
        </a:p>
      </cx:txPr>
    </cx:title>
    <cx:plotArea>
      <cx:plotAreaRegion>
        <cx:series layoutId="funnel" uniqueId="{A1116A8E-A0D5-4424-BDF7-4E3797CA7783}">
          <cx:dataLabels>
            <cx:spPr>
              <a:solidFill>
                <a:schemeClr val="bg1"/>
              </a:solidFill>
            </cx:spPr>
            <cx:txPr>
              <a:bodyPr spcFirstLastPara="1" vertOverflow="ellipsis" horzOverflow="overflow" wrap="square" lIns="0" tIns="0" rIns="0" bIns="0" anchor="ctr" anchorCtr="1"/>
              <a:lstStyle/>
              <a:p>
                <a:pPr algn="ctr" rtl="0">
                  <a:defRPr sz="1200" b="1">
                    <a:solidFill>
                      <a:sysClr val="windowText" lastClr="000000"/>
                    </a:solidFill>
                  </a:defRPr>
                </a:pPr>
                <a:endParaRPr lang="en-US" sz="12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size">
        <cx:f dir="row">_xlchart.v1.5</cx:f>
      </cx:numDim>
    </cx:data>
  </cx:chartData>
  <cx:chart>
    <cx:plotArea>
      <cx:plotAreaRegion>
        <cx:series layoutId="treemap" uniqueId="{5B4ACCDC-7B34-4C48-B7E4-578F1A4F3BA7}">
          <cx:spPr>
            <a:solidFill>
              <a:schemeClr val="bg1">
                <a:lumMod val="95000"/>
              </a:schemeClr>
            </a:solidFill>
            <a:ln>
              <a:noFill/>
            </a:ln>
          </cx:spPr>
          <cx:dataPt idx="1">
            <cx:spPr>
              <a:solidFill>
                <a:srgbClr val="00B0F0"/>
              </a:solidFill>
            </cx:spPr>
          </cx:dataPt>
          <cx:dataPt idx="2">
            <cx:spPr>
              <a:solidFill>
                <a:srgbClr val="00B0F0"/>
              </a:solidFill>
            </cx:spPr>
          </cx:dataPt>
          <cx:dataPt idx="4">
            <cx:spPr>
              <a:solidFill>
                <a:srgbClr val="00B0F0"/>
              </a:solidFill>
            </cx:spPr>
          </cx:dataPt>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ln>
              <a:noFill/>
            </a:ln>
          </cx:spPr>
        </cx:plotSurface>
        <cx:series layoutId="funnel" uniqueId="{A1116A8E-A0D5-4424-BDF7-4E3797CA7783}">
          <cx:spPr>
            <a:solidFill>
              <a:schemeClr val="accent1">
                <a:lumMod val="20000"/>
                <a:lumOff val="80000"/>
              </a:schemeClr>
            </a:solidFill>
          </cx:spPr>
          <cx:dataLabels>
            <cx:spPr>
              <a:solidFill>
                <a:schemeClr val="accent1">
                  <a:lumMod val="75000"/>
                </a:schemeClr>
              </a:solidFill>
            </cx:spPr>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3.png"/><Relationship Id="rId7" Type="http://schemas.microsoft.com/office/2014/relationships/chartEx" Target="../charts/chartEx3.xml"/><Relationship Id="rId12"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3.xml"/><Relationship Id="rId5" Type="http://schemas.openxmlformats.org/officeDocument/2006/relationships/image" Target="../media/image5.png"/><Relationship Id="rId10" Type="http://schemas.microsoft.com/office/2014/relationships/chartEx" Target="../charts/chartEx4.xml"/><Relationship Id="rId4" Type="http://schemas.openxmlformats.org/officeDocument/2006/relationships/image" Target="../media/image4.sv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161925</xdr:colOff>
      <xdr:row>1</xdr:row>
      <xdr:rowOff>176212</xdr:rowOff>
    </xdr:from>
    <xdr:to>
      <xdr:col>12</xdr:col>
      <xdr:colOff>142875</xdr:colOff>
      <xdr:row>16</xdr:row>
      <xdr:rowOff>61912</xdr:rowOff>
    </xdr:to>
    <xdr:graphicFrame macro="">
      <xdr:nvGraphicFramePr>
        <xdr:cNvPr id="2" name="Chart 1">
          <a:extLst>
            <a:ext uri="{FF2B5EF4-FFF2-40B4-BE49-F238E27FC236}">
              <a16:creationId xmlns:a16="http://schemas.microsoft.com/office/drawing/2014/main" id="{E53087C5-A09A-4C33-83F5-48E3802CB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161925</xdr:colOff>
      <xdr:row>0</xdr:row>
      <xdr:rowOff>142874</xdr:rowOff>
    </xdr:from>
    <xdr:to>
      <xdr:col>11</xdr:col>
      <xdr:colOff>304800</xdr:colOff>
      <xdr:row>13</xdr:row>
      <xdr:rowOff>176211</xdr:rowOff>
    </xdr:to>
    <xdr:graphicFrame macro="">
      <xdr:nvGraphicFramePr>
        <xdr:cNvPr id="3" name="Chart 2">
          <a:extLst>
            <a:ext uri="{FF2B5EF4-FFF2-40B4-BE49-F238E27FC236}">
              <a16:creationId xmlns:a16="http://schemas.microsoft.com/office/drawing/2014/main" id="{500F3D29-2E00-45B8-9129-D65C49FA1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114301</xdr:colOff>
      <xdr:row>1</xdr:row>
      <xdr:rowOff>100012</xdr:rowOff>
    </xdr:from>
    <xdr:to>
      <xdr:col>11</xdr:col>
      <xdr:colOff>381001</xdr:colOff>
      <xdr:row>15</xdr:row>
      <xdr:rowOff>176212</xdr:rowOff>
    </xdr:to>
    <xdr:graphicFrame macro="">
      <xdr:nvGraphicFramePr>
        <xdr:cNvPr id="2" name="Chart 1">
          <a:extLst>
            <a:ext uri="{FF2B5EF4-FFF2-40B4-BE49-F238E27FC236}">
              <a16:creationId xmlns:a16="http://schemas.microsoft.com/office/drawing/2014/main" id="{7AB828A1-7CB6-447A-BA51-84D83E903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447261</xdr:colOff>
      <xdr:row>4</xdr:row>
      <xdr:rowOff>157369</xdr:rowOff>
    </xdr:from>
    <xdr:to>
      <xdr:col>5</xdr:col>
      <xdr:colOff>662608</xdr:colOff>
      <xdr:row>16</xdr:row>
      <xdr:rowOff>29816</xdr:rowOff>
    </xdr:to>
    <xdr:graphicFrame macro="">
      <xdr:nvGraphicFramePr>
        <xdr:cNvPr id="3" name="Chart 2">
          <a:extLst>
            <a:ext uri="{FF2B5EF4-FFF2-40B4-BE49-F238E27FC236}">
              <a16:creationId xmlns:a16="http://schemas.microsoft.com/office/drawing/2014/main" id="{37D17898-D691-4FB4-B06D-C7A514244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327992</xdr:colOff>
      <xdr:row>2</xdr:row>
      <xdr:rowOff>187601</xdr:rowOff>
    </xdr:from>
    <xdr:to>
      <xdr:col>9</xdr:col>
      <xdr:colOff>318052</xdr:colOff>
      <xdr:row>9</xdr:row>
      <xdr:rowOff>33130</xdr:rowOff>
    </xdr:to>
    <mc:AlternateContent xmlns:mc="http://schemas.openxmlformats.org/markup-compatibility/2006" xmlns:a14="http://schemas.microsoft.com/office/drawing/2010/main">
      <mc:Choice Requires="a14">
        <xdr:graphicFrame macro="">
          <xdr:nvGraphicFramePr>
            <xdr:cNvPr id="2" name="Review Year">
              <a:extLst>
                <a:ext uri="{FF2B5EF4-FFF2-40B4-BE49-F238E27FC236}">
                  <a16:creationId xmlns:a16="http://schemas.microsoft.com/office/drawing/2014/main" id="{0C134BA7-945A-4613-AA2F-E8F7DD186881}"/>
                </a:ext>
              </a:extLst>
            </xdr:cNvPr>
            <xdr:cNvGraphicFramePr/>
          </xdr:nvGraphicFramePr>
          <xdr:xfrm>
            <a:off x="0" y="0"/>
            <a:ext cx="0" cy="0"/>
          </xdr:xfrm>
          <a:graphic>
            <a:graphicData uri="http://schemas.microsoft.com/office/drawing/2010/slicer">
              <sle:slicer xmlns:sle="http://schemas.microsoft.com/office/drawing/2010/slicer" name="Review Year"/>
            </a:graphicData>
          </a:graphic>
        </xdr:graphicFrame>
      </mc:Choice>
      <mc:Fallback xmlns="">
        <xdr:sp macro="" textlink="">
          <xdr:nvSpPr>
            <xdr:cNvPr id="0" name=""/>
            <xdr:cNvSpPr>
              <a:spLocks noTextEdit="1"/>
            </xdr:cNvSpPr>
          </xdr:nvSpPr>
          <xdr:spPr>
            <a:xfrm>
              <a:off x="6606209" y="568601"/>
              <a:ext cx="1828800" cy="11790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19050</xdr:colOff>
      <xdr:row>4</xdr:row>
      <xdr:rowOff>128587</xdr:rowOff>
    </xdr:from>
    <xdr:to>
      <xdr:col>13</xdr:col>
      <xdr:colOff>400050</xdr:colOff>
      <xdr:row>19</xdr:row>
      <xdr:rowOff>14287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20CF7D4-4B89-4268-8CAA-2E4A76C550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29600" y="890587"/>
              <a:ext cx="363855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11</xdr:col>
      <xdr:colOff>579783</xdr:colOff>
      <xdr:row>5</xdr:row>
      <xdr:rowOff>107673</xdr:rowOff>
    </xdr:from>
    <xdr:to>
      <xdr:col>15</xdr:col>
      <xdr:colOff>488673</xdr:colOff>
      <xdr:row>17</xdr:row>
      <xdr:rowOff>87794</xdr:rowOff>
    </xdr:to>
    <xdr:graphicFrame macro="">
      <xdr:nvGraphicFramePr>
        <xdr:cNvPr id="2" name="Chart 1">
          <a:extLst>
            <a:ext uri="{FF2B5EF4-FFF2-40B4-BE49-F238E27FC236}">
              <a16:creationId xmlns:a16="http://schemas.microsoft.com/office/drawing/2014/main" id="{711CFED8-9258-4E40-BF6A-8264F36C3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92765</xdr:colOff>
      <xdr:row>6</xdr:row>
      <xdr:rowOff>21950</xdr:rowOff>
    </xdr:from>
    <xdr:to>
      <xdr:col>19</xdr:col>
      <xdr:colOff>82826</xdr:colOff>
      <xdr:row>15</xdr:row>
      <xdr:rowOff>66262</xdr:rowOff>
    </xdr:to>
    <mc:AlternateContent xmlns:mc="http://schemas.openxmlformats.org/markup-compatibility/2006" xmlns:a14="http://schemas.microsoft.com/office/drawing/2010/main">
      <mc:Choice Requires="a14">
        <xdr:graphicFrame macro="">
          <xdr:nvGraphicFramePr>
            <xdr:cNvPr id="3" name="Rating Category">
              <a:extLst>
                <a:ext uri="{FF2B5EF4-FFF2-40B4-BE49-F238E27FC236}">
                  <a16:creationId xmlns:a16="http://schemas.microsoft.com/office/drawing/2014/main" id="{9BD3AB3B-02BB-4999-8BFC-6C547518CF8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4429961" y="1164950"/>
              <a:ext cx="1828800" cy="17588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485775</xdr:colOff>
      <xdr:row>5</xdr:row>
      <xdr:rowOff>76200</xdr:rowOff>
    </xdr:from>
    <xdr:to>
      <xdr:col>5</xdr:col>
      <xdr:colOff>895350</xdr:colOff>
      <xdr:row>15</xdr:row>
      <xdr:rowOff>138112</xdr:rowOff>
    </xdr:to>
    <xdr:graphicFrame macro="">
      <xdr:nvGraphicFramePr>
        <xdr:cNvPr id="2" name="Chart 1">
          <a:extLst>
            <a:ext uri="{FF2B5EF4-FFF2-40B4-BE49-F238E27FC236}">
              <a16:creationId xmlns:a16="http://schemas.microsoft.com/office/drawing/2014/main" id="{E7666D6D-EE38-4F7F-ADF6-4F8028B8D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8</xdr:row>
      <xdr:rowOff>123826</xdr:rowOff>
    </xdr:from>
    <xdr:to>
      <xdr:col>11</xdr:col>
      <xdr:colOff>342900</xdr:colOff>
      <xdr:row>20</xdr:row>
      <xdr:rowOff>176212</xdr:rowOff>
    </xdr:to>
    <xdr:graphicFrame macro="">
      <xdr:nvGraphicFramePr>
        <xdr:cNvPr id="3" name="Chart 2">
          <a:extLst>
            <a:ext uri="{FF2B5EF4-FFF2-40B4-BE49-F238E27FC236}">
              <a16:creationId xmlns:a16="http://schemas.microsoft.com/office/drawing/2014/main" id="{15CFE56C-4582-DA2C-30CD-DCC619B14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76199</xdr:colOff>
      <xdr:row>9</xdr:row>
      <xdr:rowOff>123825</xdr:rowOff>
    </xdr:from>
    <xdr:to>
      <xdr:col>10</xdr:col>
      <xdr:colOff>266699</xdr:colOff>
      <xdr:row>21</xdr:row>
      <xdr:rowOff>33337</xdr:rowOff>
    </xdr:to>
    <xdr:graphicFrame macro="">
      <xdr:nvGraphicFramePr>
        <xdr:cNvPr id="2" name="Chart 1">
          <a:extLst>
            <a:ext uri="{FF2B5EF4-FFF2-40B4-BE49-F238E27FC236}">
              <a16:creationId xmlns:a16="http://schemas.microsoft.com/office/drawing/2014/main" id="{15412BC6-6C2B-4415-9501-40A62A5E6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114300</xdr:colOff>
      <xdr:row>6</xdr:row>
      <xdr:rowOff>9525</xdr:rowOff>
    </xdr:from>
    <xdr:to>
      <xdr:col>15</xdr:col>
      <xdr:colOff>571500</xdr:colOff>
      <xdr:row>11</xdr:row>
      <xdr:rowOff>0</xdr:rowOff>
    </xdr:to>
    <xdr:graphicFrame macro="">
      <xdr:nvGraphicFramePr>
        <xdr:cNvPr id="3" name="Chart 2">
          <a:extLst>
            <a:ext uri="{FF2B5EF4-FFF2-40B4-BE49-F238E27FC236}">
              <a16:creationId xmlns:a16="http://schemas.microsoft.com/office/drawing/2014/main" id="{1D3E8125-2D2C-54DC-5375-55574C160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685799</xdr:colOff>
      <xdr:row>5</xdr:row>
      <xdr:rowOff>157162</xdr:rowOff>
    </xdr:from>
    <xdr:to>
      <xdr:col>10</xdr:col>
      <xdr:colOff>19049</xdr:colOff>
      <xdr:row>20</xdr:row>
      <xdr:rowOff>42862</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97C9504-C26F-41A0-9A2C-803F07D7CA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43499" y="1109662"/>
              <a:ext cx="3305175"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400049</xdr:colOff>
      <xdr:row>0</xdr:row>
      <xdr:rowOff>171449</xdr:rowOff>
    </xdr:from>
    <xdr:to>
      <xdr:col>18</xdr:col>
      <xdr:colOff>495300</xdr:colOff>
      <xdr:row>6</xdr:row>
      <xdr:rowOff>142874</xdr:rowOff>
    </xdr:to>
    <xdr:sp macro="" textlink="">
      <xdr:nvSpPr>
        <xdr:cNvPr id="2" name="Rectangle: Rounded Corners 1">
          <a:extLst>
            <a:ext uri="{FF2B5EF4-FFF2-40B4-BE49-F238E27FC236}">
              <a16:creationId xmlns:a16="http://schemas.microsoft.com/office/drawing/2014/main" id="{D7AD53BF-2DEC-43CB-AEBA-01B8D4AE845D}"/>
            </a:ext>
          </a:extLst>
        </xdr:cNvPr>
        <xdr:cNvSpPr/>
      </xdr:nvSpPr>
      <xdr:spPr>
        <a:xfrm>
          <a:off x="1009649" y="171449"/>
          <a:ext cx="10458451" cy="1114425"/>
        </a:xfrm>
        <a:prstGeom prst="roundRect">
          <a:avLst>
            <a:gd name="adj" fmla="val 9528"/>
          </a:avLst>
        </a:prstGeom>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276224</xdr:colOff>
      <xdr:row>1</xdr:row>
      <xdr:rowOff>108237</xdr:rowOff>
    </xdr:from>
    <xdr:to>
      <xdr:col>13</xdr:col>
      <xdr:colOff>209549</xdr:colOff>
      <xdr:row>5</xdr:row>
      <xdr:rowOff>155862</xdr:rowOff>
    </xdr:to>
    <xdr:sp macro="" textlink="">
      <xdr:nvSpPr>
        <xdr:cNvPr id="3" name="TextBox 2">
          <a:extLst>
            <a:ext uri="{FF2B5EF4-FFF2-40B4-BE49-F238E27FC236}">
              <a16:creationId xmlns:a16="http://schemas.microsoft.com/office/drawing/2014/main" id="{0DA30A19-E21C-48D3-B6C9-FF3AFFCF57EF}"/>
            </a:ext>
          </a:extLst>
        </xdr:cNvPr>
        <xdr:cNvSpPr txBox="1"/>
      </xdr:nvSpPr>
      <xdr:spPr>
        <a:xfrm>
          <a:off x="2105024" y="298737"/>
          <a:ext cx="6029325"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Raleway Regular" pitchFamily="2" charset="0"/>
            </a:rPr>
            <a:t>MULTILINGUAL MOBILE APP REVIEWS</a:t>
          </a:r>
        </a:p>
      </xdr:txBody>
    </xdr:sp>
    <xdr:clientData/>
  </xdr:twoCellAnchor>
  <xdr:twoCellAnchor editAs="oneCell">
    <xdr:from>
      <xdr:col>1</xdr:col>
      <xdr:colOff>597833</xdr:colOff>
      <xdr:row>1</xdr:row>
      <xdr:rowOff>98611</xdr:rowOff>
    </xdr:from>
    <xdr:to>
      <xdr:col>3</xdr:col>
      <xdr:colOff>278465</xdr:colOff>
      <xdr:row>6</xdr:row>
      <xdr:rowOff>31937</xdr:rowOff>
    </xdr:to>
    <xdr:pic>
      <xdr:nvPicPr>
        <xdr:cNvPr id="5" name="Graphic 4" descr="Smart Phone">
          <a:extLst>
            <a:ext uri="{FF2B5EF4-FFF2-40B4-BE49-F238E27FC236}">
              <a16:creationId xmlns:a16="http://schemas.microsoft.com/office/drawing/2014/main" id="{DE3D6075-CC85-4EEC-ACCA-CFF32A76C2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07433" y="289111"/>
          <a:ext cx="899832" cy="885826"/>
        </a:xfrm>
        <a:prstGeom prst="rect">
          <a:avLst/>
        </a:prstGeom>
      </xdr:spPr>
    </xdr:pic>
    <xdr:clientData/>
  </xdr:twoCellAnchor>
  <xdr:twoCellAnchor>
    <xdr:from>
      <xdr:col>1</xdr:col>
      <xdr:colOff>394854</xdr:colOff>
      <xdr:row>7</xdr:row>
      <xdr:rowOff>8660</xdr:rowOff>
    </xdr:from>
    <xdr:to>
      <xdr:col>5</xdr:col>
      <xdr:colOff>476249</xdr:colOff>
      <xdr:row>12</xdr:row>
      <xdr:rowOff>77066</xdr:rowOff>
    </xdr:to>
    <xdr:sp macro="" textlink="'App Usage by Gender'!N3">
      <xdr:nvSpPr>
        <xdr:cNvPr id="6" name="Rectangle: Rounded Corners 5">
          <a:extLst>
            <a:ext uri="{FF2B5EF4-FFF2-40B4-BE49-F238E27FC236}">
              <a16:creationId xmlns:a16="http://schemas.microsoft.com/office/drawing/2014/main" id="{8B4BB0B5-F1B5-49F1-86A4-554A24F8FF13}"/>
            </a:ext>
          </a:extLst>
        </xdr:cNvPr>
        <xdr:cNvSpPr/>
      </xdr:nvSpPr>
      <xdr:spPr>
        <a:xfrm>
          <a:off x="1004454" y="1342160"/>
          <a:ext cx="2519795" cy="1020906"/>
        </a:xfrm>
        <a:prstGeom prst="roundRect">
          <a:avLst>
            <a:gd name="adj" fmla="val 6211"/>
          </a:avLst>
        </a:prstGeom>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sz="1100" b="0" i="0" u="none" strike="noStrike">
            <a:solidFill>
              <a:srgbClr val="000000"/>
            </a:solidFill>
            <a:latin typeface="Calibri"/>
            <a:ea typeface="Calibri"/>
            <a:cs typeface="Calibri"/>
          </a:endParaRPr>
        </a:p>
        <a:p>
          <a:endParaRPr lang="en-US" sz="1100" b="0" i="0" u="none" strike="noStrike">
            <a:solidFill>
              <a:srgbClr val="000000"/>
            </a:solidFill>
            <a:latin typeface="Calibri"/>
            <a:ea typeface="Calibri"/>
            <a:cs typeface="Calibri"/>
          </a:endParaRPr>
        </a:p>
        <a:p>
          <a:pPr lvl="3"/>
          <a:r>
            <a:rPr lang="en-US" sz="2400" b="0" i="0" u="none" strike="noStrike" baseline="0">
              <a:solidFill>
                <a:srgbClr val="000000"/>
              </a:solidFill>
              <a:latin typeface="Calibri"/>
              <a:ea typeface="Calibri"/>
              <a:cs typeface="Calibri"/>
            </a:rPr>
            <a:t> </a:t>
          </a:r>
          <a:endParaRPr lang="en-US" sz="2400" b="1">
            <a:solidFill>
              <a:schemeClr val="bg1"/>
            </a:solidFill>
            <a:latin typeface="Raleway Regular"/>
          </a:endParaRPr>
        </a:p>
      </xdr:txBody>
    </xdr:sp>
    <xdr:clientData/>
  </xdr:twoCellAnchor>
  <xdr:twoCellAnchor>
    <xdr:from>
      <xdr:col>5</xdr:col>
      <xdr:colOff>546100</xdr:colOff>
      <xdr:row>7</xdr:row>
      <xdr:rowOff>9092</xdr:rowOff>
    </xdr:from>
    <xdr:to>
      <xdr:col>10</xdr:col>
      <xdr:colOff>50799</xdr:colOff>
      <xdr:row>12</xdr:row>
      <xdr:rowOff>76634</xdr:rowOff>
    </xdr:to>
    <xdr:sp macro="" textlink="'App Usage by Gender'!L4">
      <xdr:nvSpPr>
        <xdr:cNvPr id="7" name="Rectangle: Rounded Corners 6">
          <a:extLst>
            <a:ext uri="{FF2B5EF4-FFF2-40B4-BE49-F238E27FC236}">
              <a16:creationId xmlns:a16="http://schemas.microsoft.com/office/drawing/2014/main" id="{F8512839-33D3-4EC6-843F-E7C3E89E0CB7}"/>
            </a:ext>
          </a:extLst>
        </xdr:cNvPr>
        <xdr:cNvSpPr/>
      </xdr:nvSpPr>
      <xdr:spPr>
        <a:xfrm>
          <a:off x="3594100" y="1342592"/>
          <a:ext cx="2552699" cy="1020042"/>
        </a:xfrm>
        <a:prstGeom prst="roundRect">
          <a:avLst>
            <a:gd name="adj" fmla="val 7895"/>
          </a:avLst>
        </a:prstGeom>
        <a:solidFill>
          <a:schemeClr val="accent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baseline="0">
              <a:solidFill>
                <a:srgbClr val="000000"/>
              </a:solidFill>
              <a:latin typeface="Calibri"/>
              <a:ea typeface="Calibri"/>
              <a:cs typeface="Calibri"/>
            </a:rPr>
            <a:t>                                   </a:t>
          </a:r>
          <a:endParaRPr lang="en-US" sz="5400" b="1">
            <a:solidFill>
              <a:schemeClr val="bg1"/>
            </a:solidFill>
            <a:latin typeface="Raleway Regular"/>
          </a:endParaRPr>
        </a:p>
      </xdr:txBody>
    </xdr:sp>
    <xdr:clientData/>
  </xdr:twoCellAnchor>
  <xdr:twoCellAnchor>
    <xdr:from>
      <xdr:col>10</xdr:col>
      <xdr:colOff>120650</xdr:colOff>
      <xdr:row>7</xdr:row>
      <xdr:rowOff>4330</xdr:rowOff>
    </xdr:from>
    <xdr:to>
      <xdr:col>14</xdr:col>
      <xdr:colOff>292100</xdr:colOff>
      <xdr:row>12</xdr:row>
      <xdr:rowOff>81397</xdr:rowOff>
    </xdr:to>
    <xdr:sp macro="" textlink="'App Usage by Gender'!M4">
      <xdr:nvSpPr>
        <xdr:cNvPr id="8" name="Rectangle: Rounded Corners 7">
          <a:extLst>
            <a:ext uri="{FF2B5EF4-FFF2-40B4-BE49-F238E27FC236}">
              <a16:creationId xmlns:a16="http://schemas.microsoft.com/office/drawing/2014/main" id="{F8DC1A8D-CA1A-4D89-ADF3-E3CD4C78CB39}"/>
            </a:ext>
          </a:extLst>
        </xdr:cNvPr>
        <xdr:cNvSpPr/>
      </xdr:nvSpPr>
      <xdr:spPr>
        <a:xfrm>
          <a:off x="6216650" y="1337830"/>
          <a:ext cx="2609850" cy="1029567"/>
        </a:xfrm>
        <a:prstGeom prst="roundRect">
          <a:avLst>
            <a:gd name="adj" fmla="val 8484"/>
          </a:avLst>
        </a:prstGeom>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endParaRPr lang="en-US" sz="8800" b="1" i="0" u="none" strike="noStrike">
            <a:solidFill>
              <a:schemeClr val="bg1"/>
            </a:solidFill>
            <a:latin typeface="Raleway Regular"/>
          </a:endParaRPr>
        </a:p>
      </xdr:txBody>
    </xdr:sp>
    <xdr:clientData/>
  </xdr:twoCellAnchor>
  <xdr:twoCellAnchor>
    <xdr:from>
      <xdr:col>14</xdr:col>
      <xdr:colOff>361950</xdr:colOff>
      <xdr:row>7</xdr:row>
      <xdr:rowOff>12556</xdr:rowOff>
    </xdr:from>
    <xdr:to>
      <xdr:col>18</xdr:col>
      <xdr:colOff>485776</xdr:colOff>
      <xdr:row>12</xdr:row>
      <xdr:rowOff>73170</xdr:rowOff>
    </xdr:to>
    <xdr:sp macro="" textlink="'App Usage by Gender'!J5">
      <xdr:nvSpPr>
        <xdr:cNvPr id="9" name="Rectangle: Rounded Corners 8">
          <a:extLst>
            <a:ext uri="{FF2B5EF4-FFF2-40B4-BE49-F238E27FC236}">
              <a16:creationId xmlns:a16="http://schemas.microsoft.com/office/drawing/2014/main" id="{F1DBEC41-2D9A-4432-94BA-FA02C1F975A5}"/>
            </a:ext>
          </a:extLst>
        </xdr:cNvPr>
        <xdr:cNvSpPr/>
      </xdr:nvSpPr>
      <xdr:spPr>
        <a:xfrm>
          <a:off x="8896350" y="1346056"/>
          <a:ext cx="2562226" cy="1013114"/>
        </a:xfrm>
        <a:prstGeom prst="roundRect">
          <a:avLst>
            <a:gd name="adj" fmla="val 6517"/>
          </a:avLst>
        </a:prstGeom>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sz="1100" b="0" i="0" u="none" strike="noStrike">
            <a:solidFill>
              <a:srgbClr val="000000"/>
            </a:solidFill>
            <a:latin typeface="Calibri"/>
            <a:ea typeface="Calibri"/>
            <a:cs typeface="Calibri"/>
          </a:endParaRPr>
        </a:p>
      </xdr:txBody>
    </xdr:sp>
    <xdr:clientData/>
  </xdr:twoCellAnchor>
  <xdr:twoCellAnchor>
    <xdr:from>
      <xdr:col>1</xdr:col>
      <xdr:colOff>514082</xdr:colOff>
      <xdr:row>7</xdr:row>
      <xdr:rowOff>36182</xdr:rowOff>
    </xdr:from>
    <xdr:to>
      <xdr:col>5</xdr:col>
      <xdr:colOff>285750</xdr:colOff>
      <xdr:row>8</xdr:row>
      <xdr:rowOff>85726</xdr:rowOff>
    </xdr:to>
    <xdr:sp macro="" textlink="">
      <xdr:nvSpPr>
        <xdr:cNvPr id="11" name="TextBox 10">
          <a:extLst>
            <a:ext uri="{FF2B5EF4-FFF2-40B4-BE49-F238E27FC236}">
              <a16:creationId xmlns:a16="http://schemas.microsoft.com/office/drawing/2014/main" id="{7040D04D-45C4-40FB-A40F-F0A31A191A37}"/>
            </a:ext>
          </a:extLst>
        </xdr:cNvPr>
        <xdr:cNvSpPr txBox="1"/>
      </xdr:nvSpPr>
      <xdr:spPr>
        <a:xfrm>
          <a:off x="1123682" y="1369682"/>
          <a:ext cx="2210068" cy="24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1"/>
              </a:solidFill>
              <a:latin typeface="Raleway Regular"/>
              <a:ea typeface="+mn-ea"/>
              <a:cs typeface="+mn-cs"/>
            </a:rPr>
            <a:t>Total Number Of Users</a:t>
          </a:r>
        </a:p>
        <a:p>
          <a:endParaRPr lang="en-US" sz="1000"/>
        </a:p>
      </xdr:txBody>
    </xdr:sp>
    <xdr:clientData/>
  </xdr:twoCellAnchor>
  <xdr:twoCellAnchor editAs="oneCell">
    <xdr:from>
      <xdr:col>2</xdr:col>
      <xdr:colOff>225136</xdr:colOff>
      <xdr:row>8</xdr:row>
      <xdr:rowOff>95250</xdr:rowOff>
    </xdr:from>
    <xdr:to>
      <xdr:col>3</xdr:col>
      <xdr:colOff>183573</xdr:colOff>
      <xdr:row>12</xdr:row>
      <xdr:rowOff>24092</xdr:rowOff>
    </xdr:to>
    <xdr:pic>
      <xdr:nvPicPr>
        <xdr:cNvPr id="13" name="Graphic 12" descr="Group of women">
          <a:extLst>
            <a:ext uri="{FF2B5EF4-FFF2-40B4-BE49-F238E27FC236}">
              <a16:creationId xmlns:a16="http://schemas.microsoft.com/office/drawing/2014/main" id="{1D481927-6733-4F53-A43B-4EFAD2316A3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444336" y="1619250"/>
          <a:ext cx="568037" cy="690842"/>
        </a:xfrm>
        <a:prstGeom prst="rect">
          <a:avLst/>
        </a:prstGeom>
      </xdr:spPr>
    </xdr:pic>
    <xdr:clientData/>
  </xdr:twoCellAnchor>
  <xdr:twoCellAnchor>
    <xdr:from>
      <xdr:col>6</xdr:col>
      <xdr:colOff>77849</xdr:colOff>
      <xdr:row>7</xdr:row>
      <xdr:rowOff>55617</xdr:rowOff>
    </xdr:from>
    <xdr:to>
      <xdr:col>9</xdr:col>
      <xdr:colOff>171450</xdr:colOff>
      <xdr:row>8</xdr:row>
      <xdr:rowOff>95251</xdr:rowOff>
    </xdr:to>
    <xdr:sp macro="" textlink="">
      <xdr:nvSpPr>
        <xdr:cNvPr id="17" name="TextBox 16">
          <a:extLst>
            <a:ext uri="{FF2B5EF4-FFF2-40B4-BE49-F238E27FC236}">
              <a16:creationId xmlns:a16="http://schemas.microsoft.com/office/drawing/2014/main" id="{62AF8DC0-908C-404D-9AC8-C7A6B816E2DB}"/>
            </a:ext>
          </a:extLst>
        </xdr:cNvPr>
        <xdr:cNvSpPr txBox="1"/>
      </xdr:nvSpPr>
      <xdr:spPr>
        <a:xfrm>
          <a:off x="3735449" y="1389117"/>
          <a:ext cx="1922401" cy="23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1"/>
              </a:solidFill>
              <a:latin typeface="Raleway Regular"/>
              <a:ea typeface="+mn-ea"/>
              <a:cs typeface="+mn-cs"/>
            </a:rPr>
            <a:t>Number of Male Users</a:t>
          </a:r>
        </a:p>
      </xdr:txBody>
    </xdr:sp>
    <xdr:clientData/>
  </xdr:twoCellAnchor>
  <xdr:twoCellAnchor>
    <xdr:from>
      <xdr:col>10</xdr:col>
      <xdr:colOff>436791</xdr:colOff>
      <xdr:row>7</xdr:row>
      <xdr:rowOff>58508</xdr:rowOff>
    </xdr:from>
    <xdr:to>
      <xdr:col>14</xdr:col>
      <xdr:colOff>152401</xdr:colOff>
      <xdr:row>8</xdr:row>
      <xdr:rowOff>104775</xdr:rowOff>
    </xdr:to>
    <xdr:sp macro="" textlink="">
      <xdr:nvSpPr>
        <xdr:cNvPr id="20" name="TextBox 19">
          <a:extLst>
            <a:ext uri="{FF2B5EF4-FFF2-40B4-BE49-F238E27FC236}">
              <a16:creationId xmlns:a16="http://schemas.microsoft.com/office/drawing/2014/main" id="{CC8B53C3-4CAA-4914-8025-CCD20E62AC1B}"/>
            </a:ext>
          </a:extLst>
        </xdr:cNvPr>
        <xdr:cNvSpPr txBox="1"/>
      </xdr:nvSpPr>
      <xdr:spPr>
        <a:xfrm>
          <a:off x="6532791" y="1392008"/>
          <a:ext cx="2154010" cy="23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bg1"/>
              </a:solidFill>
              <a:latin typeface="Raleway Regular"/>
              <a:ea typeface="+mn-ea"/>
              <a:cs typeface="+mn-cs"/>
            </a:rPr>
            <a:t>Number of Female Users</a:t>
          </a:r>
        </a:p>
        <a:p>
          <a:endParaRPr lang="en-US" sz="1100"/>
        </a:p>
      </xdr:txBody>
    </xdr:sp>
    <xdr:clientData/>
  </xdr:twoCellAnchor>
  <xdr:twoCellAnchor>
    <xdr:from>
      <xdr:col>14</xdr:col>
      <xdr:colOff>424874</xdr:colOff>
      <xdr:row>7</xdr:row>
      <xdr:rowOff>47624</xdr:rowOff>
    </xdr:from>
    <xdr:to>
      <xdr:col>18</xdr:col>
      <xdr:colOff>293158</xdr:colOff>
      <xdr:row>8</xdr:row>
      <xdr:rowOff>114299</xdr:rowOff>
    </xdr:to>
    <xdr:sp macro="" textlink="">
      <xdr:nvSpPr>
        <xdr:cNvPr id="23" name="TextBox 22">
          <a:extLst>
            <a:ext uri="{FF2B5EF4-FFF2-40B4-BE49-F238E27FC236}">
              <a16:creationId xmlns:a16="http://schemas.microsoft.com/office/drawing/2014/main" id="{21C3A4D2-44D1-4C4E-9F60-D4CDA6768089}"/>
            </a:ext>
          </a:extLst>
        </xdr:cNvPr>
        <xdr:cNvSpPr txBox="1"/>
      </xdr:nvSpPr>
      <xdr:spPr>
        <a:xfrm>
          <a:off x="8959274" y="1381124"/>
          <a:ext cx="2306684"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bg1"/>
              </a:solidFill>
              <a:latin typeface="Raleway Regular"/>
              <a:ea typeface="+mn-ea"/>
              <a:cs typeface="+mn-cs"/>
            </a:rPr>
            <a:t>Most Used App by both Gender</a:t>
          </a:r>
        </a:p>
      </xdr:txBody>
    </xdr:sp>
    <xdr:clientData/>
  </xdr:twoCellAnchor>
  <xdr:twoCellAnchor editAs="oneCell">
    <xdr:from>
      <xdr:col>15</xdr:col>
      <xdr:colOff>176647</xdr:colOff>
      <xdr:row>9</xdr:row>
      <xdr:rowOff>57150</xdr:rowOff>
    </xdr:from>
    <xdr:to>
      <xdr:col>16</xdr:col>
      <xdr:colOff>605270</xdr:colOff>
      <xdr:row>11</xdr:row>
      <xdr:rowOff>133350</xdr:rowOff>
    </xdr:to>
    <xdr:pic>
      <xdr:nvPicPr>
        <xdr:cNvPr id="31" name="Picture 30">
          <a:extLst>
            <a:ext uri="{FF2B5EF4-FFF2-40B4-BE49-F238E27FC236}">
              <a16:creationId xmlns:a16="http://schemas.microsoft.com/office/drawing/2014/main" id="{CE3A43B5-CA7B-4E7D-B47A-D283650A600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320647" y="1771650"/>
          <a:ext cx="1038223" cy="457200"/>
        </a:xfrm>
        <a:prstGeom prst="rect">
          <a:avLst/>
        </a:prstGeom>
      </xdr:spPr>
    </xdr:pic>
    <xdr:clientData/>
  </xdr:twoCellAnchor>
  <xdr:twoCellAnchor>
    <xdr:from>
      <xdr:col>6</xdr:col>
      <xdr:colOff>266700</xdr:colOff>
      <xdr:row>12</xdr:row>
      <xdr:rowOff>142875</xdr:rowOff>
    </xdr:from>
    <xdr:to>
      <xdr:col>11</xdr:col>
      <xdr:colOff>28575</xdr:colOff>
      <xdr:row>32</xdr:row>
      <xdr:rowOff>76200</xdr:rowOff>
    </xdr:to>
    <xdr:sp macro="" textlink="">
      <xdr:nvSpPr>
        <xdr:cNvPr id="4" name="Rectangle: Rounded Corners 3">
          <a:extLst>
            <a:ext uri="{FF2B5EF4-FFF2-40B4-BE49-F238E27FC236}">
              <a16:creationId xmlns:a16="http://schemas.microsoft.com/office/drawing/2014/main" id="{8718E9B5-FF85-48F1-9CFB-939BD11D8E1D}"/>
            </a:ext>
          </a:extLst>
        </xdr:cNvPr>
        <xdr:cNvSpPr/>
      </xdr:nvSpPr>
      <xdr:spPr>
        <a:xfrm>
          <a:off x="3924300" y="2428875"/>
          <a:ext cx="2809875" cy="3743325"/>
        </a:xfrm>
        <a:prstGeom prst="roundRect">
          <a:avLst>
            <a:gd name="adj" fmla="val 1785"/>
          </a:avLst>
        </a:prstGeom>
        <a:solidFill>
          <a:schemeClr val="accent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390526</xdr:colOff>
      <xdr:row>12</xdr:row>
      <xdr:rowOff>142874</xdr:rowOff>
    </xdr:from>
    <xdr:to>
      <xdr:col>6</xdr:col>
      <xdr:colOff>200026</xdr:colOff>
      <xdr:row>22</xdr:row>
      <xdr:rowOff>47625</xdr:rowOff>
    </xdr:to>
    <xdr:sp macro="" textlink="">
      <xdr:nvSpPr>
        <xdr:cNvPr id="18" name="Rectangle: Rounded Corners 17">
          <a:extLst>
            <a:ext uri="{FF2B5EF4-FFF2-40B4-BE49-F238E27FC236}">
              <a16:creationId xmlns:a16="http://schemas.microsoft.com/office/drawing/2014/main" id="{1F6109D6-95EB-4529-8058-1F9FB0B59EB6}"/>
            </a:ext>
          </a:extLst>
        </xdr:cNvPr>
        <xdr:cNvSpPr/>
      </xdr:nvSpPr>
      <xdr:spPr>
        <a:xfrm>
          <a:off x="1000126" y="2428874"/>
          <a:ext cx="2857500" cy="1809751"/>
        </a:xfrm>
        <a:prstGeom prst="roundRect">
          <a:avLst>
            <a:gd name="adj" fmla="val 3440"/>
          </a:avLst>
        </a:prstGeom>
        <a:solidFill>
          <a:schemeClr val="accent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95250</xdr:colOff>
      <xdr:row>12</xdr:row>
      <xdr:rowOff>142875</xdr:rowOff>
    </xdr:from>
    <xdr:to>
      <xdr:col>13</xdr:col>
      <xdr:colOff>582386</xdr:colOff>
      <xdr:row>21</xdr:row>
      <xdr:rowOff>57151</xdr:rowOff>
    </xdr:to>
    <xdr:sp macro="" textlink="">
      <xdr:nvSpPr>
        <xdr:cNvPr id="21" name="Rectangle: Rounded Corners 20">
          <a:extLst>
            <a:ext uri="{FF2B5EF4-FFF2-40B4-BE49-F238E27FC236}">
              <a16:creationId xmlns:a16="http://schemas.microsoft.com/office/drawing/2014/main" id="{7CAE0FCF-E99E-49DA-BD0E-1DC1C0C41AAD}"/>
            </a:ext>
          </a:extLst>
        </xdr:cNvPr>
        <xdr:cNvSpPr/>
      </xdr:nvSpPr>
      <xdr:spPr>
        <a:xfrm>
          <a:off x="6800850" y="2428875"/>
          <a:ext cx="1706336" cy="1628776"/>
        </a:xfrm>
        <a:prstGeom prst="roundRect">
          <a:avLst>
            <a:gd name="adj" fmla="val 0"/>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21773</xdr:colOff>
      <xdr:row>12</xdr:row>
      <xdr:rowOff>133350</xdr:rowOff>
    </xdr:from>
    <xdr:to>
      <xdr:col>18</xdr:col>
      <xdr:colOff>495301</xdr:colOff>
      <xdr:row>22</xdr:row>
      <xdr:rowOff>66675</xdr:rowOff>
    </xdr:to>
    <xdr:sp macro="" textlink="">
      <xdr:nvSpPr>
        <xdr:cNvPr id="24" name="Rectangle: Rounded Corners 23">
          <a:extLst>
            <a:ext uri="{FF2B5EF4-FFF2-40B4-BE49-F238E27FC236}">
              <a16:creationId xmlns:a16="http://schemas.microsoft.com/office/drawing/2014/main" id="{9D7AF57A-3C6E-47E0-9EB3-32D069972DBC}"/>
            </a:ext>
          </a:extLst>
        </xdr:cNvPr>
        <xdr:cNvSpPr/>
      </xdr:nvSpPr>
      <xdr:spPr>
        <a:xfrm>
          <a:off x="8556173" y="2419350"/>
          <a:ext cx="2911928" cy="1838325"/>
        </a:xfrm>
        <a:prstGeom prst="roundRect">
          <a:avLst>
            <a:gd name="adj" fmla="val 4247"/>
          </a:avLst>
        </a:prstGeom>
        <a:solidFill>
          <a:schemeClr val="accent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104776</xdr:colOff>
      <xdr:row>21</xdr:row>
      <xdr:rowOff>95250</xdr:rowOff>
    </xdr:from>
    <xdr:to>
      <xdr:col>13</xdr:col>
      <xdr:colOff>586468</xdr:colOff>
      <xdr:row>32</xdr:row>
      <xdr:rowOff>57150</xdr:rowOff>
    </xdr:to>
    <xdr:sp macro="" textlink="">
      <xdr:nvSpPr>
        <xdr:cNvPr id="25" name="Rectangle: Rounded Corners 24">
          <a:extLst>
            <a:ext uri="{FF2B5EF4-FFF2-40B4-BE49-F238E27FC236}">
              <a16:creationId xmlns:a16="http://schemas.microsoft.com/office/drawing/2014/main" id="{D5F0494F-0C6F-4394-A402-8062833FEC1E}"/>
            </a:ext>
          </a:extLst>
        </xdr:cNvPr>
        <xdr:cNvSpPr/>
      </xdr:nvSpPr>
      <xdr:spPr>
        <a:xfrm>
          <a:off x="6810376" y="4095750"/>
          <a:ext cx="1700892" cy="2057400"/>
        </a:xfrm>
        <a:prstGeom prst="roundRect">
          <a:avLst>
            <a:gd name="adj" fmla="val 0"/>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361951</xdr:colOff>
      <xdr:row>22</xdr:row>
      <xdr:rowOff>104774</xdr:rowOff>
    </xdr:from>
    <xdr:to>
      <xdr:col>6</xdr:col>
      <xdr:colOff>209551</xdr:colOff>
      <xdr:row>32</xdr:row>
      <xdr:rowOff>76199</xdr:rowOff>
    </xdr:to>
    <xdr:sp macro="" textlink="">
      <xdr:nvSpPr>
        <xdr:cNvPr id="26" name="Rectangle: Rounded Corners 25">
          <a:extLst>
            <a:ext uri="{FF2B5EF4-FFF2-40B4-BE49-F238E27FC236}">
              <a16:creationId xmlns:a16="http://schemas.microsoft.com/office/drawing/2014/main" id="{D032AA8E-B63D-428C-ADDA-973CF5F95926}"/>
            </a:ext>
          </a:extLst>
        </xdr:cNvPr>
        <xdr:cNvSpPr/>
      </xdr:nvSpPr>
      <xdr:spPr>
        <a:xfrm>
          <a:off x="971551" y="4295774"/>
          <a:ext cx="2895600" cy="1876425"/>
        </a:xfrm>
        <a:prstGeom prst="roundRect">
          <a:avLst>
            <a:gd name="adj" fmla="val 3440"/>
          </a:avLst>
        </a:prstGeom>
        <a:solidFill>
          <a:schemeClr val="accent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xdr:colOff>
      <xdr:row>22</xdr:row>
      <xdr:rowOff>114300</xdr:rowOff>
    </xdr:from>
    <xdr:to>
      <xdr:col>18</xdr:col>
      <xdr:colOff>514349</xdr:colOff>
      <xdr:row>32</xdr:row>
      <xdr:rowOff>66675</xdr:rowOff>
    </xdr:to>
    <xdr:sp macro="" textlink="">
      <xdr:nvSpPr>
        <xdr:cNvPr id="27" name="Rectangle: Rounded Corners 26">
          <a:extLst>
            <a:ext uri="{FF2B5EF4-FFF2-40B4-BE49-F238E27FC236}">
              <a16:creationId xmlns:a16="http://schemas.microsoft.com/office/drawing/2014/main" id="{A5F1D709-3D90-4695-862D-7391D1A1F889}"/>
            </a:ext>
          </a:extLst>
        </xdr:cNvPr>
        <xdr:cNvSpPr/>
      </xdr:nvSpPr>
      <xdr:spPr>
        <a:xfrm>
          <a:off x="8572500" y="4305300"/>
          <a:ext cx="2914649" cy="1857375"/>
        </a:xfrm>
        <a:prstGeom prst="roundRect">
          <a:avLst>
            <a:gd name="adj" fmla="val 4776"/>
          </a:avLst>
        </a:prstGeom>
        <a:solidFill>
          <a:schemeClr val="accent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439882</xdr:colOff>
      <xdr:row>13</xdr:row>
      <xdr:rowOff>149086</xdr:rowOff>
    </xdr:from>
    <xdr:to>
      <xdr:col>6</xdr:col>
      <xdr:colOff>229428</xdr:colOff>
      <xdr:row>22</xdr:row>
      <xdr:rowOff>49695</xdr:rowOff>
    </xdr:to>
    <xdr:graphicFrame macro="">
      <xdr:nvGraphicFramePr>
        <xdr:cNvPr id="28" name="Chart 27">
          <a:extLst>
            <a:ext uri="{FF2B5EF4-FFF2-40B4-BE49-F238E27FC236}">
              <a16:creationId xmlns:a16="http://schemas.microsoft.com/office/drawing/2014/main" id="{66CD9F3C-AED5-4903-A005-9F7E34B08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242681</xdr:colOff>
      <xdr:row>12</xdr:row>
      <xdr:rowOff>159854</xdr:rowOff>
    </xdr:from>
    <xdr:to>
      <xdr:col>5</xdr:col>
      <xdr:colOff>554107</xdr:colOff>
      <xdr:row>13</xdr:row>
      <xdr:rowOff>176420</xdr:rowOff>
    </xdr:to>
    <xdr:sp macro="" textlink="">
      <xdr:nvSpPr>
        <xdr:cNvPr id="10" name="TextBox 9">
          <a:extLst>
            <a:ext uri="{FF2B5EF4-FFF2-40B4-BE49-F238E27FC236}">
              <a16:creationId xmlns:a16="http://schemas.microsoft.com/office/drawing/2014/main" id="{89676B93-C941-4B9A-B71C-88ABADCEAF07}"/>
            </a:ext>
          </a:extLst>
        </xdr:cNvPr>
        <xdr:cNvSpPr txBox="1"/>
      </xdr:nvSpPr>
      <xdr:spPr>
        <a:xfrm>
          <a:off x="1461881" y="2445854"/>
          <a:ext cx="2140226" cy="20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50" b="1">
              <a:solidFill>
                <a:schemeClr val="bg1"/>
              </a:solidFill>
              <a:latin typeface="+mn-lt"/>
              <a:ea typeface="+mn-ea"/>
              <a:cs typeface="+mn-cs"/>
            </a:rPr>
            <a:t>Top 10 Most Used Apps</a:t>
          </a:r>
        </a:p>
      </xdr:txBody>
    </xdr:sp>
    <xdr:clientData/>
  </xdr:twoCellAnchor>
  <xdr:twoCellAnchor>
    <xdr:from>
      <xdr:col>6</xdr:col>
      <xdr:colOff>222250</xdr:colOff>
      <xdr:row>13</xdr:row>
      <xdr:rowOff>180975</xdr:rowOff>
    </xdr:from>
    <xdr:to>
      <xdr:col>11</xdr:col>
      <xdr:colOff>25399</xdr:colOff>
      <xdr:row>23</xdr:row>
      <xdr:rowOff>9525</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B5715A1C-B294-443F-8717-90D385C46D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879850" y="2657475"/>
              <a:ext cx="2851149" cy="17335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219075</xdr:colOff>
      <xdr:row>12</xdr:row>
      <xdr:rowOff>171449</xdr:rowOff>
    </xdr:from>
    <xdr:to>
      <xdr:col>18</xdr:col>
      <xdr:colOff>180975</xdr:colOff>
      <xdr:row>14</xdr:row>
      <xdr:rowOff>47625</xdr:rowOff>
    </xdr:to>
    <xdr:sp macro="" textlink="">
      <xdr:nvSpPr>
        <xdr:cNvPr id="12" name="TextBox 11">
          <a:extLst>
            <a:ext uri="{FF2B5EF4-FFF2-40B4-BE49-F238E27FC236}">
              <a16:creationId xmlns:a16="http://schemas.microsoft.com/office/drawing/2014/main" id="{24FFC645-1605-4F68-8ACD-676A39927409}"/>
            </a:ext>
          </a:extLst>
        </xdr:cNvPr>
        <xdr:cNvSpPr txBox="1"/>
      </xdr:nvSpPr>
      <xdr:spPr>
        <a:xfrm>
          <a:off x="8753475" y="2457449"/>
          <a:ext cx="24003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50" b="1">
              <a:solidFill>
                <a:schemeClr val="bg1"/>
              </a:solidFill>
              <a:latin typeface="+mn-lt"/>
              <a:ea typeface="+mn-ea"/>
              <a:cs typeface="+mn-cs"/>
            </a:rPr>
            <a:t>Most Rated Apps</a:t>
          </a:r>
        </a:p>
      </xdr:txBody>
    </xdr:sp>
    <xdr:clientData/>
  </xdr:twoCellAnchor>
  <xdr:twoCellAnchor>
    <xdr:from>
      <xdr:col>6</xdr:col>
      <xdr:colOff>342900</xdr:colOff>
      <xdr:row>12</xdr:row>
      <xdr:rowOff>159807</xdr:rowOff>
    </xdr:from>
    <xdr:to>
      <xdr:col>10</xdr:col>
      <xdr:colOff>285749</xdr:colOff>
      <xdr:row>14</xdr:row>
      <xdr:rowOff>16932</xdr:rowOff>
    </xdr:to>
    <xdr:sp macro="" textlink="">
      <xdr:nvSpPr>
        <xdr:cNvPr id="14" name="TextBox 13">
          <a:extLst>
            <a:ext uri="{FF2B5EF4-FFF2-40B4-BE49-F238E27FC236}">
              <a16:creationId xmlns:a16="http://schemas.microsoft.com/office/drawing/2014/main" id="{FDDD6523-5116-4070-8B9F-C31109FFF95A}"/>
            </a:ext>
          </a:extLst>
        </xdr:cNvPr>
        <xdr:cNvSpPr txBox="1"/>
      </xdr:nvSpPr>
      <xdr:spPr>
        <a:xfrm>
          <a:off x="4000500" y="2445807"/>
          <a:ext cx="238124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50" b="1">
              <a:solidFill>
                <a:schemeClr val="bg1"/>
              </a:solidFill>
              <a:latin typeface="+mn-lt"/>
              <a:ea typeface="+mn-ea"/>
              <a:cs typeface="+mn-cs"/>
            </a:rPr>
            <a:t>Most Used App by Age Class</a:t>
          </a:r>
        </a:p>
      </xdr:txBody>
    </xdr:sp>
    <xdr:clientData/>
  </xdr:twoCellAnchor>
  <xdr:twoCellAnchor>
    <xdr:from>
      <xdr:col>14</xdr:col>
      <xdr:colOff>35378</xdr:colOff>
      <xdr:row>13</xdr:row>
      <xdr:rowOff>133350</xdr:rowOff>
    </xdr:from>
    <xdr:to>
      <xdr:col>18</xdr:col>
      <xdr:colOff>508906</xdr:colOff>
      <xdr:row>22</xdr:row>
      <xdr:rowOff>85725</xdr:rowOff>
    </xdr:to>
    <xdr:graphicFrame macro="">
      <xdr:nvGraphicFramePr>
        <xdr:cNvPr id="32" name="Chart 31">
          <a:extLst>
            <a:ext uri="{FF2B5EF4-FFF2-40B4-BE49-F238E27FC236}">
              <a16:creationId xmlns:a16="http://schemas.microsoft.com/office/drawing/2014/main" id="{95D59990-37DB-483D-A758-5F56A66BB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314325</xdr:colOff>
      <xdr:row>24</xdr:row>
      <xdr:rowOff>9525</xdr:rowOff>
    </xdr:from>
    <xdr:to>
      <xdr:col>10</xdr:col>
      <xdr:colOff>571500</xdr:colOff>
      <xdr:row>32</xdr:row>
      <xdr:rowOff>47625</xdr:rowOff>
    </xdr:to>
    <xdr:graphicFrame macro="">
      <xdr:nvGraphicFramePr>
        <xdr:cNvPr id="33" name="Chart 32">
          <a:extLst>
            <a:ext uri="{FF2B5EF4-FFF2-40B4-BE49-F238E27FC236}">
              <a16:creationId xmlns:a16="http://schemas.microsoft.com/office/drawing/2014/main" id="{1F93301F-BDB1-4BFA-8A84-A2FD89AE8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590550</xdr:colOff>
      <xdr:row>22</xdr:row>
      <xdr:rowOff>185736</xdr:rowOff>
    </xdr:from>
    <xdr:to>
      <xdr:col>10</xdr:col>
      <xdr:colOff>19050</xdr:colOff>
      <xdr:row>24</xdr:row>
      <xdr:rowOff>33336</xdr:rowOff>
    </xdr:to>
    <xdr:sp macro="" textlink="">
      <xdr:nvSpPr>
        <xdr:cNvPr id="15" name="TextBox 14">
          <a:extLst>
            <a:ext uri="{FF2B5EF4-FFF2-40B4-BE49-F238E27FC236}">
              <a16:creationId xmlns:a16="http://schemas.microsoft.com/office/drawing/2014/main" id="{157C5D73-C666-4262-81D0-21846F445905}"/>
            </a:ext>
          </a:extLst>
        </xdr:cNvPr>
        <xdr:cNvSpPr txBox="1"/>
      </xdr:nvSpPr>
      <xdr:spPr>
        <a:xfrm>
          <a:off x="4233863" y="4376736"/>
          <a:ext cx="1857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lgn="ctr"/>
          <a:r>
            <a:rPr lang="en-US" sz="1050" b="1">
              <a:solidFill>
                <a:schemeClr val="bg1"/>
              </a:solidFill>
              <a:latin typeface="+mn-lt"/>
              <a:ea typeface="+mn-ea"/>
              <a:cs typeface="+mn-cs"/>
            </a:rPr>
            <a:t>        Reviews by Year</a:t>
          </a:r>
        </a:p>
      </xdr:txBody>
    </xdr:sp>
    <xdr:clientData/>
  </xdr:twoCellAnchor>
  <xdr:twoCellAnchor>
    <xdr:from>
      <xdr:col>1</xdr:col>
      <xdr:colOff>361949</xdr:colOff>
      <xdr:row>23</xdr:row>
      <xdr:rowOff>161925</xdr:rowOff>
    </xdr:from>
    <xdr:to>
      <xdr:col>6</xdr:col>
      <xdr:colOff>171450</xdr:colOff>
      <xdr:row>32</xdr:row>
      <xdr:rowOff>66675</xdr:rowOff>
    </xdr:to>
    <mc:AlternateContent xmlns:mc="http://schemas.openxmlformats.org/markup-compatibility/2006">
      <mc:Choice xmlns:cx2="http://schemas.microsoft.com/office/drawing/2015/10/21/chartex" Requires="cx2">
        <xdr:graphicFrame macro="">
          <xdr:nvGraphicFramePr>
            <xdr:cNvPr id="34" name="Chart 33">
              <a:extLst>
                <a:ext uri="{FF2B5EF4-FFF2-40B4-BE49-F238E27FC236}">
                  <a16:creationId xmlns:a16="http://schemas.microsoft.com/office/drawing/2014/main" id="{C9D24CB5-C0A7-4D8F-9BA7-896981580B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71549" y="4543425"/>
              <a:ext cx="2857501" cy="16192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152400</xdr:colOff>
      <xdr:row>22</xdr:row>
      <xdr:rowOff>114301</xdr:rowOff>
    </xdr:from>
    <xdr:to>
      <xdr:col>5</xdr:col>
      <xdr:colOff>390525</xdr:colOff>
      <xdr:row>23</xdr:row>
      <xdr:rowOff>133351</xdr:rowOff>
    </xdr:to>
    <xdr:sp macro="" textlink="">
      <xdr:nvSpPr>
        <xdr:cNvPr id="16" name="TextBox 15">
          <a:extLst>
            <a:ext uri="{FF2B5EF4-FFF2-40B4-BE49-F238E27FC236}">
              <a16:creationId xmlns:a16="http://schemas.microsoft.com/office/drawing/2014/main" id="{EFA9EB74-7874-4AA7-BB40-7A8B85D4B2FD}"/>
            </a:ext>
          </a:extLst>
        </xdr:cNvPr>
        <xdr:cNvSpPr txBox="1"/>
      </xdr:nvSpPr>
      <xdr:spPr>
        <a:xfrm>
          <a:off x="1371600" y="4305301"/>
          <a:ext cx="20669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App Usage by Top 3 Countries</a:t>
          </a:r>
        </a:p>
        <a:p>
          <a:pPr algn="ctr"/>
          <a:endParaRPr lang="en-US" sz="1050" b="1">
            <a:solidFill>
              <a:schemeClr val="bg1"/>
            </a:solidFill>
          </a:endParaRPr>
        </a:p>
      </xdr:txBody>
    </xdr:sp>
    <xdr:clientData/>
  </xdr:twoCellAnchor>
  <xdr:twoCellAnchor>
    <xdr:from>
      <xdr:col>14</xdr:col>
      <xdr:colOff>295276</xdr:colOff>
      <xdr:row>22</xdr:row>
      <xdr:rowOff>142875</xdr:rowOff>
    </xdr:from>
    <xdr:to>
      <xdr:col>18</xdr:col>
      <xdr:colOff>95250</xdr:colOff>
      <xdr:row>23</xdr:row>
      <xdr:rowOff>180975</xdr:rowOff>
    </xdr:to>
    <xdr:sp macro="" textlink="">
      <xdr:nvSpPr>
        <xdr:cNvPr id="36" name="TextBox 35">
          <a:extLst>
            <a:ext uri="{FF2B5EF4-FFF2-40B4-BE49-F238E27FC236}">
              <a16:creationId xmlns:a16="http://schemas.microsoft.com/office/drawing/2014/main" id="{D06B2A99-709C-4648-B148-4C41C7ECE931}"/>
            </a:ext>
          </a:extLst>
        </xdr:cNvPr>
        <xdr:cNvSpPr txBox="1"/>
      </xdr:nvSpPr>
      <xdr:spPr>
        <a:xfrm>
          <a:off x="8829676" y="4333875"/>
          <a:ext cx="223837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50" b="1">
              <a:solidFill>
                <a:schemeClr val="bg1"/>
              </a:solidFill>
              <a:latin typeface="+mn-lt"/>
              <a:ea typeface="+mn-ea"/>
              <a:cs typeface="+mn-cs"/>
            </a:rPr>
            <a:t>Top 3 App Category</a:t>
          </a:r>
        </a:p>
      </xdr:txBody>
    </xdr:sp>
    <xdr:clientData/>
  </xdr:twoCellAnchor>
  <xdr:twoCellAnchor editAs="oneCell">
    <xdr:from>
      <xdr:col>11</xdr:col>
      <xdr:colOff>99330</xdr:colOff>
      <xdr:row>12</xdr:row>
      <xdr:rowOff>149677</xdr:rowOff>
    </xdr:from>
    <xdr:to>
      <xdr:col>13</xdr:col>
      <xdr:colOff>572861</xdr:colOff>
      <xdr:row>21</xdr:row>
      <xdr:rowOff>40821</xdr:rowOff>
    </xdr:to>
    <mc:AlternateContent xmlns:mc="http://schemas.openxmlformats.org/markup-compatibility/2006" xmlns:a14="http://schemas.microsoft.com/office/drawing/2010/main">
      <mc:Choice Requires="a14">
        <xdr:graphicFrame macro="">
          <xdr:nvGraphicFramePr>
            <xdr:cNvPr id="37" name="Review Year 1">
              <a:extLst>
                <a:ext uri="{FF2B5EF4-FFF2-40B4-BE49-F238E27FC236}">
                  <a16:creationId xmlns:a16="http://schemas.microsoft.com/office/drawing/2014/main" id="{39EAF49A-3AD7-4072-B468-CC561EADC148}"/>
                </a:ext>
              </a:extLst>
            </xdr:cNvPr>
            <xdr:cNvGraphicFramePr/>
          </xdr:nvGraphicFramePr>
          <xdr:xfrm>
            <a:off x="0" y="0"/>
            <a:ext cx="0" cy="0"/>
          </xdr:xfrm>
          <a:graphic>
            <a:graphicData uri="http://schemas.microsoft.com/office/drawing/2010/slicer">
              <sle:slicer xmlns:sle="http://schemas.microsoft.com/office/drawing/2010/slicer" name="Review Year 1"/>
            </a:graphicData>
          </a:graphic>
        </xdr:graphicFrame>
      </mc:Choice>
      <mc:Fallback xmlns="">
        <xdr:sp macro="" textlink="">
          <xdr:nvSpPr>
            <xdr:cNvPr id="0" name=""/>
            <xdr:cNvSpPr>
              <a:spLocks noTextEdit="1"/>
            </xdr:cNvSpPr>
          </xdr:nvSpPr>
          <xdr:spPr>
            <a:xfrm>
              <a:off x="6778736" y="2435677"/>
              <a:ext cx="1687969" cy="16056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100692</xdr:colOff>
      <xdr:row>21</xdr:row>
      <xdr:rowOff>95251</xdr:rowOff>
    </xdr:from>
    <xdr:to>
      <xdr:col>13</xdr:col>
      <xdr:colOff>572861</xdr:colOff>
      <xdr:row>32</xdr:row>
      <xdr:rowOff>40820</xdr:rowOff>
    </xdr:to>
    <mc:AlternateContent xmlns:mc="http://schemas.openxmlformats.org/markup-compatibility/2006" xmlns:a14="http://schemas.microsoft.com/office/drawing/2010/main">
      <mc:Choice Requires="a14">
        <xdr:graphicFrame macro="">
          <xdr:nvGraphicFramePr>
            <xdr:cNvPr id="38" name="Rating Category 1">
              <a:extLst>
                <a:ext uri="{FF2B5EF4-FFF2-40B4-BE49-F238E27FC236}">
                  <a16:creationId xmlns:a16="http://schemas.microsoft.com/office/drawing/2014/main" id="{3D2FA276-AB3A-47F1-943D-035345891081}"/>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6780098" y="4095751"/>
              <a:ext cx="1686607" cy="20410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424296</xdr:colOff>
      <xdr:row>9</xdr:row>
      <xdr:rowOff>25113</xdr:rowOff>
    </xdr:from>
    <xdr:to>
      <xdr:col>5</xdr:col>
      <xdr:colOff>181842</xdr:colOff>
      <xdr:row>11</xdr:row>
      <xdr:rowOff>51091</xdr:rowOff>
    </xdr:to>
    <xdr:sp macro="" textlink="'App Usage by Gender'!N3">
      <xdr:nvSpPr>
        <xdr:cNvPr id="29" name="TextBox 28">
          <a:extLst>
            <a:ext uri="{FF2B5EF4-FFF2-40B4-BE49-F238E27FC236}">
              <a16:creationId xmlns:a16="http://schemas.microsoft.com/office/drawing/2014/main" id="{2805097E-3785-3A9E-2A85-5E9C78FC5F39}"/>
            </a:ext>
          </a:extLst>
        </xdr:cNvPr>
        <xdr:cNvSpPr txBox="1"/>
      </xdr:nvSpPr>
      <xdr:spPr>
        <a:xfrm>
          <a:off x="2253096" y="1739613"/>
          <a:ext cx="976746" cy="40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C9B0F-411A-48EA-88EB-383A8FD71426}" type="TxLink">
            <a:rPr lang="en-US" sz="2000" b="1" i="0" u="none" strike="noStrike">
              <a:solidFill>
                <a:schemeClr val="bg1"/>
              </a:solidFill>
              <a:latin typeface="Raleway Regular"/>
              <a:ea typeface="Calibri"/>
              <a:cs typeface="Calibri"/>
            </a:rPr>
            <a:pPr algn="ctr"/>
            <a:t>941</a:t>
          </a:fld>
          <a:endParaRPr lang="en-GB" sz="2000" b="1">
            <a:solidFill>
              <a:schemeClr val="bg1"/>
            </a:solidFill>
            <a:latin typeface="Raleway Regular"/>
          </a:endParaRPr>
        </a:p>
      </xdr:txBody>
    </xdr:sp>
    <xdr:clientData/>
  </xdr:twoCellAnchor>
  <xdr:twoCellAnchor>
    <xdr:from>
      <xdr:col>17</xdr:col>
      <xdr:colOff>132485</xdr:colOff>
      <xdr:row>9</xdr:row>
      <xdr:rowOff>68407</xdr:rowOff>
    </xdr:from>
    <xdr:to>
      <xdr:col>18</xdr:col>
      <xdr:colOff>141145</xdr:colOff>
      <xdr:row>11</xdr:row>
      <xdr:rowOff>25110</xdr:rowOff>
    </xdr:to>
    <xdr:sp macro="" textlink="'App Usage by Gender'!J5">
      <xdr:nvSpPr>
        <xdr:cNvPr id="41" name="TextBox 40">
          <a:extLst>
            <a:ext uri="{FF2B5EF4-FFF2-40B4-BE49-F238E27FC236}">
              <a16:creationId xmlns:a16="http://schemas.microsoft.com/office/drawing/2014/main" id="{65626CE7-E00A-0397-ABA1-19E94E011E60}"/>
            </a:ext>
          </a:extLst>
        </xdr:cNvPr>
        <xdr:cNvSpPr txBox="1"/>
      </xdr:nvSpPr>
      <xdr:spPr>
        <a:xfrm>
          <a:off x="10495685" y="1782907"/>
          <a:ext cx="618260" cy="337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13EAA6-8361-4B0C-AA0A-761FEBEA2364}" type="TxLink">
            <a:rPr lang="en-US" sz="2000" b="1" i="0" u="none" strike="noStrike">
              <a:solidFill>
                <a:schemeClr val="bg1"/>
              </a:solidFill>
              <a:latin typeface="Raleway Regular"/>
              <a:ea typeface="Calibri"/>
              <a:cs typeface="Calibri"/>
            </a:rPr>
            <a:pPr marL="0" indent="0" algn="ctr"/>
            <a:t>39</a:t>
          </a:fld>
          <a:endParaRPr lang="en-GB" sz="2000" b="1" i="0" u="none" strike="noStrike">
            <a:solidFill>
              <a:schemeClr val="bg1"/>
            </a:solidFill>
            <a:latin typeface="Raleway Regular"/>
            <a:ea typeface="Calibri"/>
            <a:cs typeface="Calibri"/>
          </a:endParaRPr>
        </a:p>
      </xdr:txBody>
    </xdr:sp>
    <xdr:clientData/>
  </xdr:twoCellAnchor>
  <xdr:twoCellAnchor>
    <xdr:from>
      <xdr:col>14</xdr:col>
      <xdr:colOff>238125</xdr:colOff>
      <xdr:row>2</xdr:row>
      <xdr:rowOff>180974</xdr:rowOff>
    </xdr:from>
    <xdr:to>
      <xdr:col>16</xdr:col>
      <xdr:colOff>400051</xdr:colOff>
      <xdr:row>4</xdr:row>
      <xdr:rowOff>57149</xdr:rowOff>
    </xdr:to>
    <xdr:sp macro="" textlink="">
      <xdr:nvSpPr>
        <xdr:cNvPr id="42" name="TextBox 41">
          <a:extLst>
            <a:ext uri="{FF2B5EF4-FFF2-40B4-BE49-F238E27FC236}">
              <a16:creationId xmlns:a16="http://schemas.microsoft.com/office/drawing/2014/main" id="{CEAAAD9C-1F5E-476C-8525-7D80DA68D1A7}"/>
            </a:ext>
          </a:extLst>
        </xdr:cNvPr>
        <xdr:cNvSpPr txBox="1"/>
      </xdr:nvSpPr>
      <xdr:spPr>
        <a:xfrm>
          <a:off x="8772525" y="561974"/>
          <a:ext cx="13811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gradFill>
                <a:gsLst>
                  <a:gs pos="0">
                    <a:srgbClr val="40E6EE"/>
                  </a:gs>
                  <a:gs pos="100000">
                    <a:schemeClr val="bg1"/>
                  </a:gs>
                </a:gsLst>
                <a:lin ang="5400000" scaled="1"/>
              </a:gradFill>
              <a:latin typeface="Raleway Regular"/>
              <a:ea typeface="+mn-ea"/>
              <a:cs typeface="+mn-cs"/>
            </a:rPr>
            <a:t>Number</a:t>
          </a:r>
          <a:r>
            <a:rPr lang="en-US" sz="1200" b="1" baseline="0">
              <a:gradFill>
                <a:gsLst>
                  <a:gs pos="0">
                    <a:srgbClr val="40E6EE"/>
                  </a:gs>
                  <a:gs pos="100000">
                    <a:schemeClr val="bg1"/>
                  </a:gs>
                </a:gsLst>
                <a:lin ang="5400000" scaled="1"/>
              </a:gradFill>
              <a:latin typeface="Raleway Regular"/>
              <a:ea typeface="+mn-ea"/>
              <a:cs typeface="+mn-cs"/>
            </a:rPr>
            <a:t> of Apps</a:t>
          </a:r>
          <a:endParaRPr lang="en-US" sz="1200" b="1">
            <a:gradFill>
              <a:gsLst>
                <a:gs pos="0">
                  <a:srgbClr val="40E6EE"/>
                </a:gs>
                <a:gs pos="100000">
                  <a:schemeClr val="bg1"/>
                </a:gs>
              </a:gsLst>
              <a:lin ang="5400000" scaled="1"/>
            </a:gradFill>
            <a:latin typeface="Raleway Regular"/>
            <a:ea typeface="+mn-ea"/>
            <a:cs typeface="+mn-cs"/>
          </a:endParaRPr>
        </a:p>
      </xdr:txBody>
    </xdr:sp>
    <xdr:clientData/>
  </xdr:twoCellAnchor>
  <xdr:twoCellAnchor>
    <xdr:from>
      <xdr:col>16</xdr:col>
      <xdr:colOff>295275</xdr:colOff>
      <xdr:row>2</xdr:row>
      <xdr:rowOff>161924</xdr:rowOff>
    </xdr:from>
    <xdr:to>
      <xdr:col>17</xdr:col>
      <xdr:colOff>228600</xdr:colOff>
      <xdr:row>4</xdr:row>
      <xdr:rowOff>76200</xdr:rowOff>
    </xdr:to>
    <xdr:sp macro="" textlink="'Unique Count of Apps'!C3">
      <xdr:nvSpPr>
        <xdr:cNvPr id="43" name="TextBox 42">
          <a:extLst>
            <a:ext uri="{FF2B5EF4-FFF2-40B4-BE49-F238E27FC236}">
              <a16:creationId xmlns:a16="http://schemas.microsoft.com/office/drawing/2014/main" id="{DB0D4187-E9B8-4F45-BC8E-D07A8148E2CD}"/>
            </a:ext>
          </a:extLst>
        </xdr:cNvPr>
        <xdr:cNvSpPr txBox="1"/>
      </xdr:nvSpPr>
      <xdr:spPr>
        <a:xfrm>
          <a:off x="10048875" y="542924"/>
          <a:ext cx="542925"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38DA356-5C4B-4795-BC57-2454E1572000}" type="TxLink">
            <a:rPr lang="en-US" sz="2000" b="1" i="0" u="none" strike="noStrike">
              <a:gradFill flip="none" rotWithShape="1">
                <a:gsLst>
                  <a:gs pos="0">
                    <a:schemeClr val="bg2"/>
                  </a:gs>
                  <a:gs pos="100000">
                    <a:srgbClr val="FF0000"/>
                  </a:gs>
                </a:gsLst>
                <a:path path="circle">
                  <a:fillToRect l="50000" t="50000" r="50000" b="50000"/>
                </a:path>
                <a:tileRect/>
              </a:gradFill>
              <a:latin typeface="Raleway Regular"/>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41</a:t>
          </a:fld>
          <a:endParaRPr lang="en-US" sz="2000" b="1" i="0" u="none" strike="noStrike">
            <a:gradFill flip="none" rotWithShape="1">
              <a:gsLst>
                <a:gs pos="0">
                  <a:schemeClr val="bg2"/>
                </a:gs>
                <a:gs pos="100000">
                  <a:srgbClr val="FF0000"/>
                </a:gs>
              </a:gsLst>
              <a:path path="circle">
                <a:fillToRect l="50000" t="50000" r="50000" b="50000"/>
              </a:path>
              <a:tileRect/>
            </a:gradFill>
            <a:latin typeface="Raleway Regular"/>
            <a:ea typeface="Calibri"/>
            <a:cs typeface="Calibri"/>
          </a:endParaRPr>
        </a:p>
      </xdr:txBody>
    </xdr:sp>
    <xdr:clientData/>
  </xdr:twoCellAnchor>
  <xdr:twoCellAnchor>
    <xdr:from>
      <xdr:col>8</xdr:col>
      <xdr:colOff>209550</xdr:colOff>
      <xdr:row>8</xdr:row>
      <xdr:rowOff>66675</xdr:rowOff>
    </xdr:from>
    <xdr:to>
      <xdr:col>9</xdr:col>
      <xdr:colOff>400050</xdr:colOff>
      <xdr:row>11</xdr:row>
      <xdr:rowOff>180975</xdr:rowOff>
    </xdr:to>
    <xdr:graphicFrame macro="">
      <xdr:nvGraphicFramePr>
        <xdr:cNvPr id="44" name="Chart 43">
          <a:extLst>
            <a:ext uri="{FF2B5EF4-FFF2-40B4-BE49-F238E27FC236}">
              <a16:creationId xmlns:a16="http://schemas.microsoft.com/office/drawing/2014/main" id="{12D66402-F626-4BBB-AE8E-773206693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504825</xdr:colOff>
      <xdr:row>8</xdr:row>
      <xdr:rowOff>76200</xdr:rowOff>
    </xdr:from>
    <xdr:to>
      <xdr:col>14</xdr:col>
      <xdr:colOff>85725</xdr:colOff>
      <xdr:row>12</xdr:row>
      <xdr:rowOff>0</xdr:rowOff>
    </xdr:to>
    <xdr:graphicFrame macro="">
      <xdr:nvGraphicFramePr>
        <xdr:cNvPr id="45" name="Chart 44">
          <a:extLst>
            <a:ext uri="{FF2B5EF4-FFF2-40B4-BE49-F238E27FC236}">
              <a16:creationId xmlns:a16="http://schemas.microsoft.com/office/drawing/2014/main" id="{8E9F5506-894B-82BA-95F9-5047596F7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342901</xdr:colOff>
      <xdr:row>9</xdr:row>
      <xdr:rowOff>106507</xdr:rowOff>
    </xdr:from>
    <xdr:to>
      <xdr:col>9</xdr:col>
      <xdr:colOff>304801</xdr:colOff>
      <xdr:row>10</xdr:row>
      <xdr:rowOff>171450</xdr:rowOff>
    </xdr:to>
    <xdr:sp macro="" textlink="'App Usage by Gender'!$N$8">
      <xdr:nvSpPr>
        <xdr:cNvPr id="46" name="TextBox 45">
          <a:extLst>
            <a:ext uri="{FF2B5EF4-FFF2-40B4-BE49-F238E27FC236}">
              <a16:creationId xmlns:a16="http://schemas.microsoft.com/office/drawing/2014/main" id="{05A5C060-2A3A-4CA5-8CA0-35B0EC01A884}"/>
            </a:ext>
          </a:extLst>
        </xdr:cNvPr>
        <xdr:cNvSpPr txBox="1"/>
      </xdr:nvSpPr>
      <xdr:spPr>
        <a:xfrm>
          <a:off x="5219701" y="1821007"/>
          <a:ext cx="571500" cy="255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98D52C-C21A-4D67-B27C-FAD347B28AB6}" type="TxLink">
            <a:rPr lang="en-US" sz="900" b="1" i="0" u="none" strike="noStrike">
              <a:solidFill>
                <a:schemeClr val="bg1"/>
              </a:solidFill>
              <a:latin typeface="Raleway Regular"/>
              <a:ea typeface="Calibri"/>
              <a:cs typeface="Calibri"/>
            </a:rPr>
            <a:pPr marL="0" indent="0" algn="ctr"/>
            <a:t>49.8%</a:t>
          </a:fld>
          <a:endParaRPr lang="en-GB" sz="900" b="1" i="0" u="none" strike="noStrike">
            <a:solidFill>
              <a:schemeClr val="bg1"/>
            </a:solidFill>
            <a:latin typeface="Raleway Regular"/>
            <a:ea typeface="Calibri"/>
            <a:cs typeface="Calibri"/>
          </a:endParaRPr>
        </a:p>
      </xdr:txBody>
    </xdr:sp>
    <xdr:clientData/>
  </xdr:twoCellAnchor>
  <xdr:twoCellAnchor>
    <xdr:from>
      <xdr:col>13</xdr:col>
      <xdr:colOff>47624</xdr:colOff>
      <xdr:row>9</xdr:row>
      <xdr:rowOff>116032</xdr:rowOff>
    </xdr:from>
    <xdr:to>
      <xdr:col>14</xdr:col>
      <xdr:colOff>9525</xdr:colOff>
      <xdr:row>11</xdr:row>
      <xdr:rowOff>9525</xdr:rowOff>
    </xdr:to>
    <xdr:sp macro="" textlink="'App Usage by Gender'!$N$9">
      <xdr:nvSpPr>
        <xdr:cNvPr id="47" name="TextBox 46">
          <a:extLst>
            <a:ext uri="{FF2B5EF4-FFF2-40B4-BE49-F238E27FC236}">
              <a16:creationId xmlns:a16="http://schemas.microsoft.com/office/drawing/2014/main" id="{5B7253FB-B1F6-417C-883D-F2E81FFE8924}"/>
            </a:ext>
          </a:extLst>
        </xdr:cNvPr>
        <xdr:cNvSpPr txBox="1"/>
      </xdr:nvSpPr>
      <xdr:spPr>
        <a:xfrm>
          <a:off x="7972424" y="1830532"/>
          <a:ext cx="571501" cy="274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679A37-EFE5-400F-9F25-0129EEF9BCF6}" type="TxLink">
            <a:rPr lang="en-US" sz="900" b="1" i="0" u="none" strike="noStrike">
              <a:solidFill>
                <a:schemeClr val="bg1"/>
              </a:solidFill>
              <a:latin typeface="Raleway Regular"/>
              <a:ea typeface="Calibri"/>
              <a:cs typeface="Calibri"/>
            </a:rPr>
            <a:pPr marL="0" indent="0" algn="ctr"/>
            <a:t>50.2%</a:t>
          </a:fld>
          <a:endParaRPr lang="en-GB" sz="900" b="1" i="0" u="none" strike="noStrike">
            <a:solidFill>
              <a:schemeClr val="bg1"/>
            </a:solidFill>
            <a:latin typeface="Raleway Regular"/>
            <a:ea typeface="Calibri"/>
            <a:cs typeface="Calibri"/>
          </a:endParaRPr>
        </a:p>
      </xdr:txBody>
    </xdr:sp>
    <xdr:clientData/>
  </xdr:twoCellAnchor>
  <xdr:twoCellAnchor>
    <xdr:from>
      <xdr:col>6</xdr:col>
      <xdr:colOff>274494</xdr:colOff>
      <xdr:row>9</xdr:row>
      <xdr:rowOff>28574</xdr:rowOff>
    </xdr:from>
    <xdr:to>
      <xdr:col>7</xdr:col>
      <xdr:colOff>542925</xdr:colOff>
      <xdr:row>11</xdr:row>
      <xdr:rowOff>22515</xdr:rowOff>
    </xdr:to>
    <xdr:sp macro="" textlink="'App Usage by Gender'!$M$8">
      <xdr:nvSpPr>
        <xdr:cNvPr id="48" name="TextBox 47">
          <a:extLst>
            <a:ext uri="{FF2B5EF4-FFF2-40B4-BE49-F238E27FC236}">
              <a16:creationId xmlns:a16="http://schemas.microsoft.com/office/drawing/2014/main" id="{17E99C70-8F2F-4E42-A8DF-EF10E613CF0F}"/>
            </a:ext>
          </a:extLst>
        </xdr:cNvPr>
        <xdr:cNvSpPr txBox="1"/>
      </xdr:nvSpPr>
      <xdr:spPr>
        <a:xfrm>
          <a:off x="3932094" y="1743074"/>
          <a:ext cx="878031" cy="374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772803-E1C0-45A8-8C2F-12914DFB3EC1}" type="TxLink">
            <a:rPr lang="en-US" sz="2000" b="1" i="0" u="none" strike="noStrike">
              <a:solidFill>
                <a:schemeClr val="bg1"/>
              </a:solidFill>
              <a:latin typeface="Raleway Regular"/>
              <a:ea typeface="Calibri"/>
              <a:cs typeface="Calibri"/>
            </a:rPr>
            <a:pPr marL="0" indent="0" algn="ctr"/>
            <a:t>469</a:t>
          </a:fld>
          <a:endParaRPr lang="en-GB" sz="2000" b="1" i="0" u="none" strike="noStrike">
            <a:solidFill>
              <a:schemeClr val="bg1"/>
            </a:solidFill>
            <a:latin typeface="Raleway Regular"/>
            <a:ea typeface="Calibri"/>
            <a:cs typeface="Calibri"/>
          </a:endParaRPr>
        </a:p>
      </xdr:txBody>
    </xdr:sp>
    <xdr:clientData/>
  </xdr:twoCellAnchor>
  <xdr:twoCellAnchor>
    <xdr:from>
      <xdr:col>11</xdr:col>
      <xdr:colOff>36369</xdr:colOff>
      <xdr:row>9</xdr:row>
      <xdr:rowOff>38100</xdr:rowOff>
    </xdr:from>
    <xdr:to>
      <xdr:col>12</xdr:col>
      <xdr:colOff>161925</xdr:colOff>
      <xdr:row>11</xdr:row>
      <xdr:rowOff>28575</xdr:rowOff>
    </xdr:to>
    <xdr:sp macro="" textlink="'App Usage by Gender'!$M$9">
      <xdr:nvSpPr>
        <xdr:cNvPr id="49" name="TextBox 48">
          <a:extLst>
            <a:ext uri="{FF2B5EF4-FFF2-40B4-BE49-F238E27FC236}">
              <a16:creationId xmlns:a16="http://schemas.microsoft.com/office/drawing/2014/main" id="{9EE153F8-7F9E-4531-9229-1141B19632C0}"/>
            </a:ext>
          </a:extLst>
        </xdr:cNvPr>
        <xdr:cNvSpPr txBox="1"/>
      </xdr:nvSpPr>
      <xdr:spPr>
        <a:xfrm>
          <a:off x="6741969" y="1752600"/>
          <a:ext cx="73515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195A8C4-4A9F-48B9-A959-45697F17A6E5}" type="TxLink">
            <a:rPr lang="en-US" sz="2000" b="1" i="0" u="none" strike="noStrike">
              <a:solidFill>
                <a:schemeClr val="bg1"/>
              </a:solidFill>
              <a:latin typeface="Raleway Regular"/>
              <a:ea typeface="Calibri"/>
              <a:cs typeface="Calibri"/>
            </a:rPr>
            <a:pPr marL="0" indent="0" algn="ctr"/>
            <a:t>472</a:t>
          </a:fld>
          <a:endParaRPr lang="en-GB" sz="2000" b="1" i="0" u="none" strike="noStrike">
            <a:solidFill>
              <a:schemeClr val="bg1"/>
            </a:solidFill>
            <a:latin typeface="Raleway Regular"/>
            <a:ea typeface="Calibri"/>
            <a:cs typeface="Calibri"/>
          </a:endParaRPr>
        </a:p>
      </xdr:txBody>
    </xdr:sp>
    <xdr:clientData/>
  </xdr:twoCellAnchor>
  <xdr:twoCellAnchor>
    <xdr:from>
      <xdr:col>14</xdr:col>
      <xdr:colOff>47625</xdr:colOff>
      <xdr:row>24</xdr:row>
      <xdr:rowOff>0</xdr:rowOff>
    </xdr:from>
    <xdr:to>
      <xdr:col>18</xdr:col>
      <xdr:colOff>466724</xdr:colOff>
      <xdr:row>31</xdr:row>
      <xdr:rowOff>180975</xdr:rowOff>
    </xdr:to>
    <xdr:graphicFrame macro="">
      <xdr:nvGraphicFramePr>
        <xdr:cNvPr id="51" name="Chart 50">
          <a:extLst>
            <a:ext uri="{FF2B5EF4-FFF2-40B4-BE49-F238E27FC236}">
              <a16:creationId xmlns:a16="http://schemas.microsoft.com/office/drawing/2014/main" id="{01F91655-B339-47E5-B458-F542E508F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ki B" refreshedDate="45947.992223379631" createdVersion="6" refreshedVersion="8" minRefreshableVersion="3" recordCount="941" xr:uid="{54895304-EEC5-416F-A69C-B7227C285A43}">
  <cacheSource type="worksheet">
    <worksheetSource name="Multilingual_Mobilr_App_Reviews_2025"/>
  </cacheSource>
  <cacheFields count="16">
    <cacheField name="User Id" numFmtId="0">
      <sharedItems containsSemiMixedTypes="0" containsString="0" containsNumber="1" containsInteger="1" minValue="100599" maxValue="9994859"/>
    </cacheField>
    <cacheField name="App Name" numFmtId="0">
      <sharedItems count="41">
        <s v="MX Player"/>
        <s v="Tinder"/>
        <s v="Netflix"/>
        <s v="Venmo"/>
        <s v="Coursera"/>
        <s v="Adobe Photoshop"/>
        <s v="eBay"/>
        <s v="Microsoft Office"/>
        <s v="Booking.com"/>
        <s v="Khan Academy"/>
        <s v="Spotify"/>
        <s v="OneDrive"/>
        <s v="Udemy"/>
        <s v="Reddit"/>
        <s v="PayPal"/>
        <s v="VLC"/>
        <s v="Pinterest"/>
        <s v="Signal"/>
        <s v="Airbnb"/>
        <s v="YouTube"/>
        <s v="Canva"/>
        <s v="Grammarly"/>
        <s v="Lyft"/>
        <s v="Telegram"/>
        <s v="Facebook"/>
        <s v="Uber"/>
        <s v="Snapchat"/>
        <s v="Twitter"/>
        <s v="Google Drive"/>
        <s v="Waze"/>
        <s v="Instagram"/>
        <s v="Discord"/>
        <s v="Duolingo"/>
        <s v="Dropbox"/>
        <s v="Google Maps"/>
        <s v="Amazon"/>
        <s v="LinkedIn"/>
        <s v="Bumble"/>
        <s v="TikTok"/>
        <s v="Zoom"/>
        <s v="WhatsApp"/>
      </sharedItems>
    </cacheField>
    <cacheField name="App Category" numFmtId="0">
      <sharedItems count="18">
        <s v="Travel &amp; Local"/>
        <s v="Navigation"/>
        <s v="Dating"/>
        <s v="Productivity"/>
        <s v="Music &amp; Audio"/>
        <s v="Entertainment"/>
        <s v="Communication"/>
        <s v="Video Players &amp; Editors"/>
        <s v="Finance"/>
        <s v="Utilities"/>
        <s v="Education"/>
        <s v="Health &amp; Fitness"/>
        <s v="Social Networking"/>
        <s v="Games"/>
        <s v="Photography"/>
        <s v="News &amp; Magazines"/>
        <s v="Business"/>
        <s v="Shopping"/>
      </sharedItems>
    </cacheField>
    <cacheField name="Rating" numFmtId="0">
      <sharedItems containsSemiMixedTypes="0" containsString="0" containsNumber="1" minValue="1" maxValue="5"/>
    </cacheField>
    <cacheField name="Rating Category" numFmtId="0">
      <sharedItems count="4">
        <s v="Poor"/>
        <s v="Very Good"/>
        <s v="Excellent"/>
        <s v="Good"/>
      </sharedItems>
    </cacheField>
    <cacheField name="Review Date" numFmtId="14">
      <sharedItems containsSemiMixedTypes="0" containsNonDate="0" containsDate="1" containsString="0" minDate="2023-08-01T18:32:00" maxDate="2025-07-30T09:07:00"/>
    </cacheField>
    <cacheField name="Review Day" numFmtId="14">
      <sharedItems count="7">
        <s v="Wednesday"/>
        <s v="Friday"/>
        <s v="Thursday"/>
        <s v="Monday"/>
        <s v="Sunday"/>
        <s v="Tuesday"/>
        <s v="Saturday"/>
      </sharedItems>
    </cacheField>
    <cacheField name="Review Month" numFmtId="14">
      <sharedItems count="12">
        <s v="October"/>
        <s v="June"/>
        <s v="March"/>
        <s v="January"/>
        <s v="November"/>
        <s v="May"/>
        <s v="April"/>
        <s v="December"/>
        <s v="February"/>
        <s v="August"/>
        <s v="September"/>
        <s v="July"/>
      </sharedItems>
    </cacheField>
    <cacheField name="Review Year" numFmtId="14">
      <sharedItems count="3">
        <s v="2024"/>
        <s v="2025"/>
        <s v="2023"/>
      </sharedItems>
    </cacheField>
    <cacheField name="Verified Purchase" numFmtId="0">
      <sharedItems/>
    </cacheField>
    <cacheField name="Device Type" numFmtId="0">
      <sharedItems/>
    </cacheField>
    <cacheField name="Number of Votes" numFmtId="0">
      <sharedItems containsSemiMixedTypes="0" containsString="0" containsNumber="1" containsInteger="1" minValue="0" maxValue="1249"/>
    </cacheField>
    <cacheField name="User Age" numFmtId="0">
      <sharedItems containsSemiMixedTypes="0" containsString="0" containsNumber="1" containsInteger="1" minValue="13" maxValue="75"/>
    </cacheField>
    <cacheField name="Age Class" numFmtId="0">
      <sharedItems count="3">
        <s v="Teenagers"/>
        <s v="Adults"/>
        <s v="Seniors"/>
      </sharedItems>
    </cacheField>
    <cacheField name="User Country" numFmtId="0">
      <sharedItems count="24">
        <s v="China"/>
        <s v="Germany"/>
        <s v="Nigeria"/>
        <s v="India"/>
        <s v="Spain"/>
        <s v="Australia"/>
        <s v="Pakistan"/>
        <s v="Japan"/>
        <s v="Vietnam"/>
        <s v="Thailand"/>
        <s v="Brazil"/>
        <s v="United Kingdom"/>
        <s v="Canada"/>
        <s v="South Korea"/>
        <s v="Philippines"/>
        <s v="Malaysia"/>
        <s v="Bangladesh"/>
        <s v="Indonesia"/>
        <s v="Turkey"/>
        <s v="Mexico"/>
        <s v="United States"/>
        <s v="Italy"/>
        <s v="Russia"/>
        <s v="France"/>
      </sharedItems>
    </cacheField>
    <cacheField name="User Gender" numFmtId="0">
      <sharedItems count="2">
        <s v="Female"/>
        <s v="Male"/>
      </sharedItems>
    </cacheField>
  </cacheFields>
  <extLst>
    <ext xmlns:x14="http://schemas.microsoft.com/office/spreadsheetml/2009/9/main" uri="{725AE2AE-9491-48be-B2B4-4EB974FC3084}">
      <x14:pivotCacheDefinition pivotCacheId="234226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1">
  <r>
    <n v="1967825"/>
    <x v="0"/>
    <x v="0"/>
    <n v="1.3"/>
    <x v="0"/>
    <d v="2024-10-09T19:26:00"/>
    <x v="0"/>
    <x v="0"/>
    <x v="0"/>
    <b v="1"/>
    <s v="Android Tablet"/>
    <n v="65"/>
    <n v="14"/>
    <x v="0"/>
    <x v="0"/>
    <x v="0"/>
  </r>
  <r>
    <n v="9242600"/>
    <x v="1"/>
    <x v="1"/>
    <n v="1.6"/>
    <x v="0"/>
    <d v="2024-06-21T17:29:00"/>
    <x v="1"/>
    <x v="1"/>
    <x v="0"/>
    <b v="1"/>
    <s v="iPad"/>
    <n v="209"/>
    <n v="18"/>
    <x v="1"/>
    <x v="1"/>
    <x v="1"/>
  </r>
  <r>
    <n v="7636477"/>
    <x v="2"/>
    <x v="2"/>
    <n v="3.6"/>
    <x v="1"/>
    <d v="2024-10-31T13:47:00"/>
    <x v="2"/>
    <x v="0"/>
    <x v="0"/>
    <b v="1"/>
    <s v="iPad"/>
    <n v="163"/>
    <n v="67"/>
    <x v="2"/>
    <x v="2"/>
    <x v="1"/>
  </r>
  <r>
    <n v="209031"/>
    <x v="3"/>
    <x v="3"/>
    <n v="3.8"/>
    <x v="1"/>
    <d v="2025-03-12T06:16:00"/>
    <x v="0"/>
    <x v="2"/>
    <x v="1"/>
    <b v="1"/>
    <s v="iOS"/>
    <n v="664"/>
    <n v="66"/>
    <x v="2"/>
    <x v="3"/>
    <x v="0"/>
  </r>
  <r>
    <n v="2708513"/>
    <x v="2"/>
    <x v="4"/>
    <n v="5"/>
    <x v="2"/>
    <d v="2024-01-15T02:49:00"/>
    <x v="3"/>
    <x v="3"/>
    <x v="0"/>
    <b v="0"/>
    <s v="Windows Phone"/>
    <n v="514"/>
    <n v="75"/>
    <x v="2"/>
    <x v="4"/>
    <x v="1"/>
  </r>
  <r>
    <n v="7798256"/>
    <x v="4"/>
    <x v="1"/>
    <n v="2.7"/>
    <x v="3"/>
    <d v="2023-11-19T20:23:00"/>
    <x v="4"/>
    <x v="4"/>
    <x v="2"/>
    <b v="1"/>
    <s v="Android Tablet"/>
    <n v="110"/>
    <n v="56"/>
    <x v="1"/>
    <x v="5"/>
    <x v="1"/>
  </r>
  <r>
    <n v="9907725"/>
    <x v="5"/>
    <x v="5"/>
    <n v="1.2"/>
    <x v="0"/>
    <d v="2024-06-28T15:39:00"/>
    <x v="1"/>
    <x v="1"/>
    <x v="0"/>
    <b v="1"/>
    <s v="Windows Phone"/>
    <n v="164"/>
    <n v="67"/>
    <x v="2"/>
    <x v="6"/>
    <x v="1"/>
  </r>
  <r>
    <n v="6800828"/>
    <x v="6"/>
    <x v="5"/>
    <n v="3.7"/>
    <x v="1"/>
    <d v="2024-05-08T01:10:00"/>
    <x v="0"/>
    <x v="5"/>
    <x v="0"/>
    <b v="1"/>
    <s v="iPad"/>
    <n v="488"/>
    <n v="29"/>
    <x v="1"/>
    <x v="1"/>
    <x v="0"/>
  </r>
  <r>
    <n v="1625206"/>
    <x v="7"/>
    <x v="6"/>
    <n v="2.1"/>
    <x v="3"/>
    <d v="2025-03-06T02:27:00"/>
    <x v="2"/>
    <x v="2"/>
    <x v="1"/>
    <b v="1"/>
    <s v="Windows Phone"/>
    <n v="431"/>
    <n v="58"/>
    <x v="1"/>
    <x v="7"/>
    <x v="0"/>
  </r>
  <r>
    <n v="154447"/>
    <x v="6"/>
    <x v="7"/>
    <n v="4.5"/>
    <x v="2"/>
    <d v="2024-04-08T15:47:00"/>
    <x v="3"/>
    <x v="6"/>
    <x v="0"/>
    <b v="1"/>
    <s v="iOS"/>
    <n v="546"/>
    <n v="23"/>
    <x v="1"/>
    <x v="8"/>
    <x v="1"/>
  </r>
  <r>
    <n v="1421324"/>
    <x v="8"/>
    <x v="6"/>
    <n v="3.6"/>
    <x v="1"/>
    <d v="2023-10-06T09:46:00"/>
    <x v="1"/>
    <x v="0"/>
    <x v="2"/>
    <b v="0"/>
    <s v="Android Tablet"/>
    <n v="904"/>
    <n v="41"/>
    <x v="1"/>
    <x v="9"/>
    <x v="0"/>
  </r>
  <r>
    <n v="7674680"/>
    <x v="1"/>
    <x v="8"/>
    <n v="3.6"/>
    <x v="1"/>
    <d v="2023-11-02T20:45:00"/>
    <x v="2"/>
    <x v="4"/>
    <x v="2"/>
    <b v="1"/>
    <s v="Android"/>
    <n v="63"/>
    <n v="73"/>
    <x v="2"/>
    <x v="2"/>
    <x v="0"/>
  </r>
  <r>
    <n v="4772073"/>
    <x v="9"/>
    <x v="4"/>
    <n v="2.9"/>
    <x v="3"/>
    <d v="2025-01-01T11:43:00"/>
    <x v="0"/>
    <x v="3"/>
    <x v="1"/>
    <b v="1"/>
    <s v="Windows Phone"/>
    <n v="549"/>
    <n v="33"/>
    <x v="1"/>
    <x v="2"/>
    <x v="1"/>
  </r>
  <r>
    <n v="9332926"/>
    <x v="4"/>
    <x v="0"/>
    <n v="1.6"/>
    <x v="0"/>
    <d v="2023-10-15T22:13:00"/>
    <x v="4"/>
    <x v="0"/>
    <x v="2"/>
    <b v="1"/>
    <s v="Windows Phone"/>
    <n v="622"/>
    <n v="18"/>
    <x v="1"/>
    <x v="2"/>
    <x v="1"/>
  </r>
  <r>
    <n v="9424245"/>
    <x v="10"/>
    <x v="7"/>
    <n v="1.1000000000000001"/>
    <x v="0"/>
    <d v="2024-12-26T23:15:00"/>
    <x v="2"/>
    <x v="7"/>
    <x v="0"/>
    <b v="0"/>
    <s v="Android"/>
    <n v="644"/>
    <n v="29"/>
    <x v="1"/>
    <x v="7"/>
    <x v="1"/>
  </r>
  <r>
    <n v="8264991"/>
    <x v="5"/>
    <x v="9"/>
    <n v="2.8"/>
    <x v="3"/>
    <d v="2023-11-29T02:42:00"/>
    <x v="0"/>
    <x v="4"/>
    <x v="2"/>
    <b v="1"/>
    <s v="Android"/>
    <n v="416"/>
    <n v="30"/>
    <x v="1"/>
    <x v="4"/>
    <x v="0"/>
  </r>
  <r>
    <n v="5077931"/>
    <x v="11"/>
    <x v="1"/>
    <n v="5"/>
    <x v="2"/>
    <d v="2024-01-16T23:19:00"/>
    <x v="5"/>
    <x v="3"/>
    <x v="0"/>
    <b v="1"/>
    <s v="Android"/>
    <n v="945"/>
    <n v="73"/>
    <x v="2"/>
    <x v="10"/>
    <x v="0"/>
  </r>
  <r>
    <n v="3526900"/>
    <x v="12"/>
    <x v="4"/>
    <n v="2.8"/>
    <x v="3"/>
    <d v="2025-01-02T01:40:00"/>
    <x v="2"/>
    <x v="3"/>
    <x v="1"/>
    <b v="0"/>
    <s v="iPad"/>
    <n v="386"/>
    <n v="75"/>
    <x v="2"/>
    <x v="8"/>
    <x v="0"/>
  </r>
  <r>
    <n v="5371130"/>
    <x v="13"/>
    <x v="2"/>
    <n v="4.5"/>
    <x v="2"/>
    <d v="2024-02-02T06:30:00"/>
    <x v="1"/>
    <x v="8"/>
    <x v="0"/>
    <b v="1"/>
    <s v="Android Tablet"/>
    <n v="204"/>
    <n v="46"/>
    <x v="1"/>
    <x v="11"/>
    <x v="1"/>
  </r>
  <r>
    <n v="6740184"/>
    <x v="14"/>
    <x v="10"/>
    <n v="4.8"/>
    <x v="2"/>
    <d v="2025-05-09T11:12:00"/>
    <x v="1"/>
    <x v="5"/>
    <x v="1"/>
    <b v="1"/>
    <s v="Android Tablet"/>
    <n v="1108"/>
    <n v="15"/>
    <x v="0"/>
    <x v="12"/>
    <x v="1"/>
  </r>
  <r>
    <n v="8974152"/>
    <x v="15"/>
    <x v="1"/>
    <n v="3.7"/>
    <x v="1"/>
    <d v="2023-08-06T22:54:00"/>
    <x v="4"/>
    <x v="9"/>
    <x v="2"/>
    <b v="0"/>
    <s v="Android Tablet"/>
    <n v="589"/>
    <n v="56"/>
    <x v="1"/>
    <x v="4"/>
    <x v="0"/>
  </r>
  <r>
    <n v="1837893"/>
    <x v="11"/>
    <x v="11"/>
    <n v="3.5"/>
    <x v="1"/>
    <d v="2023-11-10T11:44:00"/>
    <x v="1"/>
    <x v="4"/>
    <x v="2"/>
    <b v="0"/>
    <s v="iOS"/>
    <n v="198"/>
    <n v="70"/>
    <x v="2"/>
    <x v="5"/>
    <x v="1"/>
  </r>
  <r>
    <n v="4286414"/>
    <x v="15"/>
    <x v="1"/>
    <n v="1.2"/>
    <x v="0"/>
    <d v="2024-12-30T21:37:00"/>
    <x v="3"/>
    <x v="7"/>
    <x v="0"/>
    <b v="1"/>
    <s v="Android"/>
    <n v="623"/>
    <n v="44"/>
    <x v="1"/>
    <x v="10"/>
    <x v="1"/>
  </r>
  <r>
    <n v="6917881"/>
    <x v="16"/>
    <x v="8"/>
    <n v="1.2"/>
    <x v="0"/>
    <d v="2024-11-24T23:02:00"/>
    <x v="4"/>
    <x v="4"/>
    <x v="0"/>
    <b v="0"/>
    <s v="iPad"/>
    <n v="498"/>
    <n v="21"/>
    <x v="1"/>
    <x v="13"/>
    <x v="0"/>
  </r>
  <r>
    <n v="2692974"/>
    <x v="17"/>
    <x v="4"/>
    <n v="1.4"/>
    <x v="0"/>
    <d v="2025-01-26T13:51:00"/>
    <x v="4"/>
    <x v="3"/>
    <x v="1"/>
    <b v="1"/>
    <s v="Android"/>
    <n v="269"/>
    <n v="13"/>
    <x v="0"/>
    <x v="14"/>
    <x v="0"/>
  </r>
  <r>
    <n v="128374"/>
    <x v="3"/>
    <x v="12"/>
    <n v="3.3"/>
    <x v="1"/>
    <d v="2024-09-07T17:05:00"/>
    <x v="6"/>
    <x v="10"/>
    <x v="0"/>
    <b v="1"/>
    <s v="Android Tablet"/>
    <n v="142"/>
    <n v="22"/>
    <x v="1"/>
    <x v="15"/>
    <x v="1"/>
  </r>
  <r>
    <n v="1273965"/>
    <x v="2"/>
    <x v="6"/>
    <n v="1.2"/>
    <x v="0"/>
    <d v="2024-12-28T19:21:00"/>
    <x v="6"/>
    <x v="7"/>
    <x v="0"/>
    <b v="1"/>
    <s v="iOS"/>
    <n v="617"/>
    <n v="73"/>
    <x v="2"/>
    <x v="16"/>
    <x v="0"/>
  </r>
  <r>
    <n v="5138571"/>
    <x v="18"/>
    <x v="9"/>
    <n v="3.1"/>
    <x v="1"/>
    <d v="2024-08-28T18:31:00"/>
    <x v="0"/>
    <x v="9"/>
    <x v="0"/>
    <b v="1"/>
    <s v="Android Tablet"/>
    <n v="635"/>
    <n v="60"/>
    <x v="1"/>
    <x v="7"/>
    <x v="0"/>
  </r>
  <r>
    <n v="3318542"/>
    <x v="19"/>
    <x v="13"/>
    <n v="1.8"/>
    <x v="0"/>
    <d v="2024-06-22T10:45:00"/>
    <x v="6"/>
    <x v="1"/>
    <x v="0"/>
    <b v="0"/>
    <s v="Windows Phone"/>
    <n v="974"/>
    <n v="45"/>
    <x v="1"/>
    <x v="17"/>
    <x v="1"/>
  </r>
  <r>
    <n v="3019694"/>
    <x v="13"/>
    <x v="6"/>
    <n v="2.2000000000000002"/>
    <x v="3"/>
    <d v="2024-11-20T23:06:00"/>
    <x v="0"/>
    <x v="4"/>
    <x v="0"/>
    <b v="1"/>
    <s v="Android Tablet"/>
    <n v="264"/>
    <n v="51"/>
    <x v="1"/>
    <x v="8"/>
    <x v="1"/>
  </r>
  <r>
    <n v="5149101"/>
    <x v="20"/>
    <x v="3"/>
    <n v="2.4"/>
    <x v="3"/>
    <d v="2024-06-11T06:52:00"/>
    <x v="5"/>
    <x v="1"/>
    <x v="0"/>
    <b v="1"/>
    <s v="Android Tablet"/>
    <n v="393"/>
    <n v="27"/>
    <x v="1"/>
    <x v="17"/>
    <x v="0"/>
  </r>
  <r>
    <n v="106810"/>
    <x v="20"/>
    <x v="5"/>
    <n v="4.3"/>
    <x v="2"/>
    <d v="2024-03-23T21:43:00"/>
    <x v="6"/>
    <x v="2"/>
    <x v="0"/>
    <b v="1"/>
    <s v="Windows Phone"/>
    <n v="339"/>
    <n v="59"/>
    <x v="1"/>
    <x v="11"/>
    <x v="1"/>
  </r>
  <r>
    <n v="5506444"/>
    <x v="4"/>
    <x v="14"/>
    <n v="2.8"/>
    <x v="3"/>
    <d v="2024-07-27T01:05:00"/>
    <x v="6"/>
    <x v="11"/>
    <x v="0"/>
    <b v="1"/>
    <s v="Windows Phone"/>
    <n v="301"/>
    <n v="66"/>
    <x v="2"/>
    <x v="18"/>
    <x v="1"/>
  </r>
  <r>
    <n v="8676076"/>
    <x v="15"/>
    <x v="12"/>
    <n v="3.1"/>
    <x v="1"/>
    <d v="2024-07-19T14:39:00"/>
    <x v="1"/>
    <x v="11"/>
    <x v="0"/>
    <b v="1"/>
    <s v="Android"/>
    <n v="590"/>
    <n v="28"/>
    <x v="1"/>
    <x v="19"/>
    <x v="1"/>
  </r>
  <r>
    <n v="9758155"/>
    <x v="12"/>
    <x v="15"/>
    <n v="2.4"/>
    <x v="3"/>
    <d v="2023-12-29T21:36:00"/>
    <x v="1"/>
    <x v="7"/>
    <x v="2"/>
    <b v="0"/>
    <s v="Windows Phone"/>
    <n v="853"/>
    <n v="24"/>
    <x v="1"/>
    <x v="9"/>
    <x v="1"/>
  </r>
  <r>
    <n v="6542089"/>
    <x v="21"/>
    <x v="15"/>
    <n v="2.4"/>
    <x v="3"/>
    <d v="2024-11-05T09:06:00"/>
    <x v="5"/>
    <x v="4"/>
    <x v="0"/>
    <b v="1"/>
    <s v="Android"/>
    <n v="706"/>
    <n v="28"/>
    <x v="1"/>
    <x v="15"/>
    <x v="1"/>
  </r>
  <r>
    <n v="8063715"/>
    <x v="15"/>
    <x v="16"/>
    <n v="1.6"/>
    <x v="0"/>
    <d v="2024-07-15T10:59:00"/>
    <x v="3"/>
    <x v="11"/>
    <x v="0"/>
    <b v="1"/>
    <s v="Windows Phone"/>
    <n v="897"/>
    <n v="15"/>
    <x v="0"/>
    <x v="17"/>
    <x v="1"/>
  </r>
  <r>
    <n v="4247994"/>
    <x v="22"/>
    <x v="9"/>
    <n v="2.2999999999999998"/>
    <x v="3"/>
    <d v="2025-05-14T05:15:00"/>
    <x v="0"/>
    <x v="5"/>
    <x v="1"/>
    <b v="0"/>
    <s v="iPad"/>
    <n v="511"/>
    <n v="74"/>
    <x v="2"/>
    <x v="10"/>
    <x v="1"/>
  </r>
  <r>
    <n v="1177581"/>
    <x v="19"/>
    <x v="13"/>
    <n v="4.5999999999999996"/>
    <x v="2"/>
    <d v="2024-06-18T02:46:00"/>
    <x v="5"/>
    <x v="1"/>
    <x v="0"/>
    <b v="1"/>
    <s v="iPad"/>
    <n v="1154"/>
    <n v="15"/>
    <x v="0"/>
    <x v="20"/>
    <x v="1"/>
  </r>
  <r>
    <n v="7148838"/>
    <x v="23"/>
    <x v="10"/>
    <n v="1.1000000000000001"/>
    <x v="0"/>
    <d v="2024-05-29T09:27:00"/>
    <x v="0"/>
    <x v="5"/>
    <x v="0"/>
    <b v="0"/>
    <s v="Android Tablet"/>
    <n v="1035"/>
    <n v="42"/>
    <x v="1"/>
    <x v="2"/>
    <x v="0"/>
  </r>
  <r>
    <n v="9899226"/>
    <x v="4"/>
    <x v="6"/>
    <n v="2.5"/>
    <x v="3"/>
    <d v="2025-06-23T10:28:00"/>
    <x v="3"/>
    <x v="1"/>
    <x v="1"/>
    <b v="1"/>
    <s v="Android Tablet"/>
    <n v="104"/>
    <n v="49"/>
    <x v="1"/>
    <x v="4"/>
    <x v="0"/>
  </r>
  <r>
    <n v="9129842"/>
    <x v="15"/>
    <x v="0"/>
    <n v="1.8"/>
    <x v="0"/>
    <d v="2025-03-03T11:46:00"/>
    <x v="3"/>
    <x v="2"/>
    <x v="1"/>
    <b v="0"/>
    <s v="Windows Phone"/>
    <n v="822"/>
    <n v="45"/>
    <x v="1"/>
    <x v="3"/>
    <x v="1"/>
  </r>
  <r>
    <n v="775419"/>
    <x v="24"/>
    <x v="0"/>
    <n v="3"/>
    <x v="3"/>
    <d v="2025-03-08T17:00:00"/>
    <x v="6"/>
    <x v="2"/>
    <x v="1"/>
    <b v="1"/>
    <s v="Windows Phone"/>
    <n v="965"/>
    <n v="68"/>
    <x v="2"/>
    <x v="15"/>
    <x v="1"/>
  </r>
  <r>
    <n v="4248725"/>
    <x v="13"/>
    <x v="10"/>
    <n v="2.9"/>
    <x v="3"/>
    <d v="2024-01-02T17:25:00"/>
    <x v="5"/>
    <x v="3"/>
    <x v="0"/>
    <b v="1"/>
    <s v="iOS"/>
    <n v="571"/>
    <n v="48"/>
    <x v="1"/>
    <x v="19"/>
    <x v="0"/>
  </r>
  <r>
    <n v="8045036"/>
    <x v="4"/>
    <x v="17"/>
    <n v="3.3"/>
    <x v="1"/>
    <d v="2025-01-01T20:41:00"/>
    <x v="0"/>
    <x v="3"/>
    <x v="1"/>
    <b v="1"/>
    <s v="iOS"/>
    <n v="103"/>
    <n v="55"/>
    <x v="1"/>
    <x v="21"/>
    <x v="0"/>
  </r>
  <r>
    <n v="9561839"/>
    <x v="25"/>
    <x v="12"/>
    <n v="2.1"/>
    <x v="3"/>
    <d v="2024-01-17T04:13:00"/>
    <x v="0"/>
    <x v="3"/>
    <x v="0"/>
    <b v="1"/>
    <s v="Android"/>
    <n v="183"/>
    <n v="54"/>
    <x v="1"/>
    <x v="13"/>
    <x v="0"/>
  </r>
  <r>
    <n v="2130966"/>
    <x v="11"/>
    <x v="3"/>
    <n v="4.5999999999999996"/>
    <x v="2"/>
    <d v="2025-04-30T14:26:00"/>
    <x v="0"/>
    <x v="6"/>
    <x v="1"/>
    <b v="1"/>
    <s v="iOS"/>
    <n v="1172"/>
    <n v="47"/>
    <x v="1"/>
    <x v="17"/>
    <x v="0"/>
  </r>
  <r>
    <n v="1870648"/>
    <x v="19"/>
    <x v="13"/>
    <n v="3.2"/>
    <x v="1"/>
    <d v="2024-07-02T14:32:00"/>
    <x v="5"/>
    <x v="11"/>
    <x v="0"/>
    <b v="1"/>
    <s v="iPad"/>
    <n v="44"/>
    <n v="38"/>
    <x v="1"/>
    <x v="22"/>
    <x v="1"/>
  </r>
  <r>
    <n v="3331028"/>
    <x v="26"/>
    <x v="15"/>
    <n v="2.2999999999999998"/>
    <x v="3"/>
    <d v="2024-04-01T23:19:00"/>
    <x v="3"/>
    <x v="6"/>
    <x v="0"/>
    <b v="1"/>
    <s v="Android"/>
    <n v="921"/>
    <n v="67"/>
    <x v="2"/>
    <x v="14"/>
    <x v="1"/>
  </r>
  <r>
    <n v="9090305"/>
    <x v="24"/>
    <x v="3"/>
    <n v="4.8"/>
    <x v="2"/>
    <d v="2025-03-14T21:19:00"/>
    <x v="1"/>
    <x v="2"/>
    <x v="1"/>
    <b v="0"/>
    <s v="Android"/>
    <n v="433"/>
    <n v="72"/>
    <x v="2"/>
    <x v="16"/>
    <x v="1"/>
  </r>
  <r>
    <n v="3916534"/>
    <x v="12"/>
    <x v="9"/>
    <n v="4.8"/>
    <x v="2"/>
    <d v="2024-05-07T04:23:00"/>
    <x v="5"/>
    <x v="5"/>
    <x v="0"/>
    <b v="1"/>
    <s v="Windows Phone"/>
    <n v="69"/>
    <n v="66"/>
    <x v="2"/>
    <x v="0"/>
    <x v="1"/>
  </r>
  <r>
    <n v="8131491"/>
    <x v="0"/>
    <x v="4"/>
    <n v="2.4"/>
    <x v="3"/>
    <d v="2024-07-08T00:00:00"/>
    <x v="3"/>
    <x v="11"/>
    <x v="0"/>
    <b v="1"/>
    <s v="iPad"/>
    <n v="209"/>
    <n v="21"/>
    <x v="1"/>
    <x v="0"/>
    <x v="0"/>
  </r>
  <r>
    <n v="3193109"/>
    <x v="7"/>
    <x v="3"/>
    <n v="3.9"/>
    <x v="1"/>
    <d v="2023-09-09T18:48:00"/>
    <x v="6"/>
    <x v="10"/>
    <x v="2"/>
    <b v="1"/>
    <s v="Windows Phone"/>
    <n v="497"/>
    <n v="49"/>
    <x v="1"/>
    <x v="21"/>
    <x v="0"/>
  </r>
  <r>
    <n v="8114965"/>
    <x v="18"/>
    <x v="16"/>
    <n v="3.5"/>
    <x v="1"/>
    <d v="2023-10-28T11:49:00"/>
    <x v="6"/>
    <x v="0"/>
    <x v="2"/>
    <b v="1"/>
    <s v="Windows Phone"/>
    <n v="400"/>
    <n v="42"/>
    <x v="1"/>
    <x v="10"/>
    <x v="0"/>
  </r>
  <r>
    <n v="6481684"/>
    <x v="27"/>
    <x v="15"/>
    <n v="3.3"/>
    <x v="1"/>
    <d v="2024-07-15T19:16:00"/>
    <x v="3"/>
    <x v="11"/>
    <x v="0"/>
    <b v="1"/>
    <s v="Android Tablet"/>
    <n v="679"/>
    <n v="74"/>
    <x v="2"/>
    <x v="18"/>
    <x v="1"/>
  </r>
  <r>
    <n v="5088757"/>
    <x v="28"/>
    <x v="1"/>
    <n v="5"/>
    <x v="2"/>
    <d v="2025-05-29T23:44:00"/>
    <x v="2"/>
    <x v="5"/>
    <x v="1"/>
    <b v="1"/>
    <s v="Android Tablet"/>
    <n v="214"/>
    <n v="31"/>
    <x v="1"/>
    <x v="18"/>
    <x v="1"/>
  </r>
  <r>
    <n v="7294570"/>
    <x v="29"/>
    <x v="13"/>
    <n v="2.2000000000000002"/>
    <x v="3"/>
    <d v="2024-03-14T02:32:00"/>
    <x v="2"/>
    <x v="2"/>
    <x v="0"/>
    <b v="1"/>
    <s v="Android"/>
    <n v="46"/>
    <n v="67"/>
    <x v="2"/>
    <x v="7"/>
    <x v="1"/>
  </r>
  <r>
    <n v="1294198"/>
    <x v="15"/>
    <x v="7"/>
    <n v="2"/>
    <x v="3"/>
    <d v="2025-01-15T18:51:00"/>
    <x v="0"/>
    <x v="3"/>
    <x v="1"/>
    <b v="1"/>
    <s v="Android"/>
    <n v="374"/>
    <n v="36"/>
    <x v="1"/>
    <x v="8"/>
    <x v="0"/>
  </r>
  <r>
    <n v="4538490"/>
    <x v="0"/>
    <x v="15"/>
    <n v="4.4000000000000004"/>
    <x v="2"/>
    <d v="2025-04-03T19:15:00"/>
    <x v="2"/>
    <x v="6"/>
    <x v="1"/>
    <b v="0"/>
    <s v="Windows Phone"/>
    <n v="109"/>
    <n v="68"/>
    <x v="2"/>
    <x v="14"/>
    <x v="1"/>
  </r>
  <r>
    <n v="5507658"/>
    <x v="0"/>
    <x v="14"/>
    <n v="2.1"/>
    <x v="3"/>
    <d v="2024-02-26T05:07:00"/>
    <x v="3"/>
    <x v="8"/>
    <x v="0"/>
    <b v="1"/>
    <s v="iPad"/>
    <n v="691"/>
    <n v="48"/>
    <x v="1"/>
    <x v="13"/>
    <x v="0"/>
  </r>
  <r>
    <n v="774975"/>
    <x v="10"/>
    <x v="9"/>
    <n v="5"/>
    <x v="2"/>
    <d v="2025-03-15T14:27:00"/>
    <x v="6"/>
    <x v="2"/>
    <x v="1"/>
    <b v="0"/>
    <s v="iOS"/>
    <n v="618"/>
    <n v="23"/>
    <x v="1"/>
    <x v="22"/>
    <x v="1"/>
  </r>
  <r>
    <n v="3039212"/>
    <x v="16"/>
    <x v="6"/>
    <n v="1.5"/>
    <x v="0"/>
    <d v="2024-07-31T07:50:00"/>
    <x v="0"/>
    <x v="11"/>
    <x v="0"/>
    <b v="1"/>
    <s v="iOS"/>
    <n v="1063"/>
    <n v="56"/>
    <x v="1"/>
    <x v="11"/>
    <x v="1"/>
  </r>
  <r>
    <n v="3144882"/>
    <x v="22"/>
    <x v="16"/>
    <n v="3.9"/>
    <x v="1"/>
    <d v="2024-10-28T12:24:00"/>
    <x v="3"/>
    <x v="0"/>
    <x v="0"/>
    <b v="1"/>
    <s v="iPad"/>
    <n v="879"/>
    <n v="33"/>
    <x v="1"/>
    <x v="17"/>
    <x v="0"/>
  </r>
  <r>
    <n v="8349789"/>
    <x v="30"/>
    <x v="6"/>
    <n v="4.0999999999999996"/>
    <x v="2"/>
    <d v="2023-08-01T18:32:00"/>
    <x v="5"/>
    <x v="9"/>
    <x v="2"/>
    <b v="0"/>
    <s v="iOS"/>
    <n v="1013"/>
    <n v="37"/>
    <x v="1"/>
    <x v="10"/>
    <x v="0"/>
  </r>
  <r>
    <n v="9203209"/>
    <x v="23"/>
    <x v="4"/>
    <n v="1.1000000000000001"/>
    <x v="0"/>
    <d v="2024-07-24T16:56:00"/>
    <x v="0"/>
    <x v="11"/>
    <x v="0"/>
    <b v="1"/>
    <s v="Android"/>
    <n v="28"/>
    <n v="29"/>
    <x v="1"/>
    <x v="16"/>
    <x v="1"/>
  </r>
  <r>
    <n v="6169650"/>
    <x v="31"/>
    <x v="16"/>
    <n v="3.4"/>
    <x v="1"/>
    <d v="2024-03-29T05:52:00"/>
    <x v="1"/>
    <x v="2"/>
    <x v="0"/>
    <b v="1"/>
    <s v="iPad"/>
    <n v="359"/>
    <n v="20"/>
    <x v="1"/>
    <x v="20"/>
    <x v="0"/>
  </r>
  <r>
    <n v="329419"/>
    <x v="14"/>
    <x v="7"/>
    <n v="2.1"/>
    <x v="3"/>
    <d v="2024-10-02T01:24:00"/>
    <x v="0"/>
    <x v="0"/>
    <x v="0"/>
    <b v="1"/>
    <s v="Android"/>
    <n v="538"/>
    <n v="58"/>
    <x v="1"/>
    <x v="13"/>
    <x v="1"/>
  </r>
  <r>
    <n v="6535505"/>
    <x v="18"/>
    <x v="8"/>
    <n v="2"/>
    <x v="3"/>
    <d v="2025-04-05T11:51:00"/>
    <x v="6"/>
    <x v="6"/>
    <x v="1"/>
    <b v="1"/>
    <s v="Android Tablet"/>
    <n v="745"/>
    <n v="37"/>
    <x v="1"/>
    <x v="17"/>
    <x v="0"/>
  </r>
  <r>
    <n v="5802160"/>
    <x v="1"/>
    <x v="1"/>
    <n v="3"/>
    <x v="3"/>
    <d v="2025-01-23T15:23:00"/>
    <x v="2"/>
    <x v="3"/>
    <x v="1"/>
    <b v="1"/>
    <s v="Android"/>
    <n v="367"/>
    <n v="27"/>
    <x v="1"/>
    <x v="21"/>
    <x v="1"/>
  </r>
  <r>
    <n v="9693172"/>
    <x v="23"/>
    <x v="3"/>
    <n v="3.5"/>
    <x v="1"/>
    <d v="2024-05-24T08:10:00"/>
    <x v="1"/>
    <x v="5"/>
    <x v="0"/>
    <b v="1"/>
    <s v="Android Tablet"/>
    <n v="754"/>
    <n v="50"/>
    <x v="1"/>
    <x v="23"/>
    <x v="0"/>
  </r>
  <r>
    <n v="702286"/>
    <x v="20"/>
    <x v="1"/>
    <n v="4.7"/>
    <x v="2"/>
    <d v="2024-11-22T11:21:00"/>
    <x v="1"/>
    <x v="4"/>
    <x v="0"/>
    <b v="1"/>
    <s v="Windows Phone"/>
    <n v="658"/>
    <n v="37"/>
    <x v="1"/>
    <x v="22"/>
    <x v="0"/>
  </r>
  <r>
    <n v="257662"/>
    <x v="28"/>
    <x v="5"/>
    <n v="2.2999999999999998"/>
    <x v="3"/>
    <d v="2025-06-29T01:56:00"/>
    <x v="4"/>
    <x v="1"/>
    <x v="1"/>
    <b v="1"/>
    <s v="Android"/>
    <n v="487"/>
    <n v="35"/>
    <x v="1"/>
    <x v="7"/>
    <x v="0"/>
  </r>
  <r>
    <n v="4925658"/>
    <x v="17"/>
    <x v="9"/>
    <n v="1"/>
    <x v="0"/>
    <d v="2025-01-08T04:39:00"/>
    <x v="0"/>
    <x v="3"/>
    <x v="1"/>
    <b v="1"/>
    <s v="Android Tablet"/>
    <n v="897"/>
    <n v="59"/>
    <x v="1"/>
    <x v="18"/>
    <x v="0"/>
  </r>
  <r>
    <n v="2750391"/>
    <x v="4"/>
    <x v="1"/>
    <n v="1.3"/>
    <x v="0"/>
    <d v="2023-09-27T05:57:00"/>
    <x v="0"/>
    <x v="10"/>
    <x v="2"/>
    <b v="1"/>
    <s v="iOS"/>
    <n v="768"/>
    <n v="23"/>
    <x v="1"/>
    <x v="15"/>
    <x v="1"/>
  </r>
  <r>
    <n v="2394774"/>
    <x v="20"/>
    <x v="4"/>
    <n v="1.3"/>
    <x v="0"/>
    <d v="2024-04-10T15:33:00"/>
    <x v="0"/>
    <x v="6"/>
    <x v="0"/>
    <b v="0"/>
    <s v="Android Tablet"/>
    <n v="413"/>
    <n v="65"/>
    <x v="2"/>
    <x v="5"/>
    <x v="0"/>
  </r>
  <r>
    <n v="7070985"/>
    <x v="13"/>
    <x v="15"/>
    <n v="3.5"/>
    <x v="1"/>
    <d v="2023-12-15T07:14:00"/>
    <x v="1"/>
    <x v="7"/>
    <x v="2"/>
    <b v="1"/>
    <s v="Windows Phone"/>
    <n v="859"/>
    <n v="20"/>
    <x v="1"/>
    <x v="18"/>
    <x v="0"/>
  </r>
  <r>
    <n v="2317273"/>
    <x v="28"/>
    <x v="0"/>
    <n v="3.4"/>
    <x v="1"/>
    <d v="2025-04-02T18:44:00"/>
    <x v="0"/>
    <x v="6"/>
    <x v="1"/>
    <b v="1"/>
    <s v="Android"/>
    <n v="352"/>
    <n v="30"/>
    <x v="1"/>
    <x v="1"/>
    <x v="0"/>
  </r>
  <r>
    <n v="6238070"/>
    <x v="6"/>
    <x v="5"/>
    <n v="2.1"/>
    <x v="3"/>
    <d v="2024-09-16T04:53:00"/>
    <x v="3"/>
    <x v="10"/>
    <x v="0"/>
    <b v="1"/>
    <s v="Android Tablet"/>
    <n v="201"/>
    <n v="75"/>
    <x v="2"/>
    <x v="2"/>
    <x v="0"/>
  </r>
  <r>
    <n v="2692464"/>
    <x v="6"/>
    <x v="5"/>
    <n v="2"/>
    <x v="3"/>
    <d v="2024-09-26T18:39:00"/>
    <x v="2"/>
    <x v="10"/>
    <x v="0"/>
    <b v="0"/>
    <s v="Android Tablet"/>
    <n v="828"/>
    <n v="37"/>
    <x v="1"/>
    <x v="15"/>
    <x v="1"/>
  </r>
  <r>
    <n v="6117548"/>
    <x v="5"/>
    <x v="11"/>
    <n v="1.4"/>
    <x v="0"/>
    <d v="2024-07-19T01:37:00"/>
    <x v="1"/>
    <x v="11"/>
    <x v="0"/>
    <b v="1"/>
    <s v="iOS"/>
    <n v="529"/>
    <n v="59"/>
    <x v="1"/>
    <x v="4"/>
    <x v="0"/>
  </r>
  <r>
    <n v="3658545"/>
    <x v="31"/>
    <x v="16"/>
    <n v="1.2"/>
    <x v="0"/>
    <d v="2024-12-11T07:18:00"/>
    <x v="0"/>
    <x v="7"/>
    <x v="0"/>
    <b v="0"/>
    <s v="Windows Phone"/>
    <n v="1188"/>
    <n v="73"/>
    <x v="2"/>
    <x v="12"/>
    <x v="1"/>
  </r>
  <r>
    <n v="458318"/>
    <x v="1"/>
    <x v="5"/>
    <n v="1.6"/>
    <x v="0"/>
    <d v="2023-09-09T03:55:00"/>
    <x v="6"/>
    <x v="10"/>
    <x v="2"/>
    <b v="1"/>
    <s v="iOS"/>
    <n v="165"/>
    <n v="44"/>
    <x v="1"/>
    <x v="7"/>
    <x v="0"/>
  </r>
  <r>
    <n v="6174006"/>
    <x v="26"/>
    <x v="7"/>
    <n v="2.5"/>
    <x v="3"/>
    <d v="2024-09-02T12:31:00"/>
    <x v="3"/>
    <x v="10"/>
    <x v="0"/>
    <b v="1"/>
    <s v="iPad"/>
    <n v="59"/>
    <n v="68"/>
    <x v="2"/>
    <x v="9"/>
    <x v="0"/>
  </r>
  <r>
    <n v="1929622"/>
    <x v="23"/>
    <x v="12"/>
    <n v="3.1"/>
    <x v="1"/>
    <d v="2024-07-16T23:04:00"/>
    <x v="5"/>
    <x v="11"/>
    <x v="0"/>
    <b v="1"/>
    <s v="Windows Phone"/>
    <n v="195"/>
    <n v="40"/>
    <x v="1"/>
    <x v="9"/>
    <x v="0"/>
  </r>
  <r>
    <n v="2217143"/>
    <x v="32"/>
    <x v="3"/>
    <n v="1.4"/>
    <x v="0"/>
    <d v="2023-10-13T17:36:00"/>
    <x v="1"/>
    <x v="0"/>
    <x v="2"/>
    <b v="1"/>
    <s v="Android Tablet"/>
    <n v="73"/>
    <n v="48"/>
    <x v="1"/>
    <x v="4"/>
    <x v="1"/>
  </r>
  <r>
    <n v="9521856"/>
    <x v="0"/>
    <x v="6"/>
    <n v="4"/>
    <x v="1"/>
    <d v="2024-03-11T06:52:00"/>
    <x v="3"/>
    <x v="2"/>
    <x v="0"/>
    <b v="1"/>
    <s v="Android Tablet"/>
    <n v="219"/>
    <n v="29"/>
    <x v="1"/>
    <x v="12"/>
    <x v="0"/>
  </r>
  <r>
    <n v="5342022"/>
    <x v="17"/>
    <x v="0"/>
    <n v="3.4"/>
    <x v="1"/>
    <d v="2024-11-19T10:54:00"/>
    <x v="5"/>
    <x v="4"/>
    <x v="0"/>
    <b v="0"/>
    <s v="Windows Phone"/>
    <n v="275"/>
    <n v="74"/>
    <x v="2"/>
    <x v="23"/>
    <x v="1"/>
  </r>
  <r>
    <n v="9440543"/>
    <x v="21"/>
    <x v="7"/>
    <n v="4.5"/>
    <x v="2"/>
    <d v="2023-08-21T06:29:00"/>
    <x v="3"/>
    <x v="9"/>
    <x v="2"/>
    <b v="1"/>
    <s v="Windows Phone"/>
    <n v="787"/>
    <n v="39"/>
    <x v="1"/>
    <x v="12"/>
    <x v="0"/>
  </r>
  <r>
    <n v="4587028"/>
    <x v="1"/>
    <x v="13"/>
    <n v="2.2000000000000002"/>
    <x v="3"/>
    <d v="2023-08-23T08:48:00"/>
    <x v="0"/>
    <x v="9"/>
    <x v="2"/>
    <b v="1"/>
    <s v="iPad"/>
    <n v="271"/>
    <n v="75"/>
    <x v="2"/>
    <x v="8"/>
    <x v="0"/>
  </r>
  <r>
    <n v="2740889"/>
    <x v="14"/>
    <x v="17"/>
    <n v="4.0999999999999996"/>
    <x v="2"/>
    <d v="2024-05-14T07:22:00"/>
    <x v="5"/>
    <x v="5"/>
    <x v="0"/>
    <b v="1"/>
    <s v="iOS"/>
    <n v="602"/>
    <n v="41"/>
    <x v="1"/>
    <x v="6"/>
    <x v="1"/>
  </r>
  <r>
    <n v="7516270"/>
    <x v="21"/>
    <x v="9"/>
    <n v="4.9000000000000004"/>
    <x v="2"/>
    <d v="2024-06-17T14:01:00"/>
    <x v="3"/>
    <x v="1"/>
    <x v="0"/>
    <b v="1"/>
    <s v="Windows Phone"/>
    <n v="1092"/>
    <n v="13"/>
    <x v="0"/>
    <x v="5"/>
    <x v="1"/>
  </r>
  <r>
    <n v="8264342"/>
    <x v="28"/>
    <x v="2"/>
    <n v="2.7"/>
    <x v="3"/>
    <d v="2024-06-30T09:04:00"/>
    <x v="4"/>
    <x v="1"/>
    <x v="0"/>
    <b v="1"/>
    <s v="Windows Phone"/>
    <n v="291"/>
    <n v="23"/>
    <x v="1"/>
    <x v="6"/>
    <x v="0"/>
  </r>
  <r>
    <n v="2267376"/>
    <x v="26"/>
    <x v="15"/>
    <n v="3.3"/>
    <x v="1"/>
    <d v="2024-05-22T04:39:00"/>
    <x v="0"/>
    <x v="5"/>
    <x v="0"/>
    <b v="1"/>
    <s v="iPad"/>
    <n v="731"/>
    <n v="21"/>
    <x v="1"/>
    <x v="9"/>
    <x v="0"/>
  </r>
  <r>
    <n v="6041939"/>
    <x v="32"/>
    <x v="14"/>
    <n v="4.4000000000000004"/>
    <x v="2"/>
    <d v="2023-09-25T20:39:00"/>
    <x v="3"/>
    <x v="10"/>
    <x v="2"/>
    <b v="1"/>
    <s v="iOS"/>
    <n v="1103"/>
    <n v="25"/>
    <x v="1"/>
    <x v="22"/>
    <x v="1"/>
  </r>
  <r>
    <n v="7107741"/>
    <x v="27"/>
    <x v="0"/>
    <n v="1.8"/>
    <x v="0"/>
    <d v="2024-03-12T18:01:00"/>
    <x v="5"/>
    <x v="2"/>
    <x v="0"/>
    <b v="1"/>
    <s v="iOS"/>
    <n v="841"/>
    <n v="14"/>
    <x v="0"/>
    <x v="2"/>
    <x v="1"/>
  </r>
  <r>
    <n v="2983553"/>
    <x v="33"/>
    <x v="7"/>
    <n v="1.9"/>
    <x v="0"/>
    <d v="2023-11-22T14:59:00"/>
    <x v="0"/>
    <x v="4"/>
    <x v="2"/>
    <b v="1"/>
    <s v="Android Tablet"/>
    <n v="270"/>
    <n v="19"/>
    <x v="1"/>
    <x v="20"/>
    <x v="0"/>
  </r>
  <r>
    <n v="8389908"/>
    <x v="7"/>
    <x v="15"/>
    <n v="2.4"/>
    <x v="3"/>
    <d v="2024-07-26T05:47:00"/>
    <x v="1"/>
    <x v="11"/>
    <x v="0"/>
    <b v="0"/>
    <s v="Android Tablet"/>
    <n v="282"/>
    <n v="67"/>
    <x v="2"/>
    <x v="9"/>
    <x v="1"/>
  </r>
  <r>
    <n v="9557911"/>
    <x v="16"/>
    <x v="10"/>
    <n v="4.3"/>
    <x v="2"/>
    <d v="2025-03-13T02:12:00"/>
    <x v="2"/>
    <x v="2"/>
    <x v="1"/>
    <b v="1"/>
    <s v="Android Tablet"/>
    <n v="1229"/>
    <n v="40"/>
    <x v="1"/>
    <x v="0"/>
    <x v="1"/>
  </r>
  <r>
    <n v="9836311"/>
    <x v="34"/>
    <x v="11"/>
    <n v="4.3"/>
    <x v="2"/>
    <d v="2024-10-04T10:17:00"/>
    <x v="1"/>
    <x v="0"/>
    <x v="0"/>
    <b v="0"/>
    <s v="iPad"/>
    <n v="319"/>
    <n v="62"/>
    <x v="2"/>
    <x v="10"/>
    <x v="1"/>
  </r>
  <r>
    <n v="4846166"/>
    <x v="15"/>
    <x v="10"/>
    <n v="4.4000000000000004"/>
    <x v="2"/>
    <d v="2024-05-27T19:02:00"/>
    <x v="3"/>
    <x v="5"/>
    <x v="0"/>
    <b v="1"/>
    <s v="iPad"/>
    <n v="923"/>
    <n v="24"/>
    <x v="1"/>
    <x v="13"/>
    <x v="0"/>
  </r>
  <r>
    <n v="978547"/>
    <x v="18"/>
    <x v="5"/>
    <n v="3.2"/>
    <x v="1"/>
    <d v="2024-12-22T10:49:00"/>
    <x v="4"/>
    <x v="7"/>
    <x v="0"/>
    <b v="0"/>
    <s v="iPad"/>
    <n v="704"/>
    <n v="14"/>
    <x v="0"/>
    <x v="18"/>
    <x v="1"/>
  </r>
  <r>
    <n v="6675963"/>
    <x v="5"/>
    <x v="7"/>
    <n v="2.5"/>
    <x v="3"/>
    <d v="2023-11-09T00:54:00"/>
    <x v="2"/>
    <x v="4"/>
    <x v="2"/>
    <b v="1"/>
    <s v="iPad"/>
    <n v="949"/>
    <n v="53"/>
    <x v="1"/>
    <x v="17"/>
    <x v="0"/>
  </r>
  <r>
    <n v="6419630"/>
    <x v="6"/>
    <x v="8"/>
    <n v="3.2"/>
    <x v="1"/>
    <d v="2024-12-12T16:39:00"/>
    <x v="2"/>
    <x v="7"/>
    <x v="0"/>
    <b v="1"/>
    <s v="Android"/>
    <n v="813"/>
    <n v="46"/>
    <x v="1"/>
    <x v="0"/>
    <x v="1"/>
  </r>
  <r>
    <n v="8931414"/>
    <x v="0"/>
    <x v="16"/>
    <n v="2.2000000000000002"/>
    <x v="3"/>
    <d v="2023-10-12T11:10:00"/>
    <x v="2"/>
    <x v="0"/>
    <x v="2"/>
    <b v="0"/>
    <s v="Android Tablet"/>
    <n v="532"/>
    <n v="22"/>
    <x v="1"/>
    <x v="19"/>
    <x v="1"/>
  </r>
  <r>
    <n v="1394615"/>
    <x v="14"/>
    <x v="3"/>
    <n v="2.7"/>
    <x v="3"/>
    <d v="2024-03-17T15:02:00"/>
    <x v="4"/>
    <x v="2"/>
    <x v="0"/>
    <b v="1"/>
    <s v="Android"/>
    <n v="373"/>
    <n v="21"/>
    <x v="1"/>
    <x v="19"/>
    <x v="1"/>
  </r>
  <r>
    <n v="8617619"/>
    <x v="30"/>
    <x v="4"/>
    <n v="2.8"/>
    <x v="3"/>
    <d v="2025-03-21T15:13:00"/>
    <x v="1"/>
    <x v="2"/>
    <x v="1"/>
    <b v="1"/>
    <s v="Android"/>
    <n v="476"/>
    <n v="18"/>
    <x v="1"/>
    <x v="17"/>
    <x v="1"/>
  </r>
  <r>
    <n v="5749968"/>
    <x v="32"/>
    <x v="1"/>
    <n v="2.6"/>
    <x v="3"/>
    <d v="2025-06-11T14:13:00"/>
    <x v="0"/>
    <x v="1"/>
    <x v="1"/>
    <b v="0"/>
    <s v="iPad"/>
    <n v="661"/>
    <n v="23"/>
    <x v="1"/>
    <x v="5"/>
    <x v="1"/>
  </r>
  <r>
    <n v="2877286"/>
    <x v="34"/>
    <x v="12"/>
    <n v="3.2"/>
    <x v="1"/>
    <d v="2025-04-14T05:37:00"/>
    <x v="3"/>
    <x v="6"/>
    <x v="1"/>
    <b v="1"/>
    <s v="Windows Phone"/>
    <n v="1003"/>
    <n v="25"/>
    <x v="1"/>
    <x v="13"/>
    <x v="0"/>
  </r>
  <r>
    <n v="2421942"/>
    <x v="7"/>
    <x v="7"/>
    <n v="1"/>
    <x v="0"/>
    <d v="2025-07-08T02:07:00"/>
    <x v="5"/>
    <x v="11"/>
    <x v="1"/>
    <b v="1"/>
    <s v="Windows Phone"/>
    <n v="776"/>
    <n v="59"/>
    <x v="1"/>
    <x v="6"/>
    <x v="1"/>
  </r>
  <r>
    <n v="547451"/>
    <x v="34"/>
    <x v="0"/>
    <n v="1.2"/>
    <x v="0"/>
    <d v="2024-06-18T03:19:00"/>
    <x v="5"/>
    <x v="1"/>
    <x v="0"/>
    <b v="1"/>
    <s v="iOS"/>
    <n v="1240"/>
    <n v="58"/>
    <x v="1"/>
    <x v="0"/>
    <x v="1"/>
  </r>
  <r>
    <n v="803065"/>
    <x v="35"/>
    <x v="4"/>
    <n v="2.2000000000000002"/>
    <x v="3"/>
    <d v="2024-04-02T00:12:00"/>
    <x v="5"/>
    <x v="6"/>
    <x v="0"/>
    <b v="1"/>
    <s v="Android Tablet"/>
    <n v="303"/>
    <n v="21"/>
    <x v="1"/>
    <x v="7"/>
    <x v="1"/>
  </r>
  <r>
    <n v="902018"/>
    <x v="22"/>
    <x v="12"/>
    <n v="1.8"/>
    <x v="0"/>
    <d v="2025-06-03T08:43:00"/>
    <x v="5"/>
    <x v="1"/>
    <x v="1"/>
    <b v="0"/>
    <s v="Windows Phone"/>
    <n v="555"/>
    <n v="16"/>
    <x v="0"/>
    <x v="11"/>
    <x v="1"/>
  </r>
  <r>
    <n v="3127557"/>
    <x v="3"/>
    <x v="1"/>
    <n v="4.5"/>
    <x v="2"/>
    <d v="2025-01-09T14:12:00"/>
    <x v="2"/>
    <x v="3"/>
    <x v="1"/>
    <b v="1"/>
    <s v="iOS"/>
    <n v="854"/>
    <n v="28"/>
    <x v="1"/>
    <x v="13"/>
    <x v="0"/>
  </r>
  <r>
    <n v="4071774"/>
    <x v="28"/>
    <x v="4"/>
    <n v="3.5"/>
    <x v="1"/>
    <d v="2025-04-05T18:42:00"/>
    <x v="6"/>
    <x v="6"/>
    <x v="1"/>
    <b v="1"/>
    <s v="Android"/>
    <n v="269"/>
    <n v="74"/>
    <x v="2"/>
    <x v="16"/>
    <x v="1"/>
  </r>
  <r>
    <n v="5513349"/>
    <x v="14"/>
    <x v="3"/>
    <n v="2.4"/>
    <x v="3"/>
    <d v="2024-10-11T15:40:00"/>
    <x v="1"/>
    <x v="0"/>
    <x v="0"/>
    <b v="1"/>
    <s v="Windows Phone"/>
    <n v="59"/>
    <n v="66"/>
    <x v="2"/>
    <x v="6"/>
    <x v="0"/>
  </r>
  <r>
    <n v="5457240"/>
    <x v="31"/>
    <x v="17"/>
    <n v="2.8"/>
    <x v="3"/>
    <d v="2024-02-24T15:06:00"/>
    <x v="6"/>
    <x v="8"/>
    <x v="0"/>
    <b v="1"/>
    <s v="Android"/>
    <n v="988"/>
    <n v="70"/>
    <x v="2"/>
    <x v="21"/>
    <x v="0"/>
  </r>
  <r>
    <n v="2773322"/>
    <x v="31"/>
    <x v="12"/>
    <n v="3.1"/>
    <x v="1"/>
    <d v="2024-08-21T21:25:00"/>
    <x v="0"/>
    <x v="9"/>
    <x v="0"/>
    <b v="1"/>
    <s v="Android Tablet"/>
    <n v="240"/>
    <n v="30"/>
    <x v="1"/>
    <x v="17"/>
    <x v="0"/>
  </r>
  <r>
    <n v="7931858"/>
    <x v="36"/>
    <x v="15"/>
    <n v="3.5"/>
    <x v="1"/>
    <d v="2024-08-22T06:37:00"/>
    <x v="2"/>
    <x v="9"/>
    <x v="0"/>
    <b v="1"/>
    <s v="iPad"/>
    <n v="1107"/>
    <n v="41"/>
    <x v="1"/>
    <x v="3"/>
    <x v="0"/>
  </r>
  <r>
    <n v="958283"/>
    <x v="37"/>
    <x v="10"/>
    <n v="2.9"/>
    <x v="3"/>
    <d v="2025-04-16T08:05:00"/>
    <x v="0"/>
    <x v="6"/>
    <x v="1"/>
    <b v="1"/>
    <s v="Windows Phone"/>
    <n v="199"/>
    <n v="65"/>
    <x v="2"/>
    <x v="11"/>
    <x v="0"/>
  </r>
  <r>
    <n v="547065"/>
    <x v="31"/>
    <x v="16"/>
    <n v="4.4000000000000004"/>
    <x v="2"/>
    <d v="2024-11-06T12:16:00"/>
    <x v="0"/>
    <x v="4"/>
    <x v="0"/>
    <b v="1"/>
    <s v="iPad"/>
    <n v="127"/>
    <n v="36"/>
    <x v="1"/>
    <x v="4"/>
    <x v="1"/>
  </r>
  <r>
    <n v="2557461"/>
    <x v="22"/>
    <x v="11"/>
    <n v="3.3"/>
    <x v="1"/>
    <d v="2024-03-13T11:30:00"/>
    <x v="0"/>
    <x v="2"/>
    <x v="0"/>
    <b v="1"/>
    <s v="iPad"/>
    <n v="111"/>
    <n v="54"/>
    <x v="1"/>
    <x v="22"/>
    <x v="1"/>
  </r>
  <r>
    <n v="4402415"/>
    <x v="38"/>
    <x v="12"/>
    <n v="1.8"/>
    <x v="0"/>
    <d v="2025-03-03T08:28:00"/>
    <x v="3"/>
    <x v="2"/>
    <x v="1"/>
    <b v="1"/>
    <s v="Android"/>
    <n v="188"/>
    <n v="16"/>
    <x v="0"/>
    <x v="12"/>
    <x v="0"/>
  </r>
  <r>
    <n v="3996008"/>
    <x v="30"/>
    <x v="1"/>
    <n v="1.1000000000000001"/>
    <x v="0"/>
    <d v="2024-09-19T13:02:00"/>
    <x v="2"/>
    <x v="10"/>
    <x v="0"/>
    <b v="0"/>
    <s v="Android"/>
    <n v="691"/>
    <n v="63"/>
    <x v="2"/>
    <x v="15"/>
    <x v="1"/>
  </r>
  <r>
    <n v="725760"/>
    <x v="5"/>
    <x v="4"/>
    <n v="2.9"/>
    <x v="3"/>
    <d v="2024-09-25T20:56:00"/>
    <x v="0"/>
    <x v="10"/>
    <x v="0"/>
    <b v="1"/>
    <s v="Windows Phone"/>
    <n v="93"/>
    <n v="28"/>
    <x v="1"/>
    <x v="8"/>
    <x v="0"/>
  </r>
  <r>
    <n v="4579421"/>
    <x v="0"/>
    <x v="3"/>
    <n v="4.8"/>
    <x v="2"/>
    <d v="2024-04-12T21:44:00"/>
    <x v="1"/>
    <x v="6"/>
    <x v="0"/>
    <b v="1"/>
    <s v="Windows Phone"/>
    <n v="1178"/>
    <n v="63"/>
    <x v="2"/>
    <x v="16"/>
    <x v="1"/>
  </r>
  <r>
    <n v="9872069"/>
    <x v="27"/>
    <x v="5"/>
    <n v="3.6"/>
    <x v="1"/>
    <d v="2025-02-12T08:35:00"/>
    <x v="0"/>
    <x v="8"/>
    <x v="1"/>
    <b v="1"/>
    <s v="Android"/>
    <n v="1148"/>
    <n v="58"/>
    <x v="1"/>
    <x v="16"/>
    <x v="0"/>
  </r>
  <r>
    <n v="6132283"/>
    <x v="39"/>
    <x v="9"/>
    <n v="2.6"/>
    <x v="3"/>
    <d v="2025-06-26T03:17:00"/>
    <x v="2"/>
    <x v="1"/>
    <x v="1"/>
    <b v="0"/>
    <s v="iOS"/>
    <n v="590"/>
    <n v="74"/>
    <x v="2"/>
    <x v="0"/>
    <x v="1"/>
  </r>
  <r>
    <n v="5317344"/>
    <x v="0"/>
    <x v="12"/>
    <n v="4"/>
    <x v="1"/>
    <d v="2025-01-18T01:01:00"/>
    <x v="6"/>
    <x v="3"/>
    <x v="1"/>
    <b v="1"/>
    <s v="Android"/>
    <n v="597"/>
    <n v="25"/>
    <x v="1"/>
    <x v="0"/>
    <x v="1"/>
  </r>
  <r>
    <n v="5049909"/>
    <x v="17"/>
    <x v="10"/>
    <n v="1.5"/>
    <x v="0"/>
    <d v="2024-05-12T08:35:00"/>
    <x v="4"/>
    <x v="5"/>
    <x v="0"/>
    <b v="0"/>
    <s v="iPad"/>
    <n v="351"/>
    <n v="63"/>
    <x v="2"/>
    <x v="22"/>
    <x v="0"/>
  </r>
  <r>
    <n v="3805235"/>
    <x v="9"/>
    <x v="7"/>
    <n v="3.8"/>
    <x v="1"/>
    <d v="2024-01-18T01:55:00"/>
    <x v="2"/>
    <x v="3"/>
    <x v="0"/>
    <b v="1"/>
    <s v="iOS"/>
    <n v="330"/>
    <n v="28"/>
    <x v="1"/>
    <x v="10"/>
    <x v="1"/>
  </r>
  <r>
    <n v="8301172"/>
    <x v="23"/>
    <x v="5"/>
    <n v="1.1000000000000001"/>
    <x v="0"/>
    <d v="2025-04-26T00:52:00"/>
    <x v="6"/>
    <x v="6"/>
    <x v="1"/>
    <b v="1"/>
    <s v="Windows Phone"/>
    <n v="912"/>
    <n v="56"/>
    <x v="1"/>
    <x v="9"/>
    <x v="1"/>
  </r>
  <r>
    <n v="3755777"/>
    <x v="26"/>
    <x v="14"/>
    <n v="2.4"/>
    <x v="3"/>
    <d v="2024-10-23T01:34:00"/>
    <x v="0"/>
    <x v="0"/>
    <x v="0"/>
    <b v="1"/>
    <s v="iPad"/>
    <n v="912"/>
    <n v="68"/>
    <x v="2"/>
    <x v="4"/>
    <x v="1"/>
  </r>
  <r>
    <n v="1169713"/>
    <x v="28"/>
    <x v="4"/>
    <n v="2.2000000000000002"/>
    <x v="3"/>
    <d v="2024-09-24T05:05:00"/>
    <x v="5"/>
    <x v="10"/>
    <x v="0"/>
    <b v="1"/>
    <s v="Windows Phone"/>
    <n v="949"/>
    <n v="27"/>
    <x v="1"/>
    <x v="20"/>
    <x v="1"/>
  </r>
  <r>
    <n v="7625204"/>
    <x v="25"/>
    <x v="12"/>
    <n v="1.7"/>
    <x v="0"/>
    <d v="2025-02-09T09:57:00"/>
    <x v="4"/>
    <x v="8"/>
    <x v="1"/>
    <b v="1"/>
    <s v="iPad"/>
    <n v="58"/>
    <n v="60"/>
    <x v="1"/>
    <x v="10"/>
    <x v="0"/>
  </r>
  <r>
    <n v="362492"/>
    <x v="29"/>
    <x v="17"/>
    <n v="4.4000000000000004"/>
    <x v="2"/>
    <d v="2023-09-07T16:28:00"/>
    <x v="2"/>
    <x v="10"/>
    <x v="2"/>
    <b v="1"/>
    <s v="Android Tablet"/>
    <n v="750"/>
    <n v="57"/>
    <x v="1"/>
    <x v="13"/>
    <x v="0"/>
  </r>
  <r>
    <n v="842169"/>
    <x v="29"/>
    <x v="13"/>
    <n v="3"/>
    <x v="3"/>
    <d v="2024-06-08T07:50:00"/>
    <x v="6"/>
    <x v="1"/>
    <x v="0"/>
    <b v="1"/>
    <s v="iPad"/>
    <n v="590"/>
    <n v="48"/>
    <x v="1"/>
    <x v="15"/>
    <x v="1"/>
  </r>
  <r>
    <n v="1122699"/>
    <x v="11"/>
    <x v="2"/>
    <n v="3"/>
    <x v="3"/>
    <d v="2024-10-06T07:03:00"/>
    <x v="4"/>
    <x v="0"/>
    <x v="0"/>
    <b v="1"/>
    <s v="iOS"/>
    <n v="60"/>
    <n v="19"/>
    <x v="1"/>
    <x v="15"/>
    <x v="1"/>
  </r>
  <r>
    <n v="7267236"/>
    <x v="24"/>
    <x v="16"/>
    <n v="1.1000000000000001"/>
    <x v="0"/>
    <d v="2024-01-22T21:48:00"/>
    <x v="3"/>
    <x v="3"/>
    <x v="0"/>
    <b v="1"/>
    <s v="Windows Phone"/>
    <n v="620"/>
    <n v="69"/>
    <x v="2"/>
    <x v="8"/>
    <x v="0"/>
  </r>
  <r>
    <n v="3604577"/>
    <x v="2"/>
    <x v="4"/>
    <n v="3.6"/>
    <x v="1"/>
    <d v="2025-06-06T05:14:00"/>
    <x v="1"/>
    <x v="1"/>
    <x v="1"/>
    <b v="1"/>
    <s v="Android"/>
    <n v="413"/>
    <n v="23"/>
    <x v="1"/>
    <x v="22"/>
    <x v="0"/>
  </r>
  <r>
    <n v="5186650"/>
    <x v="24"/>
    <x v="11"/>
    <n v="4.5999999999999996"/>
    <x v="2"/>
    <d v="2025-07-06T21:57:00"/>
    <x v="4"/>
    <x v="11"/>
    <x v="1"/>
    <b v="1"/>
    <s v="Android"/>
    <n v="812"/>
    <n v="73"/>
    <x v="2"/>
    <x v="15"/>
    <x v="0"/>
  </r>
  <r>
    <n v="3653544"/>
    <x v="33"/>
    <x v="13"/>
    <n v="4.3"/>
    <x v="2"/>
    <d v="2025-07-28T19:00:00"/>
    <x v="3"/>
    <x v="11"/>
    <x v="1"/>
    <b v="1"/>
    <s v="Android Tablet"/>
    <n v="483"/>
    <n v="72"/>
    <x v="2"/>
    <x v="18"/>
    <x v="0"/>
  </r>
  <r>
    <n v="7922384"/>
    <x v="18"/>
    <x v="9"/>
    <n v="2.9"/>
    <x v="3"/>
    <d v="2024-09-18T09:02:00"/>
    <x v="0"/>
    <x v="10"/>
    <x v="0"/>
    <b v="0"/>
    <s v="Android Tablet"/>
    <n v="681"/>
    <n v="58"/>
    <x v="1"/>
    <x v="18"/>
    <x v="1"/>
  </r>
  <r>
    <n v="6127375"/>
    <x v="7"/>
    <x v="10"/>
    <n v="2.6"/>
    <x v="3"/>
    <d v="2024-03-27T10:29:00"/>
    <x v="0"/>
    <x v="2"/>
    <x v="0"/>
    <b v="1"/>
    <s v="iPad"/>
    <n v="642"/>
    <n v="49"/>
    <x v="1"/>
    <x v="0"/>
    <x v="1"/>
  </r>
  <r>
    <n v="6133835"/>
    <x v="11"/>
    <x v="16"/>
    <n v="4.2"/>
    <x v="2"/>
    <d v="2024-09-02T04:40:00"/>
    <x v="3"/>
    <x v="10"/>
    <x v="0"/>
    <b v="1"/>
    <s v="iOS"/>
    <n v="172"/>
    <n v="39"/>
    <x v="1"/>
    <x v="14"/>
    <x v="0"/>
  </r>
  <r>
    <n v="7018793"/>
    <x v="2"/>
    <x v="10"/>
    <n v="4.3"/>
    <x v="2"/>
    <d v="2024-09-17T06:14:00"/>
    <x v="5"/>
    <x v="10"/>
    <x v="0"/>
    <b v="1"/>
    <s v="iPad"/>
    <n v="1058"/>
    <n v="33"/>
    <x v="1"/>
    <x v="18"/>
    <x v="0"/>
  </r>
  <r>
    <n v="7001115"/>
    <x v="0"/>
    <x v="9"/>
    <n v="1.7"/>
    <x v="0"/>
    <d v="2023-08-10T01:59:00"/>
    <x v="2"/>
    <x v="9"/>
    <x v="2"/>
    <b v="1"/>
    <s v="Android Tablet"/>
    <n v="893"/>
    <n v="20"/>
    <x v="1"/>
    <x v="23"/>
    <x v="1"/>
  </r>
  <r>
    <n v="8961040"/>
    <x v="29"/>
    <x v="7"/>
    <n v="4.2"/>
    <x v="2"/>
    <d v="2025-07-14T19:19:00"/>
    <x v="3"/>
    <x v="11"/>
    <x v="1"/>
    <b v="1"/>
    <s v="iPad"/>
    <n v="1235"/>
    <n v="21"/>
    <x v="1"/>
    <x v="14"/>
    <x v="1"/>
  </r>
  <r>
    <n v="3954842"/>
    <x v="28"/>
    <x v="16"/>
    <n v="3.1"/>
    <x v="1"/>
    <d v="2024-01-12T02:10:00"/>
    <x v="1"/>
    <x v="3"/>
    <x v="0"/>
    <b v="0"/>
    <s v="Android Tablet"/>
    <n v="459"/>
    <n v="54"/>
    <x v="1"/>
    <x v="9"/>
    <x v="0"/>
  </r>
  <r>
    <n v="6539870"/>
    <x v="31"/>
    <x v="14"/>
    <n v="4.3"/>
    <x v="2"/>
    <d v="2025-03-09T18:39:00"/>
    <x v="4"/>
    <x v="2"/>
    <x v="1"/>
    <b v="0"/>
    <s v="iOS"/>
    <n v="54"/>
    <n v="26"/>
    <x v="1"/>
    <x v="23"/>
    <x v="0"/>
  </r>
  <r>
    <n v="1603554"/>
    <x v="12"/>
    <x v="0"/>
    <n v="2.4"/>
    <x v="3"/>
    <d v="2024-05-01T18:31:00"/>
    <x v="0"/>
    <x v="5"/>
    <x v="0"/>
    <b v="1"/>
    <s v="iPad"/>
    <n v="731"/>
    <n v="56"/>
    <x v="1"/>
    <x v="6"/>
    <x v="0"/>
  </r>
  <r>
    <n v="4729871"/>
    <x v="27"/>
    <x v="10"/>
    <n v="4.3"/>
    <x v="2"/>
    <d v="2024-11-21T20:37:00"/>
    <x v="2"/>
    <x v="4"/>
    <x v="0"/>
    <b v="1"/>
    <s v="Android Tablet"/>
    <n v="699"/>
    <n v="31"/>
    <x v="1"/>
    <x v="21"/>
    <x v="0"/>
  </r>
  <r>
    <n v="2030810"/>
    <x v="20"/>
    <x v="10"/>
    <n v="1.7"/>
    <x v="0"/>
    <d v="2023-08-18T10:05:00"/>
    <x v="1"/>
    <x v="9"/>
    <x v="2"/>
    <b v="1"/>
    <s v="Android"/>
    <n v="315"/>
    <n v="32"/>
    <x v="1"/>
    <x v="18"/>
    <x v="0"/>
  </r>
  <r>
    <n v="6895568"/>
    <x v="5"/>
    <x v="7"/>
    <n v="4.8"/>
    <x v="2"/>
    <d v="2024-12-02T00:39:00"/>
    <x v="3"/>
    <x v="7"/>
    <x v="0"/>
    <b v="1"/>
    <s v="Windows Phone"/>
    <n v="592"/>
    <n v="54"/>
    <x v="1"/>
    <x v="6"/>
    <x v="1"/>
  </r>
  <r>
    <n v="4769851"/>
    <x v="17"/>
    <x v="8"/>
    <n v="2.2999999999999998"/>
    <x v="3"/>
    <d v="2025-03-07T05:26:00"/>
    <x v="1"/>
    <x v="2"/>
    <x v="1"/>
    <b v="0"/>
    <s v="iOS"/>
    <n v="4"/>
    <n v="51"/>
    <x v="1"/>
    <x v="23"/>
    <x v="1"/>
  </r>
  <r>
    <n v="9107502"/>
    <x v="3"/>
    <x v="14"/>
    <n v="1.1000000000000001"/>
    <x v="0"/>
    <d v="2023-12-24T02:15:00"/>
    <x v="4"/>
    <x v="7"/>
    <x v="2"/>
    <b v="1"/>
    <s v="Android Tablet"/>
    <n v="1241"/>
    <n v="26"/>
    <x v="1"/>
    <x v="20"/>
    <x v="0"/>
  </r>
  <r>
    <n v="5569119"/>
    <x v="18"/>
    <x v="15"/>
    <n v="4"/>
    <x v="1"/>
    <d v="2023-12-31T22:48:00"/>
    <x v="4"/>
    <x v="7"/>
    <x v="2"/>
    <b v="1"/>
    <s v="iOS"/>
    <n v="531"/>
    <n v="72"/>
    <x v="2"/>
    <x v="13"/>
    <x v="0"/>
  </r>
  <r>
    <n v="8312178"/>
    <x v="3"/>
    <x v="16"/>
    <n v="4.2"/>
    <x v="2"/>
    <d v="2024-09-13T18:23:00"/>
    <x v="1"/>
    <x v="10"/>
    <x v="0"/>
    <b v="0"/>
    <s v="iOS"/>
    <n v="867"/>
    <n v="74"/>
    <x v="2"/>
    <x v="0"/>
    <x v="0"/>
  </r>
  <r>
    <n v="6685795"/>
    <x v="26"/>
    <x v="5"/>
    <n v="2.2000000000000002"/>
    <x v="3"/>
    <d v="2024-10-29T19:38:00"/>
    <x v="5"/>
    <x v="0"/>
    <x v="0"/>
    <b v="1"/>
    <s v="Android Tablet"/>
    <n v="134"/>
    <n v="19"/>
    <x v="1"/>
    <x v="9"/>
    <x v="1"/>
  </r>
  <r>
    <n v="1521902"/>
    <x v="38"/>
    <x v="10"/>
    <n v="4.9000000000000004"/>
    <x v="2"/>
    <d v="2025-01-03T22:07:00"/>
    <x v="1"/>
    <x v="3"/>
    <x v="1"/>
    <b v="1"/>
    <s v="Windows Phone"/>
    <n v="613"/>
    <n v="39"/>
    <x v="1"/>
    <x v="7"/>
    <x v="0"/>
  </r>
  <r>
    <n v="5223426"/>
    <x v="0"/>
    <x v="14"/>
    <n v="1.7"/>
    <x v="0"/>
    <d v="2023-10-30T17:09:00"/>
    <x v="3"/>
    <x v="0"/>
    <x v="2"/>
    <b v="1"/>
    <s v="Windows Phone"/>
    <n v="503"/>
    <n v="24"/>
    <x v="1"/>
    <x v="16"/>
    <x v="1"/>
  </r>
  <r>
    <n v="6363036"/>
    <x v="2"/>
    <x v="10"/>
    <n v="1.7"/>
    <x v="0"/>
    <d v="2025-01-20T11:40:00"/>
    <x v="3"/>
    <x v="3"/>
    <x v="1"/>
    <b v="1"/>
    <s v="Windows Phone"/>
    <n v="888"/>
    <n v="69"/>
    <x v="2"/>
    <x v="8"/>
    <x v="1"/>
  </r>
  <r>
    <n v="5377776"/>
    <x v="33"/>
    <x v="5"/>
    <n v="2.5"/>
    <x v="3"/>
    <d v="2025-05-15T20:49:00"/>
    <x v="2"/>
    <x v="5"/>
    <x v="1"/>
    <b v="1"/>
    <s v="Android Tablet"/>
    <n v="649"/>
    <n v="30"/>
    <x v="1"/>
    <x v="1"/>
    <x v="1"/>
  </r>
  <r>
    <n v="260783"/>
    <x v="25"/>
    <x v="15"/>
    <n v="4.3"/>
    <x v="2"/>
    <d v="2024-09-21T10:49:00"/>
    <x v="6"/>
    <x v="10"/>
    <x v="0"/>
    <b v="1"/>
    <s v="Android"/>
    <n v="966"/>
    <n v="54"/>
    <x v="1"/>
    <x v="21"/>
    <x v="0"/>
  </r>
  <r>
    <n v="798108"/>
    <x v="12"/>
    <x v="14"/>
    <n v="2.2999999999999998"/>
    <x v="3"/>
    <d v="2025-05-30T16:11:00"/>
    <x v="1"/>
    <x v="5"/>
    <x v="1"/>
    <b v="0"/>
    <s v="Android"/>
    <n v="1162"/>
    <n v="63"/>
    <x v="2"/>
    <x v="3"/>
    <x v="0"/>
  </r>
  <r>
    <n v="7283451"/>
    <x v="11"/>
    <x v="2"/>
    <n v="2.2999999999999998"/>
    <x v="3"/>
    <d v="2023-12-07T19:11:00"/>
    <x v="2"/>
    <x v="7"/>
    <x v="2"/>
    <b v="0"/>
    <s v="Android Tablet"/>
    <n v="623"/>
    <n v="18"/>
    <x v="1"/>
    <x v="6"/>
    <x v="1"/>
  </r>
  <r>
    <n v="1661871"/>
    <x v="18"/>
    <x v="7"/>
    <n v="2.6"/>
    <x v="3"/>
    <d v="2024-06-08T18:45:00"/>
    <x v="6"/>
    <x v="1"/>
    <x v="0"/>
    <b v="1"/>
    <s v="Android"/>
    <n v="22"/>
    <n v="56"/>
    <x v="1"/>
    <x v="22"/>
    <x v="0"/>
  </r>
  <r>
    <n v="4767852"/>
    <x v="32"/>
    <x v="5"/>
    <n v="3.4"/>
    <x v="1"/>
    <d v="2025-01-21T11:17:00"/>
    <x v="5"/>
    <x v="3"/>
    <x v="1"/>
    <b v="1"/>
    <s v="Android"/>
    <n v="772"/>
    <n v="62"/>
    <x v="2"/>
    <x v="16"/>
    <x v="0"/>
  </r>
  <r>
    <n v="7728527"/>
    <x v="17"/>
    <x v="17"/>
    <n v="1.4"/>
    <x v="0"/>
    <d v="2024-04-07T15:43:00"/>
    <x v="4"/>
    <x v="6"/>
    <x v="0"/>
    <b v="1"/>
    <s v="iPad"/>
    <n v="660"/>
    <n v="48"/>
    <x v="1"/>
    <x v="5"/>
    <x v="0"/>
  </r>
  <r>
    <n v="5766591"/>
    <x v="10"/>
    <x v="14"/>
    <n v="1.9"/>
    <x v="0"/>
    <d v="2024-09-28T23:41:00"/>
    <x v="6"/>
    <x v="10"/>
    <x v="0"/>
    <b v="1"/>
    <s v="iPad"/>
    <n v="755"/>
    <n v="15"/>
    <x v="0"/>
    <x v="0"/>
    <x v="0"/>
  </r>
  <r>
    <n v="2291007"/>
    <x v="28"/>
    <x v="7"/>
    <n v="1.7"/>
    <x v="0"/>
    <d v="2024-10-13T14:43:00"/>
    <x v="4"/>
    <x v="0"/>
    <x v="0"/>
    <b v="1"/>
    <s v="iPad"/>
    <n v="987"/>
    <n v="17"/>
    <x v="0"/>
    <x v="7"/>
    <x v="1"/>
  </r>
  <r>
    <n v="912172"/>
    <x v="32"/>
    <x v="10"/>
    <n v="4"/>
    <x v="1"/>
    <d v="2024-02-29T17:10:00"/>
    <x v="2"/>
    <x v="8"/>
    <x v="0"/>
    <b v="1"/>
    <s v="iOS"/>
    <n v="678"/>
    <n v="34"/>
    <x v="1"/>
    <x v="2"/>
    <x v="0"/>
  </r>
  <r>
    <n v="6147102"/>
    <x v="35"/>
    <x v="2"/>
    <n v="4.8"/>
    <x v="2"/>
    <d v="2024-02-11T08:40:00"/>
    <x v="4"/>
    <x v="8"/>
    <x v="0"/>
    <b v="1"/>
    <s v="Android"/>
    <n v="289"/>
    <n v="73"/>
    <x v="2"/>
    <x v="16"/>
    <x v="0"/>
  </r>
  <r>
    <n v="6338503"/>
    <x v="19"/>
    <x v="16"/>
    <n v="2"/>
    <x v="3"/>
    <d v="2024-12-29T00:25:00"/>
    <x v="4"/>
    <x v="7"/>
    <x v="0"/>
    <b v="0"/>
    <s v="iPad"/>
    <n v="1180"/>
    <n v="41"/>
    <x v="1"/>
    <x v="5"/>
    <x v="0"/>
  </r>
  <r>
    <n v="1513458"/>
    <x v="9"/>
    <x v="2"/>
    <n v="2.5"/>
    <x v="3"/>
    <d v="2023-08-10T06:01:00"/>
    <x v="2"/>
    <x v="9"/>
    <x v="2"/>
    <b v="1"/>
    <s v="Windows Phone"/>
    <n v="973"/>
    <n v="45"/>
    <x v="1"/>
    <x v="18"/>
    <x v="0"/>
  </r>
  <r>
    <n v="9635840"/>
    <x v="21"/>
    <x v="5"/>
    <n v="4.8"/>
    <x v="2"/>
    <d v="2023-09-22T07:58:00"/>
    <x v="1"/>
    <x v="10"/>
    <x v="2"/>
    <b v="1"/>
    <s v="Android Tablet"/>
    <n v="1107"/>
    <n v="28"/>
    <x v="1"/>
    <x v="2"/>
    <x v="0"/>
  </r>
  <r>
    <n v="3046849"/>
    <x v="20"/>
    <x v="6"/>
    <n v="4.5"/>
    <x v="2"/>
    <d v="2023-11-01T15:39:00"/>
    <x v="0"/>
    <x v="4"/>
    <x v="2"/>
    <b v="1"/>
    <s v="Android"/>
    <n v="622"/>
    <n v="42"/>
    <x v="1"/>
    <x v="5"/>
    <x v="0"/>
  </r>
  <r>
    <n v="2402031"/>
    <x v="34"/>
    <x v="12"/>
    <n v="4.7"/>
    <x v="2"/>
    <d v="2024-02-21T02:48:00"/>
    <x v="0"/>
    <x v="8"/>
    <x v="0"/>
    <b v="0"/>
    <s v="Android"/>
    <n v="728"/>
    <n v="75"/>
    <x v="2"/>
    <x v="23"/>
    <x v="0"/>
  </r>
  <r>
    <n v="8423974"/>
    <x v="12"/>
    <x v="13"/>
    <n v="1.7"/>
    <x v="0"/>
    <d v="2024-07-19T10:34:00"/>
    <x v="1"/>
    <x v="11"/>
    <x v="0"/>
    <b v="1"/>
    <s v="Android Tablet"/>
    <n v="888"/>
    <n v="32"/>
    <x v="1"/>
    <x v="13"/>
    <x v="0"/>
  </r>
  <r>
    <n v="6141876"/>
    <x v="30"/>
    <x v="2"/>
    <n v="3.9"/>
    <x v="1"/>
    <d v="2023-09-12T22:32:00"/>
    <x v="5"/>
    <x v="10"/>
    <x v="2"/>
    <b v="1"/>
    <s v="Android"/>
    <n v="424"/>
    <n v="74"/>
    <x v="2"/>
    <x v="9"/>
    <x v="1"/>
  </r>
  <r>
    <n v="2739223"/>
    <x v="20"/>
    <x v="6"/>
    <n v="4.5999999999999996"/>
    <x v="2"/>
    <d v="2024-02-15T00:47:00"/>
    <x v="2"/>
    <x v="8"/>
    <x v="0"/>
    <b v="0"/>
    <s v="iPad"/>
    <n v="1241"/>
    <n v="47"/>
    <x v="1"/>
    <x v="21"/>
    <x v="0"/>
  </r>
  <r>
    <n v="1826457"/>
    <x v="29"/>
    <x v="4"/>
    <n v="1.3"/>
    <x v="0"/>
    <d v="2025-06-25T11:26:00"/>
    <x v="0"/>
    <x v="1"/>
    <x v="1"/>
    <b v="1"/>
    <s v="iPad"/>
    <n v="533"/>
    <n v="37"/>
    <x v="1"/>
    <x v="5"/>
    <x v="0"/>
  </r>
  <r>
    <n v="5198752"/>
    <x v="36"/>
    <x v="9"/>
    <n v="3.5"/>
    <x v="1"/>
    <d v="2023-11-25T19:50:00"/>
    <x v="6"/>
    <x v="4"/>
    <x v="2"/>
    <b v="1"/>
    <s v="Android"/>
    <n v="625"/>
    <n v="39"/>
    <x v="1"/>
    <x v="7"/>
    <x v="1"/>
  </r>
  <r>
    <n v="1144933"/>
    <x v="37"/>
    <x v="1"/>
    <n v="5"/>
    <x v="2"/>
    <d v="2024-07-03T17:44:00"/>
    <x v="0"/>
    <x v="11"/>
    <x v="0"/>
    <b v="0"/>
    <s v="iOS"/>
    <n v="878"/>
    <n v="25"/>
    <x v="1"/>
    <x v="23"/>
    <x v="1"/>
  </r>
  <r>
    <n v="4478701"/>
    <x v="4"/>
    <x v="5"/>
    <n v="4.8"/>
    <x v="2"/>
    <d v="2025-05-22T19:15:00"/>
    <x v="2"/>
    <x v="5"/>
    <x v="1"/>
    <b v="1"/>
    <s v="Android Tablet"/>
    <n v="505"/>
    <n v="33"/>
    <x v="1"/>
    <x v="3"/>
    <x v="0"/>
  </r>
  <r>
    <n v="4546095"/>
    <x v="28"/>
    <x v="17"/>
    <n v="4.4000000000000004"/>
    <x v="2"/>
    <d v="2024-02-18T22:56:00"/>
    <x v="4"/>
    <x v="8"/>
    <x v="0"/>
    <b v="1"/>
    <s v="iPad"/>
    <n v="549"/>
    <n v="48"/>
    <x v="1"/>
    <x v="10"/>
    <x v="0"/>
  </r>
  <r>
    <n v="4291831"/>
    <x v="32"/>
    <x v="1"/>
    <n v="3.9"/>
    <x v="1"/>
    <d v="2023-10-13T10:53:00"/>
    <x v="1"/>
    <x v="0"/>
    <x v="2"/>
    <b v="1"/>
    <s v="iPad"/>
    <n v="303"/>
    <n v="70"/>
    <x v="2"/>
    <x v="23"/>
    <x v="1"/>
  </r>
  <r>
    <n v="2137647"/>
    <x v="13"/>
    <x v="2"/>
    <n v="1.6"/>
    <x v="0"/>
    <d v="2023-08-10T03:58:00"/>
    <x v="2"/>
    <x v="9"/>
    <x v="2"/>
    <b v="1"/>
    <s v="Windows Phone"/>
    <n v="27"/>
    <n v="63"/>
    <x v="2"/>
    <x v="20"/>
    <x v="1"/>
  </r>
  <r>
    <n v="3829376"/>
    <x v="28"/>
    <x v="9"/>
    <n v="3.8"/>
    <x v="1"/>
    <d v="2023-11-10T09:47:00"/>
    <x v="1"/>
    <x v="4"/>
    <x v="2"/>
    <b v="1"/>
    <s v="Windows Phone"/>
    <n v="252"/>
    <n v="14"/>
    <x v="0"/>
    <x v="3"/>
    <x v="1"/>
  </r>
  <r>
    <n v="6820647"/>
    <x v="35"/>
    <x v="12"/>
    <n v="2.5"/>
    <x v="3"/>
    <d v="2024-05-16T00:07:00"/>
    <x v="2"/>
    <x v="5"/>
    <x v="0"/>
    <b v="0"/>
    <s v="Android"/>
    <n v="1007"/>
    <n v="23"/>
    <x v="1"/>
    <x v="10"/>
    <x v="0"/>
  </r>
  <r>
    <n v="7539543"/>
    <x v="1"/>
    <x v="13"/>
    <n v="2.4"/>
    <x v="3"/>
    <d v="2025-04-20T11:29:00"/>
    <x v="4"/>
    <x v="6"/>
    <x v="1"/>
    <b v="1"/>
    <s v="Android Tablet"/>
    <n v="273"/>
    <n v="71"/>
    <x v="2"/>
    <x v="10"/>
    <x v="1"/>
  </r>
  <r>
    <n v="6124901"/>
    <x v="27"/>
    <x v="16"/>
    <n v="2"/>
    <x v="3"/>
    <d v="2024-08-07T11:02:00"/>
    <x v="0"/>
    <x v="9"/>
    <x v="0"/>
    <b v="1"/>
    <s v="iOS"/>
    <n v="1109"/>
    <n v="19"/>
    <x v="1"/>
    <x v="0"/>
    <x v="0"/>
  </r>
  <r>
    <n v="6052633"/>
    <x v="4"/>
    <x v="0"/>
    <n v="2.2999999999999998"/>
    <x v="3"/>
    <d v="2024-04-14T13:02:00"/>
    <x v="4"/>
    <x v="6"/>
    <x v="0"/>
    <b v="0"/>
    <s v="Android"/>
    <n v="1231"/>
    <n v="62"/>
    <x v="2"/>
    <x v="1"/>
    <x v="1"/>
  </r>
  <r>
    <n v="3617918"/>
    <x v="9"/>
    <x v="15"/>
    <n v="4.5999999999999996"/>
    <x v="2"/>
    <d v="2024-02-10T16:51:00"/>
    <x v="6"/>
    <x v="8"/>
    <x v="0"/>
    <b v="0"/>
    <s v="Android Tablet"/>
    <n v="15"/>
    <n v="73"/>
    <x v="2"/>
    <x v="14"/>
    <x v="0"/>
  </r>
  <r>
    <n v="8372543"/>
    <x v="23"/>
    <x v="17"/>
    <n v="1.1000000000000001"/>
    <x v="0"/>
    <d v="2025-06-15T18:28:00"/>
    <x v="4"/>
    <x v="1"/>
    <x v="1"/>
    <b v="1"/>
    <s v="Windows Phone"/>
    <n v="161"/>
    <n v="49"/>
    <x v="1"/>
    <x v="1"/>
    <x v="1"/>
  </r>
  <r>
    <n v="5992681"/>
    <x v="6"/>
    <x v="1"/>
    <n v="1.3"/>
    <x v="0"/>
    <d v="2025-04-12T15:08:00"/>
    <x v="6"/>
    <x v="6"/>
    <x v="1"/>
    <b v="1"/>
    <s v="iOS"/>
    <n v="47"/>
    <n v="53"/>
    <x v="1"/>
    <x v="13"/>
    <x v="1"/>
  </r>
  <r>
    <n v="4480995"/>
    <x v="8"/>
    <x v="5"/>
    <n v="3.1"/>
    <x v="1"/>
    <d v="2023-10-21T05:17:00"/>
    <x v="6"/>
    <x v="0"/>
    <x v="2"/>
    <b v="1"/>
    <s v="iPad"/>
    <n v="249"/>
    <n v="25"/>
    <x v="1"/>
    <x v="12"/>
    <x v="1"/>
  </r>
  <r>
    <n v="9396463"/>
    <x v="34"/>
    <x v="14"/>
    <n v="2.2000000000000002"/>
    <x v="3"/>
    <d v="2024-06-04T14:24:00"/>
    <x v="5"/>
    <x v="1"/>
    <x v="0"/>
    <b v="1"/>
    <s v="Windows Phone"/>
    <n v="721"/>
    <n v="38"/>
    <x v="1"/>
    <x v="20"/>
    <x v="1"/>
  </r>
  <r>
    <n v="6324691"/>
    <x v="23"/>
    <x v="11"/>
    <n v="4.8"/>
    <x v="2"/>
    <d v="2025-06-18T15:51:00"/>
    <x v="0"/>
    <x v="1"/>
    <x v="1"/>
    <b v="1"/>
    <s v="Android"/>
    <n v="59"/>
    <n v="27"/>
    <x v="1"/>
    <x v="3"/>
    <x v="1"/>
  </r>
  <r>
    <n v="7902377"/>
    <x v="19"/>
    <x v="14"/>
    <n v="1.8"/>
    <x v="0"/>
    <d v="2024-02-21T11:13:00"/>
    <x v="0"/>
    <x v="8"/>
    <x v="0"/>
    <b v="1"/>
    <s v="iOS"/>
    <n v="958"/>
    <n v="65"/>
    <x v="2"/>
    <x v="1"/>
    <x v="0"/>
  </r>
  <r>
    <n v="1722400"/>
    <x v="37"/>
    <x v="13"/>
    <n v="4.7"/>
    <x v="2"/>
    <d v="2023-10-06T10:46:00"/>
    <x v="1"/>
    <x v="0"/>
    <x v="2"/>
    <b v="0"/>
    <s v="iOS"/>
    <n v="602"/>
    <n v="25"/>
    <x v="1"/>
    <x v="1"/>
    <x v="0"/>
  </r>
  <r>
    <n v="5867862"/>
    <x v="6"/>
    <x v="0"/>
    <n v="1.4"/>
    <x v="0"/>
    <d v="2025-04-19T14:38:00"/>
    <x v="6"/>
    <x v="6"/>
    <x v="1"/>
    <b v="1"/>
    <s v="iOS"/>
    <n v="828"/>
    <n v="38"/>
    <x v="1"/>
    <x v="1"/>
    <x v="1"/>
  </r>
  <r>
    <n v="7045543"/>
    <x v="29"/>
    <x v="14"/>
    <n v="4.5999999999999996"/>
    <x v="2"/>
    <d v="2024-01-30T21:45:00"/>
    <x v="5"/>
    <x v="3"/>
    <x v="0"/>
    <b v="1"/>
    <s v="Windows Phone"/>
    <n v="976"/>
    <n v="60"/>
    <x v="1"/>
    <x v="19"/>
    <x v="0"/>
  </r>
  <r>
    <n v="4426615"/>
    <x v="20"/>
    <x v="11"/>
    <n v="3.6"/>
    <x v="1"/>
    <d v="2024-04-05T05:38:00"/>
    <x v="1"/>
    <x v="6"/>
    <x v="0"/>
    <b v="0"/>
    <s v="iOS"/>
    <n v="731"/>
    <n v="44"/>
    <x v="1"/>
    <x v="20"/>
    <x v="0"/>
  </r>
  <r>
    <n v="1224274"/>
    <x v="13"/>
    <x v="0"/>
    <n v="2.6"/>
    <x v="3"/>
    <d v="2023-10-07T11:23:00"/>
    <x v="6"/>
    <x v="0"/>
    <x v="2"/>
    <b v="1"/>
    <s v="Android Tablet"/>
    <n v="565"/>
    <n v="32"/>
    <x v="1"/>
    <x v="16"/>
    <x v="1"/>
  </r>
  <r>
    <n v="2586379"/>
    <x v="28"/>
    <x v="6"/>
    <n v="4.4000000000000004"/>
    <x v="2"/>
    <d v="2024-10-13T23:09:00"/>
    <x v="4"/>
    <x v="0"/>
    <x v="0"/>
    <b v="1"/>
    <s v="Android"/>
    <n v="112"/>
    <n v="30"/>
    <x v="1"/>
    <x v="5"/>
    <x v="1"/>
  </r>
  <r>
    <n v="6993590"/>
    <x v="34"/>
    <x v="0"/>
    <n v="1.4"/>
    <x v="0"/>
    <d v="2024-02-22T00:56:00"/>
    <x v="2"/>
    <x v="8"/>
    <x v="0"/>
    <b v="1"/>
    <s v="Android"/>
    <n v="1035"/>
    <n v="41"/>
    <x v="1"/>
    <x v="1"/>
    <x v="1"/>
  </r>
  <r>
    <n v="8036405"/>
    <x v="27"/>
    <x v="8"/>
    <n v="1.1000000000000001"/>
    <x v="0"/>
    <d v="2023-08-29T23:29:00"/>
    <x v="5"/>
    <x v="9"/>
    <x v="2"/>
    <b v="1"/>
    <s v="Android Tablet"/>
    <n v="246"/>
    <n v="49"/>
    <x v="1"/>
    <x v="1"/>
    <x v="1"/>
  </r>
  <r>
    <n v="4720682"/>
    <x v="36"/>
    <x v="4"/>
    <n v="2.4"/>
    <x v="3"/>
    <d v="2024-06-08T21:03:00"/>
    <x v="6"/>
    <x v="1"/>
    <x v="0"/>
    <b v="1"/>
    <s v="Windows Phone"/>
    <n v="799"/>
    <n v="45"/>
    <x v="1"/>
    <x v="0"/>
    <x v="0"/>
  </r>
  <r>
    <n v="5661547"/>
    <x v="16"/>
    <x v="3"/>
    <n v="4.7"/>
    <x v="2"/>
    <d v="2025-01-18T05:11:00"/>
    <x v="6"/>
    <x v="3"/>
    <x v="1"/>
    <b v="1"/>
    <s v="Android Tablet"/>
    <n v="662"/>
    <n v="61"/>
    <x v="2"/>
    <x v="2"/>
    <x v="0"/>
  </r>
  <r>
    <n v="4606097"/>
    <x v="32"/>
    <x v="6"/>
    <n v="3.3"/>
    <x v="1"/>
    <d v="2023-10-16T03:58:00"/>
    <x v="3"/>
    <x v="0"/>
    <x v="2"/>
    <b v="1"/>
    <s v="Android"/>
    <n v="416"/>
    <n v="15"/>
    <x v="0"/>
    <x v="17"/>
    <x v="1"/>
  </r>
  <r>
    <n v="4620117"/>
    <x v="16"/>
    <x v="5"/>
    <n v="2.7"/>
    <x v="3"/>
    <d v="2025-02-16T22:53:00"/>
    <x v="4"/>
    <x v="8"/>
    <x v="1"/>
    <b v="1"/>
    <s v="iOS"/>
    <n v="685"/>
    <n v="69"/>
    <x v="2"/>
    <x v="3"/>
    <x v="0"/>
  </r>
  <r>
    <n v="3646544"/>
    <x v="36"/>
    <x v="16"/>
    <n v="3.4"/>
    <x v="1"/>
    <d v="2025-07-10T08:41:00"/>
    <x v="2"/>
    <x v="11"/>
    <x v="1"/>
    <b v="1"/>
    <s v="Android Tablet"/>
    <n v="37"/>
    <n v="48"/>
    <x v="1"/>
    <x v="23"/>
    <x v="1"/>
  </r>
  <r>
    <n v="6348955"/>
    <x v="25"/>
    <x v="13"/>
    <n v="4.9000000000000004"/>
    <x v="2"/>
    <d v="2024-08-14T12:43:00"/>
    <x v="0"/>
    <x v="9"/>
    <x v="0"/>
    <b v="1"/>
    <s v="Android Tablet"/>
    <n v="929"/>
    <n v="73"/>
    <x v="2"/>
    <x v="10"/>
    <x v="1"/>
  </r>
  <r>
    <n v="8834854"/>
    <x v="26"/>
    <x v="1"/>
    <n v="3.9"/>
    <x v="1"/>
    <d v="2025-05-02T03:20:00"/>
    <x v="1"/>
    <x v="5"/>
    <x v="1"/>
    <b v="0"/>
    <s v="Android"/>
    <n v="530"/>
    <n v="75"/>
    <x v="2"/>
    <x v="22"/>
    <x v="1"/>
  </r>
  <r>
    <n v="6378533"/>
    <x v="13"/>
    <x v="5"/>
    <n v="5"/>
    <x v="2"/>
    <d v="2025-01-10T15:17:00"/>
    <x v="1"/>
    <x v="3"/>
    <x v="1"/>
    <b v="1"/>
    <s v="Windows Phone"/>
    <n v="856"/>
    <n v="47"/>
    <x v="1"/>
    <x v="15"/>
    <x v="1"/>
  </r>
  <r>
    <n v="9465848"/>
    <x v="13"/>
    <x v="16"/>
    <n v="3.4"/>
    <x v="1"/>
    <d v="2024-03-26T09:33:00"/>
    <x v="5"/>
    <x v="2"/>
    <x v="0"/>
    <b v="1"/>
    <s v="Windows Phone"/>
    <n v="220"/>
    <n v="59"/>
    <x v="1"/>
    <x v="3"/>
    <x v="1"/>
  </r>
  <r>
    <n v="3066618"/>
    <x v="9"/>
    <x v="6"/>
    <n v="4.5"/>
    <x v="2"/>
    <d v="2023-08-04T12:07:00"/>
    <x v="1"/>
    <x v="9"/>
    <x v="2"/>
    <b v="1"/>
    <s v="iPad"/>
    <n v="238"/>
    <n v="74"/>
    <x v="2"/>
    <x v="14"/>
    <x v="1"/>
  </r>
  <r>
    <n v="9055386"/>
    <x v="9"/>
    <x v="13"/>
    <n v="1.8"/>
    <x v="0"/>
    <d v="2024-01-02T18:25:00"/>
    <x v="5"/>
    <x v="3"/>
    <x v="0"/>
    <b v="0"/>
    <s v="Windows Phone"/>
    <n v="72"/>
    <n v="73"/>
    <x v="2"/>
    <x v="5"/>
    <x v="1"/>
  </r>
  <r>
    <n v="9976255"/>
    <x v="1"/>
    <x v="5"/>
    <n v="2.6"/>
    <x v="3"/>
    <d v="2024-03-25T15:28:00"/>
    <x v="3"/>
    <x v="2"/>
    <x v="0"/>
    <b v="1"/>
    <s v="Android"/>
    <n v="549"/>
    <n v="44"/>
    <x v="1"/>
    <x v="15"/>
    <x v="0"/>
  </r>
  <r>
    <n v="5103003"/>
    <x v="27"/>
    <x v="15"/>
    <n v="2.2999999999999998"/>
    <x v="3"/>
    <d v="2024-03-13T18:30:00"/>
    <x v="0"/>
    <x v="2"/>
    <x v="0"/>
    <b v="1"/>
    <s v="iOS"/>
    <n v="1132"/>
    <n v="59"/>
    <x v="1"/>
    <x v="2"/>
    <x v="1"/>
  </r>
  <r>
    <n v="8828991"/>
    <x v="12"/>
    <x v="5"/>
    <n v="2.1"/>
    <x v="3"/>
    <d v="2024-11-06T02:13:00"/>
    <x v="0"/>
    <x v="4"/>
    <x v="0"/>
    <b v="1"/>
    <s v="Android"/>
    <n v="773"/>
    <n v="54"/>
    <x v="1"/>
    <x v="1"/>
    <x v="0"/>
  </r>
  <r>
    <n v="5767933"/>
    <x v="1"/>
    <x v="12"/>
    <n v="4.3"/>
    <x v="2"/>
    <d v="2023-11-04T12:59:00"/>
    <x v="6"/>
    <x v="4"/>
    <x v="2"/>
    <b v="1"/>
    <s v="iPad"/>
    <n v="662"/>
    <n v="40"/>
    <x v="1"/>
    <x v="21"/>
    <x v="1"/>
  </r>
  <r>
    <n v="4391430"/>
    <x v="30"/>
    <x v="2"/>
    <n v="1.6"/>
    <x v="0"/>
    <d v="2025-03-21T22:12:00"/>
    <x v="1"/>
    <x v="2"/>
    <x v="1"/>
    <b v="1"/>
    <s v="Android"/>
    <n v="195"/>
    <n v="48"/>
    <x v="1"/>
    <x v="6"/>
    <x v="0"/>
  </r>
  <r>
    <n v="2401222"/>
    <x v="12"/>
    <x v="15"/>
    <n v="3.2"/>
    <x v="1"/>
    <d v="2024-06-21T04:33:00"/>
    <x v="1"/>
    <x v="1"/>
    <x v="0"/>
    <b v="1"/>
    <s v="Android"/>
    <n v="215"/>
    <n v="40"/>
    <x v="1"/>
    <x v="8"/>
    <x v="1"/>
  </r>
  <r>
    <n v="3168039"/>
    <x v="18"/>
    <x v="14"/>
    <n v="1.8"/>
    <x v="0"/>
    <d v="2025-05-22T14:44:00"/>
    <x v="2"/>
    <x v="5"/>
    <x v="1"/>
    <b v="1"/>
    <s v="Windows Phone"/>
    <n v="302"/>
    <n v="59"/>
    <x v="1"/>
    <x v="22"/>
    <x v="1"/>
  </r>
  <r>
    <n v="7175620"/>
    <x v="0"/>
    <x v="12"/>
    <n v="1.3"/>
    <x v="0"/>
    <d v="2024-12-16T20:27:00"/>
    <x v="3"/>
    <x v="7"/>
    <x v="0"/>
    <b v="1"/>
    <s v="Android Tablet"/>
    <n v="180"/>
    <n v="20"/>
    <x v="1"/>
    <x v="0"/>
    <x v="0"/>
  </r>
  <r>
    <n v="1083923"/>
    <x v="34"/>
    <x v="7"/>
    <n v="2.5"/>
    <x v="3"/>
    <d v="2025-05-17T16:54:00"/>
    <x v="6"/>
    <x v="5"/>
    <x v="1"/>
    <b v="1"/>
    <s v="Windows Phone"/>
    <n v="920"/>
    <n v="66"/>
    <x v="2"/>
    <x v="5"/>
    <x v="0"/>
  </r>
  <r>
    <n v="583456"/>
    <x v="26"/>
    <x v="3"/>
    <n v="1.6"/>
    <x v="0"/>
    <d v="2025-05-31T20:39:00"/>
    <x v="6"/>
    <x v="5"/>
    <x v="1"/>
    <b v="0"/>
    <s v="iOS"/>
    <n v="617"/>
    <n v="32"/>
    <x v="1"/>
    <x v="0"/>
    <x v="0"/>
  </r>
  <r>
    <n v="2292032"/>
    <x v="27"/>
    <x v="12"/>
    <n v="1.8"/>
    <x v="0"/>
    <d v="2024-08-10T02:20:00"/>
    <x v="6"/>
    <x v="9"/>
    <x v="0"/>
    <b v="1"/>
    <s v="Android Tablet"/>
    <n v="770"/>
    <n v="66"/>
    <x v="2"/>
    <x v="11"/>
    <x v="0"/>
  </r>
  <r>
    <n v="1994776"/>
    <x v="23"/>
    <x v="6"/>
    <n v="4"/>
    <x v="1"/>
    <d v="2025-06-20T07:01:00"/>
    <x v="1"/>
    <x v="1"/>
    <x v="1"/>
    <b v="1"/>
    <s v="Windows Phone"/>
    <n v="55"/>
    <n v="27"/>
    <x v="1"/>
    <x v="12"/>
    <x v="0"/>
  </r>
  <r>
    <n v="307369"/>
    <x v="37"/>
    <x v="5"/>
    <n v="4.0999999999999996"/>
    <x v="2"/>
    <d v="2024-02-03T23:37:00"/>
    <x v="6"/>
    <x v="8"/>
    <x v="0"/>
    <b v="1"/>
    <s v="iPad"/>
    <n v="1095"/>
    <n v="75"/>
    <x v="2"/>
    <x v="14"/>
    <x v="1"/>
  </r>
  <r>
    <n v="8444540"/>
    <x v="39"/>
    <x v="12"/>
    <n v="2.2000000000000002"/>
    <x v="3"/>
    <d v="2025-03-01T17:20:00"/>
    <x v="6"/>
    <x v="2"/>
    <x v="1"/>
    <b v="0"/>
    <s v="Android"/>
    <n v="1220"/>
    <n v="20"/>
    <x v="1"/>
    <x v="14"/>
    <x v="1"/>
  </r>
  <r>
    <n v="398116"/>
    <x v="22"/>
    <x v="11"/>
    <n v="2.8"/>
    <x v="3"/>
    <d v="2023-10-19T14:29:00"/>
    <x v="2"/>
    <x v="0"/>
    <x v="2"/>
    <b v="1"/>
    <s v="Android"/>
    <n v="668"/>
    <n v="36"/>
    <x v="1"/>
    <x v="3"/>
    <x v="0"/>
  </r>
  <r>
    <n v="7017892"/>
    <x v="19"/>
    <x v="10"/>
    <n v="3.6"/>
    <x v="1"/>
    <d v="2023-08-28T17:02:00"/>
    <x v="3"/>
    <x v="9"/>
    <x v="2"/>
    <b v="1"/>
    <s v="Android"/>
    <n v="887"/>
    <n v="74"/>
    <x v="2"/>
    <x v="10"/>
    <x v="0"/>
  </r>
  <r>
    <n v="2012994"/>
    <x v="6"/>
    <x v="2"/>
    <n v="1.9"/>
    <x v="0"/>
    <d v="2025-04-13T04:31:00"/>
    <x v="4"/>
    <x v="6"/>
    <x v="1"/>
    <b v="1"/>
    <s v="Android"/>
    <n v="1168"/>
    <n v="31"/>
    <x v="1"/>
    <x v="6"/>
    <x v="0"/>
  </r>
  <r>
    <n v="1883791"/>
    <x v="16"/>
    <x v="6"/>
    <n v="3.3"/>
    <x v="1"/>
    <d v="2023-09-05T10:26:00"/>
    <x v="5"/>
    <x v="10"/>
    <x v="2"/>
    <b v="1"/>
    <s v="Android Tablet"/>
    <n v="856"/>
    <n v="39"/>
    <x v="1"/>
    <x v="16"/>
    <x v="1"/>
  </r>
  <r>
    <n v="8361472"/>
    <x v="1"/>
    <x v="12"/>
    <n v="1.1000000000000001"/>
    <x v="0"/>
    <d v="2023-11-17T23:14:00"/>
    <x v="1"/>
    <x v="4"/>
    <x v="2"/>
    <b v="0"/>
    <s v="Windows Phone"/>
    <n v="797"/>
    <n v="48"/>
    <x v="1"/>
    <x v="21"/>
    <x v="0"/>
  </r>
  <r>
    <n v="2800047"/>
    <x v="25"/>
    <x v="13"/>
    <n v="2.9"/>
    <x v="3"/>
    <d v="2024-03-10T11:58:00"/>
    <x v="4"/>
    <x v="2"/>
    <x v="0"/>
    <b v="0"/>
    <s v="Windows Phone"/>
    <n v="104"/>
    <n v="33"/>
    <x v="1"/>
    <x v="5"/>
    <x v="1"/>
  </r>
  <r>
    <n v="6269672"/>
    <x v="21"/>
    <x v="11"/>
    <n v="2.4"/>
    <x v="3"/>
    <d v="2025-03-09T09:18:00"/>
    <x v="4"/>
    <x v="2"/>
    <x v="1"/>
    <b v="1"/>
    <s v="Windows Phone"/>
    <n v="374"/>
    <n v="25"/>
    <x v="1"/>
    <x v="10"/>
    <x v="0"/>
  </r>
  <r>
    <n v="781729"/>
    <x v="4"/>
    <x v="6"/>
    <n v="2.7"/>
    <x v="3"/>
    <d v="2024-11-28T14:45:00"/>
    <x v="2"/>
    <x v="4"/>
    <x v="0"/>
    <b v="0"/>
    <s v="Android Tablet"/>
    <n v="854"/>
    <n v="13"/>
    <x v="0"/>
    <x v="1"/>
    <x v="1"/>
  </r>
  <r>
    <n v="3184811"/>
    <x v="23"/>
    <x v="14"/>
    <n v="2.4"/>
    <x v="3"/>
    <d v="2024-09-08T05:52:00"/>
    <x v="4"/>
    <x v="10"/>
    <x v="0"/>
    <b v="1"/>
    <s v="iOS"/>
    <n v="530"/>
    <n v="29"/>
    <x v="1"/>
    <x v="12"/>
    <x v="1"/>
  </r>
  <r>
    <n v="9211373"/>
    <x v="2"/>
    <x v="15"/>
    <n v="4.0999999999999996"/>
    <x v="2"/>
    <d v="2024-09-21T00:09:00"/>
    <x v="6"/>
    <x v="10"/>
    <x v="0"/>
    <b v="1"/>
    <s v="Android Tablet"/>
    <n v="567"/>
    <n v="42"/>
    <x v="1"/>
    <x v="11"/>
    <x v="0"/>
  </r>
  <r>
    <n v="247701"/>
    <x v="34"/>
    <x v="6"/>
    <n v="1.5"/>
    <x v="0"/>
    <d v="2024-11-25T07:48:00"/>
    <x v="3"/>
    <x v="4"/>
    <x v="0"/>
    <b v="1"/>
    <s v="Android Tablet"/>
    <n v="52"/>
    <n v="41"/>
    <x v="1"/>
    <x v="15"/>
    <x v="0"/>
  </r>
  <r>
    <n v="2908418"/>
    <x v="30"/>
    <x v="8"/>
    <n v="3.1"/>
    <x v="1"/>
    <d v="2025-03-23T12:46:00"/>
    <x v="4"/>
    <x v="2"/>
    <x v="1"/>
    <b v="1"/>
    <s v="iOS"/>
    <n v="962"/>
    <n v="61"/>
    <x v="2"/>
    <x v="3"/>
    <x v="1"/>
  </r>
  <r>
    <n v="1198434"/>
    <x v="4"/>
    <x v="5"/>
    <n v="3.1"/>
    <x v="1"/>
    <d v="2024-01-11T14:19:00"/>
    <x v="2"/>
    <x v="3"/>
    <x v="0"/>
    <b v="0"/>
    <s v="iOS"/>
    <n v="205"/>
    <n v="13"/>
    <x v="0"/>
    <x v="14"/>
    <x v="0"/>
  </r>
  <r>
    <n v="3676485"/>
    <x v="5"/>
    <x v="9"/>
    <n v="2.2999999999999998"/>
    <x v="3"/>
    <d v="2025-06-02T16:55:00"/>
    <x v="3"/>
    <x v="1"/>
    <x v="1"/>
    <b v="0"/>
    <s v="Windows Phone"/>
    <n v="748"/>
    <n v="74"/>
    <x v="2"/>
    <x v="12"/>
    <x v="1"/>
  </r>
  <r>
    <n v="3549052"/>
    <x v="3"/>
    <x v="4"/>
    <n v="4.5999999999999996"/>
    <x v="2"/>
    <d v="2023-08-19T07:51:00"/>
    <x v="6"/>
    <x v="9"/>
    <x v="2"/>
    <b v="1"/>
    <s v="Android Tablet"/>
    <n v="98"/>
    <n v="63"/>
    <x v="2"/>
    <x v="16"/>
    <x v="0"/>
  </r>
  <r>
    <n v="1328898"/>
    <x v="17"/>
    <x v="11"/>
    <n v="2.7"/>
    <x v="3"/>
    <d v="2025-04-30T01:10:00"/>
    <x v="0"/>
    <x v="6"/>
    <x v="1"/>
    <b v="1"/>
    <s v="Android"/>
    <n v="1112"/>
    <n v="21"/>
    <x v="1"/>
    <x v="10"/>
    <x v="0"/>
  </r>
  <r>
    <n v="7668632"/>
    <x v="5"/>
    <x v="14"/>
    <n v="1.7"/>
    <x v="0"/>
    <d v="2024-12-02T09:10:00"/>
    <x v="3"/>
    <x v="7"/>
    <x v="0"/>
    <b v="1"/>
    <s v="Windows Phone"/>
    <n v="463"/>
    <n v="66"/>
    <x v="2"/>
    <x v="8"/>
    <x v="0"/>
  </r>
  <r>
    <n v="6634756"/>
    <x v="18"/>
    <x v="1"/>
    <n v="1.3"/>
    <x v="0"/>
    <d v="2025-01-04T20:16:00"/>
    <x v="6"/>
    <x v="3"/>
    <x v="1"/>
    <b v="1"/>
    <s v="iPad"/>
    <n v="287"/>
    <n v="70"/>
    <x v="2"/>
    <x v="1"/>
    <x v="1"/>
  </r>
  <r>
    <n v="1160950"/>
    <x v="17"/>
    <x v="8"/>
    <n v="3.8"/>
    <x v="1"/>
    <d v="2025-03-10T01:12:00"/>
    <x v="3"/>
    <x v="2"/>
    <x v="1"/>
    <b v="0"/>
    <s v="Android Tablet"/>
    <n v="596"/>
    <n v="27"/>
    <x v="1"/>
    <x v="21"/>
    <x v="1"/>
  </r>
  <r>
    <n v="6659766"/>
    <x v="7"/>
    <x v="10"/>
    <n v="2.4"/>
    <x v="3"/>
    <d v="2023-08-09T12:55:00"/>
    <x v="0"/>
    <x v="9"/>
    <x v="2"/>
    <b v="1"/>
    <s v="Windows Phone"/>
    <n v="466"/>
    <n v="33"/>
    <x v="1"/>
    <x v="19"/>
    <x v="1"/>
  </r>
  <r>
    <n v="3624102"/>
    <x v="38"/>
    <x v="17"/>
    <n v="3.1"/>
    <x v="1"/>
    <d v="2024-04-13T20:35:00"/>
    <x v="6"/>
    <x v="6"/>
    <x v="0"/>
    <b v="1"/>
    <s v="Android Tablet"/>
    <n v="272"/>
    <n v="71"/>
    <x v="2"/>
    <x v="1"/>
    <x v="1"/>
  </r>
  <r>
    <n v="181065"/>
    <x v="27"/>
    <x v="14"/>
    <n v="4.4000000000000004"/>
    <x v="2"/>
    <d v="2024-03-31T03:49:00"/>
    <x v="4"/>
    <x v="2"/>
    <x v="0"/>
    <b v="1"/>
    <s v="iOS"/>
    <n v="1102"/>
    <n v="50"/>
    <x v="1"/>
    <x v="17"/>
    <x v="1"/>
  </r>
  <r>
    <n v="3816584"/>
    <x v="11"/>
    <x v="1"/>
    <n v="2.8"/>
    <x v="3"/>
    <d v="2025-02-04T01:25:00"/>
    <x v="5"/>
    <x v="8"/>
    <x v="1"/>
    <b v="0"/>
    <s v="Android Tablet"/>
    <n v="1018"/>
    <n v="50"/>
    <x v="1"/>
    <x v="18"/>
    <x v="1"/>
  </r>
  <r>
    <n v="7416947"/>
    <x v="36"/>
    <x v="11"/>
    <n v="4.8"/>
    <x v="2"/>
    <d v="2025-02-15T21:16:00"/>
    <x v="6"/>
    <x v="8"/>
    <x v="1"/>
    <b v="1"/>
    <s v="Android"/>
    <n v="1224"/>
    <n v="44"/>
    <x v="1"/>
    <x v="18"/>
    <x v="0"/>
  </r>
  <r>
    <n v="412564"/>
    <x v="17"/>
    <x v="1"/>
    <n v="4.9000000000000004"/>
    <x v="2"/>
    <d v="2024-07-26T19:44:00"/>
    <x v="1"/>
    <x v="11"/>
    <x v="0"/>
    <b v="1"/>
    <s v="Android"/>
    <n v="733"/>
    <n v="50"/>
    <x v="1"/>
    <x v="10"/>
    <x v="1"/>
  </r>
  <r>
    <n v="2085251"/>
    <x v="33"/>
    <x v="0"/>
    <n v="2.6"/>
    <x v="3"/>
    <d v="2024-12-26T09:03:00"/>
    <x v="2"/>
    <x v="7"/>
    <x v="0"/>
    <b v="1"/>
    <s v="Windows Phone"/>
    <n v="411"/>
    <n v="31"/>
    <x v="1"/>
    <x v="7"/>
    <x v="0"/>
  </r>
  <r>
    <n v="7056063"/>
    <x v="19"/>
    <x v="11"/>
    <n v="3"/>
    <x v="3"/>
    <d v="2025-04-21T22:25:00"/>
    <x v="3"/>
    <x v="6"/>
    <x v="1"/>
    <b v="1"/>
    <s v="iPad"/>
    <n v="112"/>
    <n v="46"/>
    <x v="1"/>
    <x v="3"/>
    <x v="0"/>
  </r>
  <r>
    <n v="8133176"/>
    <x v="35"/>
    <x v="10"/>
    <n v="4.7"/>
    <x v="2"/>
    <d v="2024-08-06T22:40:00"/>
    <x v="5"/>
    <x v="9"/>
    <x v="0"/>
    <b v="1"/>
    <s v="iOS"/>
    <n v="238"/>
    <n v="72"/>
    <x v="2"/>
    <x v="19"/>
    <x v="1"/>
  </r>
  <r>
    <n v="476582"/>
    <x v="1"/>
    <x v="16"/>
    <n v="3.8"/>
    <x v="1"/>
    <d v="2024-02-06T03:25:00"/>
    <x v="5"/>
    <x v="8"/>
    <x v="0"/>
    <b v="1"/>
    <s v="Android Tablet"/>
    <n v="263"/>
    <n v="55"/>
    <x v="1"/>
    <x v="8"/>
    <x v="0"/>
  </r>
  <r>
    <n v="2245556"/>
    <x v="5"/>
    <x v="10"/>
    <n v="2"/>
    <x v="3"/>
    <d v="2024-10-19T07:38:00"/>
    <x v="6"/>
    <x v="0"/>
    <x v="0"/>
    <b v="1"/>
    <s v="Android"/>
    <n v="808"/>
    <n v="65"/>
    <x v="2"/>
    <x v="16"/>
    <x v="1"/>
  </r>
  <r>
    <n v="8181054"/>
    <x v="24"/>
    <x v="4"/>
    <n v="4.3"/>
    <x v="2"/>
    <d v="2023-12-11T08:40:00"/>
    <x v="3"/>
    <x v="7"/>
    <x v="2"/>
    <b v="1"/>
    <s v="Windows Phone"/>
    <n v="245"/>
    <n v="67"/>
    <x v="2"/>
    <x v="2"/>
    <x v="1"/>
  </r>
  <r>
    <n v="2609220"/>
    <x v="31"/>
    <x v="17"/>
    <n v="2.6"/>
    <x v="3"/>
    <d v="2024-11-13T04:37:00"/>
    <x v="0"/>
    <x v="4"/>
    <x v="0"/>
    <b v="1"/>
    <s v="iOS"/>
    <n v="444"/>
    <n v="34"/>
    <x v="1"/>
    <x v="4"/>
    <x v="0"/>
  </r>
  <r>
    <n v="3076650"/>
    <x v="29"/>
    <x v="2"/>
    <n v="1.6"/>
    <x v="0"/>
    <d v="2024-08-04T11:55:00"/>
    <x v="4"/>
    <x v="9"/>
    <x v="0"/>
    <b v="0"/>
    <s v="iPad"/>
    <n v="959"/>
    <n v="28"/>
    <x v="1"/>
    <x v="15"/>
    <x v="0"/>
  </r>
  <r>
    <n v="754924"/>
    <x v="0"/>
    <x v="5"/>
    <n v="4.4000000000000004"/>
    <x v="2"/>
    <d v="2025-06-12T15:34:00"/>
    <x v="2"/>
    <x v="1"/>
    <x v="1"/>
    <b v="1"/>
    <s v="iPad"/>
    <n v="730"/>
    <n v="25"/>
    <x v="1"/>
    <x v="15"/>
    <x v="0"/>
  </r>
  <r>
    <n v="4000918"/>
    <x v="28"/>
    <x v="14"/>
    <n v="3.7"/>
    <x v="1"/>
    <d v="2025-07-07T18:17:00"/>
    <x v="3"/>
    <x v="11"/>
    <x v="1"/>
    <b v="1"/>
    <s v="iOS"/>
    <n v="227"/>
    <n v="72"/>
    <x v="2"/>
    <x v="9"/>
    <x v="0"/>
  </r>
  <r>
    <n v="4852426"/>
    <x v="11"/>
    <x v="11"/>
    <n v="3.1"/>
    <x v="1"/>
    <d v="2024-11-07T14:03:00"/>
    <x v="2"/>
    <x v="4"/>
    <x v="0"/>
    <b v="1"/>
    <s v="Windows Phone"/>
    <n v="48"/>
    <n v="44"/>
    <x v="1"/>
    <x v="7"/>
    <x v="0"/>
  </r>
  <r>
    <n v="6955954"/>
    <x v="24"/>
    <x v="8"/>
    <n v="1"/>
    <x v="0"/>
    <d v="2024-02-17T02:54:00"/>
    <x v="6"/>
    <x v="8"/>
    <x v="0"/>
    <b v="1"/>
    <s v="Windows Phone"/>
    <n v="39"/>
    <n v="32"/>
    <x v="1"/>
    <x v="1"/>
    <x v="0"/>
  </r>
  <r>
    <n v="191762"/>
    <x v="17"/>
    <x v="14"/>
    <n v="2"/>
    <x v="3"/>
    <d v="2025-02-01T16:34:00"/>
    <x v="6"/>
    <x v="8"/>
    <x v="1"/>
    <b v="0"/>
    <s v="iOS"/>
    <n v="1001"/>
    <n v="31"/>
    <x v="1"/>
    <x v="22"/>
    <x v="1"/>
  </r>
  <r>
    <n v="219354"/>
    <x v="21"/>
    <x v="0"/>
    <n v="1.6"/>
    <x v="0"/>
    <d v="2024-10-22T19:32:00"/>
    <x v="5"/>
    <x v="0"/>
    <x v="0"/>
    <b v="1"/>
    <s v="iOS"/>
    <n v="178"/>
    <n v="68"/>
    <x v="2"/>
    <x v="0"/>
    <x v="1"/>
  </r>
  <r>
    <n v="2076835"/>
    <x v="33"/>
    <x v="9"/>
    <n v="4.7"/>
    <x v="2"/>
    <d v="2024-09-07T14:08:00"/>
    <x v="6"/>
    <x v="10"/>
    <x v="0"/>
    <b v="1"/>
    <s v="Android"/>
    <n v="380"/>
    <n v="18"/>
    <x v="1"/>
    <x v="8"/>
    <x v="1"/>
  </r>
  <r>
    <n v="6391957"/>
    <x v="23"/>
    <x v="13"/>
    <n v="3.7"/>
    <x v="1"/>
    <d v="2024-06-04T14:09:00"/>
    <x v="5"/>
    <x v="1"/>
    <x v="0"/>
    <b v="0"/>
    <s v="Android"/>
    <n v="906"/>
    <n v="24"/>
    <x v="1"/>
    <x v="21"/>
    <x v="1"/>
  </r>
  <r>
    <n v="2097927"/>
    <x v="27"/>
    <x v="3"/>
    <n v="3"/>
    <x v="3"/>
    <d v="2025-03-03T17:20:00"/>
    <x v="3"/>
    <x v="2"/>
    <x v="1"/>
    <b v="1"/>
    <s v="Android Tablet"/>
    <n v="641"/>
    <n v="47"/>
    <x v="1"/>
    <x v="15"/>
    <x v="0"/>
  </r>
  <r>
    <n v="8793169"/>
    <x v="15"/>
    <x v="16"/>
    <n v="4.5"/>
    <x v="2"/>
    <d v="2024-03-10T00:37:00"/>
    <x v="4"/>
    <x v="2"/>
    <x v="0"/>
    <b v="1"/>
    <s v="iPad"/>
    <n v="1157"/>
    <n v="75"/>
    <x v="2"/>
    <x v="23"/>
    <x v="1"/>
  </r>
  <r>
    <n v="6801385"/>
    <x v="21"/>
    <x v="0"/>
    <n v="4.5999999999999996"/>
    <x v="2"/>
    <d v="2024-05-01T03:51:00"/>
    <x v="0"/>
    <x v="5"/>
    <x v="0"/>
    <b v="0"/>
    <s v="iPad"/>
    <n v="137"/>
    <n v="41"/>
    <x v="1"/>
    <x v="1"/>
    <x v="0"/>
  </r>
  <r>
    <n v="6729401"/>
    <x v="6"/>
    <x v="1"/>
    <n v="4.8"/>
    <x v="2"/>
    <d v="2024-06-10T19:13:00"/>
    <x v="3"/>
    <x v="1"/>
    <x v="0"/>
    <b v="1"/>
    <s v="Android Tablet"/>
    <n v="643"/>
    <n v="51"/>
    <x v="1"/>
    <x v="4"/>
    <x v="0"/>
  </r>
  <r>
    <n v="1251205"/>
    <x v="7"/>
    <x v="7"/>
    <n v="3.8"/>
    <x v="1"/>
    <d v="2024-02-19T16:28:00"/>
    <x v="3"/>
    <x v="8"/>
    <x v="0"/>
    <b v="1"/>
    <s v="Android Tablet"/>
    <n v="583"/>
    <n v="23"/>
    <x v="1"/>
    <x v="13"/>
    <x v="0"/>
  </r>
  <r>
    <n v="5036726"/>
    <x v="7"/>
    <x v="3"/>
    <n v="2"/>
    <x v="3"/>
    <d v="2024-07-23T17:31:00"/>
    <x v="5"/>
    <x v="11"/>
    <x v="0"/>
    <b v="1"/>
    <s v="Windows Phone"/>
    <n v="49"/>
    <n v="16"/>
    <x v="0"/>
    <x v="5"/>
    <x v="0"/>
  </r>
  <r>
    <n v="4425497"/>
    <x v="33"/>
    <x v="14"/>
    <n v="2.1"/>
    <x v="3"/>
    <d v="2023-09-22T08:22:00"/>
    <x v="1"/>
    <x v="10"/>
    <x v="2"/>
    <b v="1"/>
    <s v="iPad"/>
    <n v="1046"/>
    <n v="37"/>
    <x v="1"/>
    <x v="6"/>
    <x v="0"/>
  </r>
  <r>
    <n v="9086747"/>
    <x v="34"/>
    <x v="16"/>
    <n v="4.5999999999999996"/>
    <x v="2"/>
    <d v="2023-08-08T10:19:00"/>
    <x v="5"/>
    <x v="9"/>
    <x v="2"/>
    <b v="0"/>
    <s v="iPad"/>
    <n v="290"/>
    <n v="29"/>
    <x v="1"/>
    <x v="11"/>
    <x v="0"/>
  </r>
  <r>
    <n v="4518274"/>
    <x v="4"/>
    <x v="7"/>
    <n v="2.1"/>
    <x v="3"/>
    <d v="2024-01-05T08:55:00"/>
    <x v="1"/>
    <x v="3"/>
    <x v="0"/>
    <b v="1"/>
    <s v="Android"/>
    <n v="1153"/>
    <n v="43"/>
    <x v="1"/>
    <x v="0"/>
    <x v="0"/>
  </r>
  <r>
    <n v="4457055"/>
    <x v="18"/>
    <x v="5"/>
    <n v="1.6"/>
    <x v="0"/>
    <d v="2023-12-24T05:51:00"/>
    <x v="4"/>
    <x v="7"/>
    <x v="2"/>
    <b v="1"/>
    <s v="iOS"/>
    <n v="811"/>
    <n v="18"/>
    <x v="1"/>
    <x v="18"/>
    <x v="1"/>
  </r>
  <r>
    <n v="3389394"/>
    <x v="12"/>
    <x v="3"/>
    <n v="2.5"/>
    <x v="3"/>
    <d v="2023-11-22T03:48:00"/>
    <x v="0"/>
    <x v="4"/>
    <x v="2"/>
    <b v="0"/>
    <s v="iPad"/>
    <n v="494"/>
    <n v="51"/>
    <x v="1"/>
    <x v="23"/>
    <x v="1"/>
  </r>
  <r>
    <n v="2609000"/>
    <x v="10"/>
    <x v="12"/>
    <n v="2.9"/>
    <x v="3"/>
    <d v="2024-08-02T06:11:00"/>
    <x v="1"/>
    <x v="9"/>
    <x v="0"/>
    <b v="1"/>
    <s v="Windows Phone"/>
    <n v="794"/>
    <n v="64"/>
    <x v="2"/>
    <x v="4"/>
    <x v="1"/>
  </r>
  <r>
    <n v="3062978"/>
    <x v="18"/>
    <x v="5"/>
    <n v="2.9"/>
    <x v="3"/>
    <d v="2024-06-23T06:47:00"/>
    <x v="4"/>
    <x v="1"/>
    <x v="0"/>
    <b v="1"/>
    <s v="iOS"/>
    <n v="11"/>
    <n v="37"/>
    <x v="1"/>
    <x v="15"/>
    <x v="0"/>
  </r>
  <r>
    <n v="5714605"/>
    <x v="11"/>
    <x v="10"/>
    <n v="3.2"/>
    <x v="1"/>
    <d v="2024-02-18T15:31:00"/>
    <x v="4"/>
    <x v="8"/>
    <x v="0"/>
    <b v="1"/>
    <s v="Windows Phone"/>
    <n v="1227"/>
    <n v="55"/>
    <x v="1"/>
    <x v="13"/>
    <x v="0"/>
  </r>
  <r>
    <n v="6144941"/>
    <x v="0"/>
    <x v="3"/>
    <n v="4.5999999999999996"/>
    <x v="2"/>
    <d v="2024-10-09T02:45:00"/>
    <x v="0"/>
    <x v="0"/>
    <x v="0"/>
    <b v="1"/>
    <s v="Windows Phone"/>
    <n v="391"/>
    <n v="35"/>
    <x v="1"/>
    <x v="19"/>
    <x v="0"/>
  </r>
  <r>
    <n v="4874942"/>
    <x v="6"/>
    <x v="1"/>
    <n v="1.1000000000000001"/>
    <x v="0"/>
    <d v="2024-07-26T02:02:00"/>
    <x v="1"/>
    <x v="11"/>
    <x v="0"/>
    <b v="0"/>
    <s v="Windows Phone"/>
    <n v="648"/>
    <n v="61"/>
    <x v="2"/>
    <x v="2"/>
    <x v="0"/>
  </r>
  <r>
    <n v="2530151"/>
    <x v="19"/>
    <x v="8"/>
    <n v="3.4"/>
    <x v="1"/>
    <d v="2024-06-10T06:35:00"/>
    <x v="3"/>
    <x v="1"/>
    <x v="0"/>
    <b v="1"/>
    <s v="iOS"/>
    <n v="451"/>
    <n v="30"/>
    <x v="1"/>
    <x v="10"/>
    <x v="1"/>
  </r>
  <r>
    <n v="1427277"/>
    <x v="29"/>
    <x v="1"/>
    <n v="4"/>
    <x v="1"/>
    <d v="2023-12-04T16:58:00"/>
    <x v="3"/>
    <x v="7"/>
    <x v="2"/>
    <b v="1"/>
    <s v="Android"/>
    <n v="1108"/>
    <n v="61"/>
    <x v="2"/>
    <x v="22"/>
    <x v="0"/>
  </r>
  <r>
    <n v="3928861"/>
    <x v="12"/>
    <x v="13"/>
    <n v="4.3"/>
    <x v="2"/>
    <d v="2024-03-31T08:48:00"/>
    <x v="4"/>
    <x v="2"/>
    <x v="0"/>
    <b v="1"/>
    <s v="Android Tablet"/>
    <n v="344"/>
    <n v="63"/>
    <x v="2"/>
    <x v="1"/>
    <x v="0"/>
  </r>
  <r>
    <n v="3632803"/>
    <x v="14"/>
    <x v="11"/>
    <n v="4.9000000000000004"/>
    <x v="2"/>
    <d v="2023-12-08T12:30:00"/>
    <x v="1"/>
    <x v="7"/>
    <x v="2"/>
    <b v="1"/>
    <s v="iPad"/>
    <n v="98"/>
    <n v="61"/>
    <x v="2"/>
    <x v="2"/>
    <x v="1"/>
  </r>
  <r>
    <n v="1828209"/>
    <x v="20"/>
    <x v="8"/>
    <n v="2.6"/>
    <x v="3"/>
    <d v="2023-10-14T02:19:00"/>
    <x v="6"/>
    <x v="0"/>
    <x v="2"/>
    <b v="1"/>
    <s v="iOS"/>
    <n v="1066"/>
    <n v="17"/>
    <x v="0"/>
    <x v="2"/>
    <x v="1"/>
  </r>
  <r>
    <n v="542329"/>
    <x v="8"/>
    <x v="1"/>
    <n v="3"/>
    <x v="3"/>
    <d v="2025-03-21T16:19:00"/>
    <x v="1"/>
    <x v="2"/>
    <x v="1"/>
    <b v="1"/>
    <s v="Android"/>
    <n v="806"/>
    <n v="21"/>
    <x v="1"/>
    <x v="6"/>
    <x v="1"/>
  </r>
  <r>
    <n v="1843629"/>
    <x v="20"/>
    <x v="9"/>
    <n v="3.1"/>
    <x v="1"/>
    <d v="2024-05-04T01:04:00"/>
    <x v="6"/>
    <x v="5"/>
    <x v="0"/>
    <b v="1"/>
    <s v="Android Tablet"/>
    <n v="341"/>
    <n v="45"/>
    <x v="1"/>
    <x v="23"/>
    <x v="0"/>
  </r>
  <r>
    <n v="4670355"/>
    <x v="32"/>
    <x v="8"/>
    <n v="4.8"/>
    <x v="2"/>
    <d v="2024-10-11T22:30:00"/>
    <x v="1"/>
    <x v="0"/>
    <x v="0"/>
    <b v="1"/>
    <s v="iOS"/>
    <n v="298"/>
    <n v="70"/>
    <x v="2"/>
    <x v="5"/>
    <x v="1"/>
  </r>
  <r>
    <n v="8882198"/>
    <x v="37"/>
    <x v="3"/>
    <n v="2.4"/>
    <x v="3"/>
    <d v="2024-12-09T19:33:00"/>
    <x v="3"/>
    <x v="7"/>
    <x v="0"/>
    <b v="0"/>
    <s v="iOS"/>
    <n v="635"/>
    <n v="72"/>
    <x v="2"/>
    <x v="21"/>
    <x v="0"/>
  </r>
  <r>
    <n v="7027377"/>
    <x v="10"/>
    <x v="15"/>
    <n v="2"/>
    <x v="3"/>
    <d v="2023-12-24T21:39:00"/>
    <x v="4"/>
    <x v="7"/>
    <x v="2"/>
    <b v="1"/>
    <s v="Windows Phone"/>
    <n v="985"/>
    <n v="73"/>
    <x v="2"/>
    <x v="9"/>
    <x v="1"/>
  </r>
  <r>
    <n v="1951472"/>
    <x v="19"/>
    <x v="0"/>
    <n v="4.7"/>
    <x v="2"/>
    <d v="2024-12-07T13:37:00"/>
    <x v="6"/>
    <x v="7"/>
    <x v="0"/>
    <b v="1"/>
    <s v="iOS"/>
    <n v="105"/>
    <n v="13"/>
    <x v="0"/>
    <x v="23"/>
    <x v="0"/>
  </r>
  <r>
    <n v="7696173"/>
    <x v="36"/>
    <x v="3"/>
    <n v="5"/>
    <x v="2"/>
    <d v="2024-02-28T06:01:00"/>
    <x v="0"/>
    <x v="8"/>
    <x v="0"/>
    <b v="0"/>
    <s v="Windows Phone"/>
    <n v="0"/>
    <n v="65"/>
    <x v="2"/>
    <x v="16"/>
    <x v="0"/>
  </r>
  <r>
    <n v="8354323"/>
    <x v="20"/>
    <x v="3"/>
    <n v="3.6"/>
    <x v="1"/>
    <d v="2023-12-24T17:43:00"/>
    <x v="4"/>
    <x v="7"/>
    <x v="2"/>
    <b v="1"/>
    <s v="Windows Phone"/>
    <n v="196"/>
    <n v="44"/>
    <x v="1"/>
    <x v="12"/>
    <x v="0"/>
  </r>
  <r>
    <n v="425400"/>
    <x v="32"/>
    <x v="14"/>
    <n v="2.2999999999999998"/>
    <x v="3"/>
    <d v="2024-01-16T13:45:00"/>
    <x v="5"/>
    <x v="3"/>
    <x v="0"/>
    <b v="1"/>
    <s v="iOS"/>
    <n v="944"/>
    <n v="22"/>
    <x v="1"/>
    <x v="8"/>
    <x v="0"/>
  </r>
  <r>
    <n v="7150508"/>
    <x v="25"/>
    <x v="4"/>
    <n v="2.6"/>
    <x v="3"/>
    <d v="2024-03-29T21:17:00"/>
    <x v="1"/>
    <x v="2"/>
    <x v="0"/>
    <b v="1"/>
    <s v="Windows Phone"/>
    <n v="1203"/>
    <n v="32"/>
    <x v="1"/>
    <x v="8"/>
    <x v="0"/>
  </r>
  <r>
    <n v="632460"/>
    <x v="18"/>
    <x v="8"/>
    <n v="3.1"/>
    <x v="1"/>
    <d v="2024-04-13T09:21:00"/>
    <x v="6"/>
    <x v="6"/>
    <x v="0"/>
    <b v="1"/>
    <s v="Android Tablet"/>
    <n v="569"/>
    <n v="71"/>
    <x v="2"/>
    <x v="16"/>
    <x v="0"/>
  </r>
  <r>
    <n v="2146175"/>
    <x v="23"/>
    <x v="1"/>
    <n v="2.6"/>
    <x v="3"/>
    <d v="2025-03-19T12:21:00"/>
    <x v="0"/>
    <x v="2"/>
    <x v="1"/>
    <b v="0"/>
    <s v="Android"/>
    <n v="1086"/>
    <n v="27"/>
    <x v="1"/>
    <x v="3"/>
    <x v="0"/>
  </r>
  <r>
    <n v="2907840"/>
    <x v="18"/>
    <x v="14"/>
    <n v="4.5"/>
    <x v="2"/>
    <d v="2025-04-08T21:35:00"/>
    <x v="5"/>
    <x v="6"/>
    <x v="1"/>
    <b v="1"/>
    <s v="Android"/>
    <n v="490"/>
    <n v="17"/>
    <x v="0"/>
    <x v="22"/>
    <x v="0"/>
  </r>
  <r>
    <n v="9909585"/>
    <x v="9"/>
    <x v="13"/>
    <n v="1.7"/>
    <x v="0"/>
    <d v="2023-11-01T19:30:00"/>
    <x v="0"/>
    <x v="4"/>
    <x v="2"/>
    <b v="1"/>
    <s v="iOS"/>
    <n v="1116"/>
    <n v="73"/>
    <x v="2"/>
    <x v="22"/>
    <x v="1"/>
  </r>
  <r>
    <n v="8242018"/>
    <x v="26"/>
    <x v="8"/>
    <n v="3.2"/>
    <x v="1"/>
    <d v="2025-06-16T16:07:00"/>
    <x v="3"/>
    <x v="1"/>
    <x v="1"/>
    <b v="1"/>
    <s v="Windows Phone"/>
    <n v="609"/>
    <n v="19"/>
    <x v="1"/>
    <x v="1"/>
    <x v="1"/>
  </r>
  <r>
    <n v="6208168"/>
    <x v="25"/>
    <x v="3"/>
    <n v="3.2"/>
    <x v="1"/>
    <d v="2025-03-25T15:04:00"/>
    <x v="5"/>
    <x v="2"/>
    <x v="1"/>
    <b v="0"/>
    <s v="iPad"/>
    <n v="325"/>
    <n v="50"/>
    <x v="1"/>
    <x v="4"/>
    <x v="0"/>
  </r>
  <r>
    <n v="8921818"/>
    <x v="2"/>
    <x v="2"/>
    <n v="4.9000000000000004"/>
    <x v="2"/>
    <d v="2024-11-27T12:43:00"/>
    <x v="0"/>
    <x v="4"/>
    <x v="0"/>
    <b v="0"/>
    <s v="iOS"/>
    <n v="271"/>
    <n v="58"/>
    <x v="1"/>
    <x v="3"/>
    <x v="0"/>
  </r>
  <r>
    <n v="4393936"/>
    <x v="29"/>
    <x v="8"/>
    <n v="2.4"/>
    <x v="3"/>
    <d v="2024-05-07T05:13:00"/>
    <x v="5"/>
    <x v="5"/>
    <x v="0"/>
    <b v="1"/>
    <s v="Android Tablet"/>
    <n v="295"/>
    <n v="22"/>
    <x v="1"/>
    <x v="15"/>
    <x v="1"/>
  </r>
  <r>
    <n v="7078536"/>
    <x v="32"/>
    <x v="17"/>
    <n v="3"/>
    <x v="3"/>
    <d v="2025-04-30T08:45:00"/>
    <x v="0"/>
    <x v="6"/>
    <x v="1"/>
    <b v="1"/>
    <s v="iPad"/>
    <n v="895"/>
    <n v="16"/>
    <x v="0"/>
    <x v="22"/>
    <x v="1"/>
  </r>
  <r>
    <n v="4559646"/>
    <x v="4"/>
    <x v="2"/>
    <n v="2.9"/>
    <x v="3"/>
    <d v="2024-09-16T19:57:00"/>
    <x v="3"/>
    <x v="10"/>
    <x v="0"/>
    <b v="1"/>
    <s v="iOS"/>
    <n v="1129"/>
    <n v="45"/>
    <x v="1"/>
    <x v="5"/>
    <x v="0"/>
  </r>
  <r>
    <n v="9773133"/>
    <x v="36"/>
    <x v="0"/>
    <n v="2.9"/>
    <x v="3"/>
    <d v="2024-05-04T21:59:00"/>
    <x v="6"/>
    <x v="5"/>
    <x v="0"/>
    <b v="0"/>
    <s v="iOS"/>
    <n v="1090"/>
    <n v="34"/>
    <x v="1"/>
    <x v="23"/>
    <x v="0"/>
  </r>
  <r>
    <n v="7796054"/>
    <x v="35"/>
    <x v="16"/>
    <n v="3.7"/>
    <x v="1"/>
    <d v="2025-01-27T13:34:00"/>
    <x v="3"/>
    <x v="3"/>
    <x v="1"/>
    <b v="0"/>
    <s v="Windows Phone"/>
    <n v="903"/>
    <n v="58"/>
    <x v="1"/>
    <x v="17"/>
    <x v="0"/>
  </r>
  <r>
    <n v="7265129"/>
    <x v="1"/>
    <x v="0"/>
    <n v="1.5"/>
    <x v="0"/>
    <d v="2025-06-16T14:06:00"/>
    <x v="3"/>
    <x v="1"/>
    <x v="1"/>
    <b v="1"/>
    <s v="iPad"/>
    <n v="1225"/>
    <n v="47"/>
    <x v="1"/>
    <x v="15"/>
    <x v="0"/>
  </r>
  <r>
    <n v="5762526"/>
    <x v="29"/>
    <x v="14"/>
    <n v="2.5"/>
    <x v="3"/>
    <d v="2024-12-23T14:21:00"/>
    <x v="3"/>
    <x v="7"/>
    <x v="0"/>
    <b v="1"/>
    <s v="iOS"/>
    <n v="767"/>
    <n v="15"/>
    <x v="0"/>
    <x v="4"/>
    <x v="0"/>
  </r>
  <r>
    <n v="9057363"/>
    <x v="22"/>
    <x v="16"/>
    <n v="3.1"/>
    <x v="1"/>
    <d v="2024-03-22T07:48:00"/>
    <x v="1"/>
    <x v="2"/>
    <x v="0"/>
    <b v="1"/>
    <s v="Windows Phone"/>
    <n v="1199"/>
    <n v="34"/>
    <x v="1"/>
    <x v="11"/>
    <x v="0"/>
  </r>
  <r>
    <n v="9690055"/>
    <x v="20"/>
    <x v="15"/>
    <n v="2.7"/>
    <x v="3"/>
    <d v="2023-11-29T01:10:00"/>
    <x v="0"/>
    <x v="4"/>
    <x v="2"/>
    <b v="1"/>
    <s v="iOS"/>
    <n v="286"/>
    <n v="64"/>
    <x v="2"/>
    <x v="2"/>
    <x v="1"/>
  </r>
  <r>
    <n v="5547428"/>
    <x v="38"/>
    <x v="4"/>
    <n v="2.7"/>
    <x v="3"/>
    <d v="2025-04-07T17:53:00"/>
    <x v="3"/>
    <x v="6"/>
    <x v="1"/>
    <b v="1"/>
    <s v="Android"/>
    <n v="90"/>
    <n v="51"/>
    <x v="1"/>
    <x v="3"/>
    <x v="1"/>
  </r>
  <r>
    <n v="3000822"/>
    <x v="20"/>
    <x v="8"/>
    <n v="4.2"/>
    <x v="2"/>
    <d v="2024-08-14T03:12:00"/>
    <x v="0"/>
    <x v="9"/>
    <x v="0"/>
    <b v="0"/>
    <s v="Windows Phone"/>
    <n v="466"/>
    <n v="33"/>
    <x v="1"/>
    <x v="14"/>
    <x v="1"/>
  </r>
  <r>
    <n v="5583324"/>
    <x v="7"/>
    <x v="13"/>
    <n v="3.8"/>
    <x v="1"/>
    <d v="2024-08-25T02:31:00"/>
    <x v="4"/>
    <x v="9"/>
    <x v="0"/>
    <b v="0"/>
    <s v="Android"/>
    <n v="593"/>
    <n v="56"/>
    <x v="1"/>
    <x v="5"/>
    <x v="1"/>
  </r>
  <r>
    <n v="4504991"/>
    <x v="34"/>
    <x v="1"/>
    <n v="2.2999999999999998"/>
    <x v="3"/>
    <d v="2023-10-05T23:03:00"/>
    <x v="2"/>
    <x v="0"/>
    <x v="2"/>
    <b v="1"/>
    <s v="iOS"/>
    <n v="80"/>
    <n v="69"/>
    <x v="2"/>
    <x v="18"/>
    <x v="1"/>
  </r>
  <r>
    <n v="8895418"/>
    <x v="40"/>
    <x v="1"/>
    <n v="1.5"/>
    <x v="0"/>
    <d v="2024-02-08T03:26:00"/>
    <x v="2"/>
    <x v="8"/>
    <x v="0"/>
    <b v="1"/>
    <s v="Android Tablet"/>
    <n v="6"/>
    <n v="69"/>
    <x v="2"/>
    <x v="12"/>
    <x v="0"/>
  </r>
  <r>
    <n v="9763982"/>
    <x v="17"/>
    <x v="1"/>
    <n v="4"/>
    <x v="1"/>
    <d v="2023-10-09T11:14:00"/>
    <x v="3"/>
    <x v="0"/>
    <x v="2"/>
    <b v="1"/>
    <s v="Android Tablet"/>
    <n v="36"/>
    <n v="73"/>
    <x v="2"/>
    <x v="3"/>
    <x v="0"/>
  </r>
  <r>
    <n v="2577610"/>
    <x v="31"/>
    <x v="17"/>
    <n v="2.6"/>
    <x v="3"/>
    <d v="2025-06-05T15:47:00"/>
    <x v="2"/>
    <x v="1"/>
    <x v="1"/>
    <b v="1"/>
    <s v="Windows Phone"/>
    <n v="112"/>
    <n v="39"/>
    <x v="1"/>
    <x v="12"/>
    <x v="1"/>
  </r>
  <r>
    <n v="3606598"/>
    <x v="3"/>
    <x v="2"/>
    <n v="4.4000000000000004"/>
    <x v="2"/>
    <d v="2024-12-21T10:38:00"/>
    <x v="6"/>
    <x v="7"/>
    <x v="0"/>
    <b v="1"/>
    <s v="iOS"/>
    <n v="979"/>
    <n v="61"/>
    <x v="2"/>
    <x v="2"/>
    <x v="1"/>
  </r>
  <r>
    <n v="4651832"/>
    <x v="23"/>
    <x v="5"/>
    <n v="3.6"/>
    <x v="1"/>
    <d v="2024-12-27T19:57:00"/>
    <x v="1"/>
    <x v="7"/>
    <x v="0"/>
    <b v="0"/>
    <s v="iOS"/>
    <n v="103"/>
    <n v="59"/>
    <x v="1"/>
    <x v="14"/>
    <x v="0"/>
  </r>
  <r>
    <n v="6584783"/>
    <x v="9"/>
    <x v="15"/>
    <n v="1.3"/>
    <x v="0"/>
    <d v="2024-08-24T05:04:00"/>
    <x v="6"/>
    <x v="9"/>
    <x v="0"/>
    <b v="1"/>
    <s v="iOS"/>
    <n v="0"/>
    <n v="37"/>
    <x v="1"/>
    <x v="10"/>
    <x v="0"/>
  </r>
  <r>
    <n v="1140350"/>
    <x v="12"/>
    <x v="15"/>
    <n v="3.2"/>
    <x v="1"/>
    <d v="2024-11-28T22:41:00"/>
    <x v="2"/>
    <x v="4"/>
    <x v="0"/>
    <b v="1"/>
    <s v="iPad"/>
    <n v="541"/>
    <n v="50"/>
    <x v="1"/>
    <x v="3"/>
    <x v="0"/>
  </r>
  <r>
    <n v="2645240"/>
    <x v="37"/>
    <x v="1"/>
    <n v="1.1000000000000001"/>
    <x v="0"/>
    <d v="2024-04-22T08:26:00"/>
    <x v="3"/>
    <x v="6"/>
    <x v="0"/>
    <b v="1"/>
    <s v="iOS"/>
    <n v="1172"/>
    <n v="61"/>
    <x v="2"/>
    <x v="11"/>
    <x v="1"/>
  </r>
  <r>
    <n v="2402852"/>
    <x v="2"/>
    <x v="9"/>
    <n v="2.5"/>
    <x v="3"/>
    <d v="2025-01-15T02:48:00"/>
    <x v="0"/>
    <x v="3"/>
    <x v="1"/>
    <b v="1"/>
    <s v="Android"/>
    <n v="770"/>
    <n v="47"/>
    <x v="1"/>
    <x v="17"/>
    <x v="1"/>
  </r>
  <r>
    <n v="7101691"/>
    <x v="19"/>
    <x v="2"/>
    <n v="2.6"/>
    <x v="3"/>
    <d v="2025-07-06T22:06:00"/>
    <x v="4"/>
    <x v="11"/>
    <x v="1"/>
    <b v="0"/>
    <s v="iOS"/>
    <n v="149"/>
    <n v="46"/>
    <x v="1"/>
    <x v="5"/>
    <x v="0"/>
  </r>
  <r>
    <n v="2751604"/>
    <x v="35"/>
    <x v="15"/>
    <n v="4.5"/>
    <x v="2"/>
    <d v="2023-08-23T18:41:00"/>
    <x v="0"/>
    <x v="9"/>
    <x v="2"/>
    <b v="0"/>
    <s v="iPad"/>
    <n v="1248"/>
    <n v="45"/>
    <x v="1"/>
    <x v="4"/>
    <x v="1"/>
  </r>
  <r>
    <n v="6999659"/>
    <x v="9"/>
    <x v="11"/>
    <n v="4.7"/>
    <x v="2"/>
    <d v="2024-03-23T11:53:00"/>
    <x v="6"/>
    <x v="2"/>
    <x v="0"/>
    <b v="1"/>
    <s v="Windows Phone"/>
    <n v="1018"/>
    <n v="58"/>
    <x v="1"/>
    <x v="17"/>
    <x v="0"/>
  </r>
  <r>
    <n v="3974049"/>
    <x v="17"/>
    <x v="2"/>
    <n v="3.1"/>
    <x v="1"/>
    <d v="2024-11-06T02:02:00"/>
    <x v="0"/>
    <x v="4"/>
    <x v="0"/>
    <b v="1"/>
    <s v="iPad"/>
    <n v="209"/>
    <n v="27"/>
    <x v="1"/>
    <x v="21"/>
    <x v="1"/>
  </r>
  <r>
    <n v="6127405"/>
    <x v="2"/>
    <x v="11"/>
    <n v="1.9"/>
    <x v="0"/>
    <d v="2023-10-01T14:36:00"/>
    <x v="4"/>
    <x v="0"/>
    <x v="2"/>
    <b v="0"/>
    <s v="Android"/>
    <n v="176"/>
    <n v="66"/>
    <x v="2"/>
    <x v="14"/>
    <x v="0"/>
  </r>
  <r>
    <n v="8096058"/>
    <x v="34"/>
    <x v="0"/>
    <n v="2"/>
    <x v="3"/>
    <d v="2023-11-13T00:38:00"/>
    <x v="3"/>
    <x v="4"/>
    <x v="2"/>
    <b v="1"/>
    <s v="Android Tablet"/>
    <n v="916"/>
    <n v="67"/>
    <x v="2"/>
    <x v="7"/>
    <x v="1"/>
  </r>
  <r>
    <n v="2847879"/>
    <x v="19"/>
    <x v="16"/>
    <n v="3.6"/>
    <x v="1"/>
    <d v="2023-12-28T23:42:00"/>
    <x v="2"/>
    <x v="7"/>
    <x v="2"/>
    <b v="1"/>
    <s v="Windows Phone"/>
    <n v="475"/>
    <n v="17"/>
    <x v="0"/>
    <x v="2"/>
    <x v="0"/>
  </r>
  <r>
    <n v="351897"/>
    <x v="12"/>
    <x v="4"/>
    <n v="1.6"/>
    <x v="0"/>
    <d v="2025-02-10T06:35:00"/>
    <x v="3"/>
    <x v="8"/>
    <x v="1"/>
    <b v="1"/>
    <s v="Android"/>
    <n v="265"/>
    <n v="36"/>
    <x v="1"/>
    <x v="21"/>
    <x v="0"/>
  </r>
  <r>
    <n v="9456669"/>
    <x v="2"/>
    <x v="11"/>
    <n v="3.6"/>
    <x v="1"/>
    <d v="2024-05-27T18:41:00"/>
    <x v="3"/>
    <x v="5"/>
    <x v="0"/>
    <b v="1"/>
    <s v="iOS"/>
    <n v="59"/>
    <n v="33"/>
    <x v="1"/>
    <x v="6"/>
    <x v="0"/>
  </r>
  <r>
    <n v="7678236"/>
    <x v="23"/>
    <x v="4"/>
    <n v="4.2"/>
    <x v="2"/>
    <d v="2023-10-10T03:01:00"/>
    <x v="5"/>
    <x v="0"/>
    <x v="2"/>
    <b v="0"/>
    <s v="Android Tablet"/>
    <n v="111"/>
    <n v="48"/>
    <x v="1"/>
    <x v="16"/>
    <x v="0"/>
  </r>
  <r>
    <n v="9922182"/>
    <x v="24"/>
    <x v="17"/>
    <n v="2.2999999999999998"/>
    <x v="3"/>
    <d v="2025-07-29T07:43:00"/>
    <x v="5"/>
    <x v="11"/>
    <x v="1"/>
    <b v="0"/>
    <s v="Android Tablet"/>
    <n v="136"/>
    <n v="35"/>
    <x v="1"/>
    <x v="6"/>
    <x v="0"/>
  </r>
  <r>
    <n v="9267190"/>
    <x v="28"/>
    <x v="7"/>
    <n v="2.1"/>
    <x v="3"/>
    <d v="2023-11-13T23:22:00"/>
    <x v="3"/>
    <x v="4"/>
    <x v="2"/>
    <b v="1"/>
    <s v="Windows Phone"/>
    <n v="394"/>
    <n v="16"/>
    <x v="0"/>
    <x v="12"/>
    <x v="0"/>
  </r>
  <r>
    <n v="7038373"/>
    <x v="12"/>
    <x v="3"/>
    <n v="1.8"/>
    <x v="0"/>
    <d v="2024-04-08T02:49:00"/>
    <x v="3"/>
    <x v="6"/>
    <x v="0"/>
    <b v="1"/>
    <s v="Android"/>
    <n v="942"/>
    <n v="39"/>
    <x v="1"/>
    <x v="11"/>
    <x v="0"/>
  </r>
  <r>
    <n v="517955"/>
    <x v="16"/>
    <x v="0"/>
    <n v="2.4"/>
    <x v="3"/>
    <d v="2023-10-09T22:08:00"/>
    <x v="3"/>
    <x v="0"/>
    <x v="2"/>
    <b v="1"/>
    <s v="Windows Phone"/>
    <n v="896"/>
    <n v="72"/>
    <x v="2"/>
    <x v="2"/>
    <x v="0"/>
  </r>
  <r>
    <n v="836621"/>
    <x v="37"/>
    <x v="16"/>
    <n v="3.6"/>
    <x v="1"/>
    <d v="2025-03-19T14:29:00"/>
    <x v="0"/>
    <x v="2"/>
    <x v="1"/>
    <b v="1"/>
    <s v="Android"/>
    <n v="701"/>
    <n v="33"/>
    <x v="1"/>
    <x v="22"/>
    <x v="0"/>
  </r>
  <r>
    <n v="922609"/>
    <x v="0"/>
    <x v="8"/>
    <n v="3.1"/>
    <x v="1"/>
    <d v="2023-10-24T10:53:00"/>
    <x v="5"/>
    <x v="0"/>
    <x v="2"/>
    <b v="1"/>
    <s v="Windows Phone"/>
    <n v="1197"/>
    <n v="41"/>
    <x v="1"/>
    <x v="17"/>
    <x v="1"/>
  </r>
  <r>
    <n v="5409796"/>
    <x v="3"/>
    <x v="5"/>
    <n v="1.4"/>
    <x v="0"/>
    <d v="2025-04-12T22:02:00"/>
    <x v="6"/>
    <x v="6"/>
    <x v="1"/>
    <b v="0"/>
    <s v="Android Tablet"/>
    <n v="90"/>
    <n v="44"/>
    <x v="1"/>
    <x v="4"/>
    <x v="0"/>
  </r>
  <r>
    <n v="8138102"/>
    <x v="6"/>
    <x v="8"/>
    <n v="1.3"/>
    <x v="0"/>
    <d v="2025-07-12T11:35:00"/>
    <x v="6"/>
    <x v="11"/>
    <x v="1"/>
    <b v="1"/>
    <s v="Android"/>
    <n v="313"/>
    <n v="48"/>
    <x v="1"/>
    <x v="7"/>
    <x v="1"/>
  </r>
  <r>
    <n v="696568"/>
    <x v="0"/>
    <x v="16"/>
    <n v="2.1"/>
    <x v="3"/>
    <d v="2024-12-14T08:54:00"/>
    <x v="6"/>
    <x v="7"/>
    <x v="0"/>
    <b v="1"/>
    <s v="Android Tablet"/>
    <n v="1090"/>
    <n v="57"/>
    <x v="1"/>
    <x v="21"/>
    <x v="0"/>
  </r>
  <r>
    <n v="8178154"/>
    <x v="20"/>
    <x v="9"/>
    <n v="2.2000000000000002"/>
    <x v="3"/>
    <d v="2023-11-29T13:41:00"/>
    <x v="0"/>
    <x v="4"/>
    <x v="2"/>
    <b v="0"/>
    <s v="iOS"/>
    <n v="231"/>
    <n v="50"/>
    <x v="1"/>
    <x v="15"/>
    <x v="0"/>
  </r>
  <r>
    <n v="7827886"/>
    <x v="29"/>
    <x v="16"/>
    <n v="1.2"/>
    <x v="0"/>
    <d v="2025-01-08T15:35:00"/>
    <x v="0"/>
    <x v="3"/>
    <x v="1"/>
    <b v="1"/>
    <s v="iPad"/>
    <n v="657"/>
    <n v="48"/>
    <x v="1"/>
    <x v="21"/>
    <x v="1"/>
  </r>
  <r>
    <n v="3594064"/>
    <x v="38"/>
    <x v="13"/>
    <n v="3.2"/>
    <x v="1"/>
    <d v="2024-05-18T08:04:00"/>
    <x v="6"/>
    <x v="5"/>
    <x v="0"/>
    <b v="0"/>
    <s v="Android"/>
    <n v="820"/>
    <n v="42"/>
    <x v="1"/>
    <x v="4"/>
    <x v="0"/>
  </r>
  <r>
    <n v="3243696"/>
    <x v="2"/>
    <x v="3"/>
    <n v="1.8"/>
    <x v="0"/>
    <d v="2023-12-26T14:52:00"/>
    <x v="5"/>
    <x v="7"/>
    <x v="2"/>
    <b v="1"/>
    <s v="iPad"/>
    <n v="509"/>
    <n v="39"/>
    <x v="1"/>
    <x v="8"/>
    <x v="0"/>
  </r>
  <r>
    <n v="5342557"/>
    <x v="35"/>
    <x v="17"/>
    <n v="4.2"/>
    <x v="2"/>
    <d v="2023-08-18T08:08:00"/>
    <x v="1"/>
    <x v="9"/>
    <x v="2"/>
    <b v="1"/>
    <s v="Android Tablet"/>
    <n v="267"/>
    <n v="67"/>
    <x v="2"/>
    <x v="5"/>
    <x v="0"/>
  </r>
  <r>
    <n v="2605186"/>
    <x v="19"/>
    <x v="7"/>
    <n v="3.6"/>
    <x v="1"/>
    <d v="2025-01-06T13:14:00"/>
    <x v="3"/>
    <x v="3"/>
    <x v="1"/>
    <b v="1"/>
    <s v="Android"/>
    <n v="12"/>
    <n v="61"/>
    <x v="2"/>
    <x v="4"/>
    <x v="1"/>
  </r>
  <r>
    <n v="7913071"/>
    <x v="2"/>
    <x v="7"/>
    <n v="2.7"/>
    <x v="3"/>
    <d v="2025-07-13T08:07:00"/>
    <x v="4"/>
    <x v="11"/>
    <x v="1"/>
    <b v="0"/>
    <s v="Windows Phone"/>
    <n v="790"/>
    <n v="68"/>
    <x v="2"/>
    <x v="4"/>
    <x v="1"/>
  </r>
  <r>
    <n v="5948796"/>
    <x v="27"/>
    <x v="3"/>
    <n v="3.6"/>
    <x v="1"/>
    <d v="2024-07-23T22:16:00"/>
    <x v="5"/>
    <x v="11"/>
    <x v="0"/>
    <b v="1"/>
    <s v="iPad"/>
    <n v="493"/>
    <n v="54"/>
    <x v="1"/>
    <x v="12"/>
    <x v="1"/>
  </r>
  <r>
    <n v="4188457"/>
    <x v="11"/>
    <x v="15"/>
    <n v="3.6"/>
    <x v="1"/>
    <d v="2024-09-29T11:35:00"/>
    <x v="4"/>
    <x v="10"/>
    <x v="0"/>
    <b v="1"/>
    <s v="Windows Phone"/>
    <n v="920"/>
    <n v="23"/>
    <x v="1"/>
    <x v="21"/>
    <x v="0"/>
  </r>
  <r>
    <n v="8192903"/>
    <x v="7"/>
    <x v="11"/>
    <n v="3.8"/>
    <x v="1"/>
    <d v="2024-11-07T13:26:00"/>
    <x v="2"/>
    <x v="4"/>
    <x v="0"/>
    <b v="1"/>
    <s v="Windows Phone"/>
    <n v="434"/>
    <n v="23"/>
    <x v="1"/>
    <x v="17"/>
    <x v="1"/>
  </r>
  <r>
    <n v="103092"/>
    <x v="30"/>
    <x v="5"/>
    <n v="4.5999999999999996"/>
    <x v="2"/>
    <d v="2025-03-10T22:01:00"/>
    <x v="3"/>
    <x v="2"/>
    <x v="1"/>
    <b v="1"/>
    <s v="Android Tablet"/>
    <n v="759"/>
    <n v="32"/>
    <x v="1"/>
    <x v="0"/>
    <x v="1"/>
  </r>
  <r>
    <n v="5875801"/>
    <x v="27"/>
    <x v="16"/>
    <n v="3.8"/>
    <x v="1"/>
    <d v="2023-10-09T05:30:00"/>
    <x v="3"/>
    <x v="0"/>
    <x v="2"/>
    <b v="1"/>
    <s v="iOS"/>
    <n v="259"/>
    <n v="14"/>
    <x v="0"/>
    <x v="0"/>
    <x v="0"/>
  </r>
  <r>
    <n v="2377939"/>
    <x v="21"/>
    <x v="4"/>
    <n v="3.3"/>
    <x v="1"/>
    <d v="2023-10-05T15:19:00"/>
    <x v="2"/>
    <x v="0"/>
    <x v="2"/>
    <b v="1"/>
    <s v="Android"/>
    <n v="129"/>
    <n v="53"/>
    <x v="1"/>
    <x v="1"/>
    <x v="0"/>
  </r>
  <r>
    <n v="6992714"/>
    <x v="32"/>
    <x v="1"/>
    <n v="2.9"/>
    <x v="3"/>
    <d v="2025-03-27T20:15:00"/>
    <x v="2"/>
    <x v="2"/>
    <x v="1"/>
    <b v="1"/>
    <s v="Android"/>
    <n v="719"/>
    <n v="73"/>
    <x v="2"/>
    <x v="4"/>
    <x v="1"/>
  </r>
  <r>
    <n v="4994806"/>
    <x v="14"/>
    <x v="8"/>
    <n v="1.8"/>
    <x v="0"/>
    <d v="2024-02-16T11:04:00"/>
    <x v="1"/>
    <x v="8"/>
    <x v="0"/>
    <b v="1"/>
    <s v="iPad"/>
    <n v="1102"/>
    <n v="18"/>
    <x v="1"/>
    <x v="16"/>
    <x v="1"/>
  </r>
  <r>
    <n v="4673311"/>
    <x v="24"/>
    <x v="15"/>
    <n v="1.1000000000000001"/>
    <x v="0"/>
    <d v="2024-04-17T01:19:00"/>
    <x v="0"/>
    <x v="6"/>
    <x v="0"/>
    <b v="1"/>
    <s v="Windows Phone"/>
    <n v="208"/>
    <n v="69"/>
    <x v="2"/>
    <x v="2"/>
    <x v="1"/>
  </r>
  <r>
    <n v="4383960"/>
    <x v="40"/>
    <x v="3"/>
    <n v="1"/>
    <x v="0"/>
    <d v="2024-06-15T07:18:00"/>
    <x v="6"/>
    <x v="1"/>
    <x v="0"/>
    <b v="1"/>
    <s v="Android Tablet"/>
    <n v="103"/>
    <n v="18"/>
    <x v="1"/>
    <x v="7"/>
    <x v="1"/>
  </r>
  <r>
    <n v="3191420"/>
    <x v="1"/>
    <x v="11"/>
    <n v="1.3"/>
    <x v="0"/>
    <d v="2024-02-13T15:35:00"/>
    <x v="5"/>
    <x v="8"/>
    <x v="0"/>
    <b v="1"/>
    <s v="Android Tablet"/>
    <n v="899"/>
    <n v="43"/>
    <x v="1"/>
    <x v="22"/>
    <x v="1"/>
  </r>
  <r>
    <n v="7707523"/>
    <x v="12"/>
    <x v="17"/>
    <n v="3.1"/>
    <x v="1"/>
    <d v="2025-07-17T13:22:00"/>
    <x v="2"/>
    <x v="11"/>
    <x v="1"/>
    <b v="1"/>
    <s v="iOS"/>
    <n v="1192"/>
    <n v="16"/>
    <x v="0"/>
    <x v="5"/>
    <x v="0"/>
  </r>
  <r>
    <n v="1882574"/>
    <x v="18"/>
    <x v="16"/>
    <n v="4.2"/>
    <x v="2"/>
    <d v="2024-10-20T05:08:00"/>
    <x v="4"/>
    <x v="0"/>
    <x v="0"/>
    <b v="1"/>
    <s v="iOS"/>
    <n v="17"/>
    <n v="69"/>
    <x v="2"/>
    <x v="8"/>
    <x v="0"/>
  </r>
  <r>
    <n v="8746691"/>
    <x v="30"/>
    <x v="4"/>
    <n v="1"/>
    <x v="0"/>
    <d v="2025-03-13T12:57:00"/>
    <x v="2"/>
    <x v="2"/>
    <x v="1"/>
    <b v="0"/>
    <s v="iOS"/>
    <n v="883"/>
    <n v="57"/>
    <x v="1"/>
    <x v="6"/>
    <x v="1"/>
  </r>
  <r>
    <n v="7448147"/>
    <x v="0"/>
    <x v="1"/>
    <n v="3.6"/>
    <x v="1"/>
    <d v="2025-02-22T00:30:00"/>
    <x v="6"/>
    <x v="8"/>
    <x v="1"/>
    <b v="1"/>
    <s v="iOS"/>
    <n v="1074"/>
    <n v="60"/>
    <x v="1"/>
    <x v="10"/>
    <x v="1"/>
  </r>
  <r>
    <n v="9102006"/>
    <x v="30"/>
    <x v="8"/>
    <n v="3.3"/>
    <x v="1"/>
    <d v="2023-11-24T13:46:00"/>
    <x v="1"/>
    <x v="4"/>
    <x v="2"/>
    <b v="0"/>
    <s v="iOS"/>
    <n v="242"/>
    <n v="39"/>
    <x v="1"/>
    <x v="23"/>
    <x v="1"/>
  </r>
  <r>
    <n v="3800592"/>
    <x v="37"/>
    <x v="2"/>
    <n v="2.2000000000000002"/>
    <x v="3"/>
    <d v="2023-09-18T21:32:00"/>
    <x v="3"/>
    <x v="10"/>
    <x v="2"/>
    <b v="1"/>
    <s v="Windows Phone"/>
    <n v="771"/>
    <n v="23"/>
    <x v="1"/>
    <x v="11"/>
    <x v="0"/>
  </r>
  <r>
    <n v="9384641"/>
    <x v="15"/>
    <x v="0"/>
    <n v="3.6"/>
    <x v="1"/>
    <d v="2024-12-09T20:17:00"/>
    <x v="3"/>
    <x v="7"/>
    <x v="0"/>
    <b v="1"/>
    <s v="Windows Phone"/>
    <n v="778"/>
    <n v="29"/>
    <x v="1"/>
    <x v="2"/>
    <x v="0"/>
  </r>
  <r>
    <n v="8875941"/>
    <x v="39"/>
    <x v="9"/>
    <n v="2"/>
    <x v="3"/>
    <d v="2024-07-15T17:29:00"/>
    <x v="3"/>
    <x v="11"/>
    <x v="0"/>
    <b v="1"/>
    <s v="iOS"/>
    <n v="71"/>
    <n v="64"/>
    <x v="2"/>
    <x v="8"/>
    <x v="0"/>
  </r>
  <r>
    <n v="3778843"/>
    <x v="6"/>
    <x v="16"/>
    <n v="2.5"/>
    <x v="3"/>
    <d v="2024-07-26T10:41:00"/>
    <x v="1"/>
    <x v="11"/>
    <x v="0"/>
    <b v="0"/>
    <s v="Android"/>
    <n v="882"/>
    <n v="26"/>
    <x v="1"/>
    <x v="22"/>
    <x v="0"/>
  </r>
  <r>
    <n v="980075"/>
    <x v="31"/>
    <x v="10"/>
    <n v="4.0999999999999996"/>
    <x v="2"/>
    <d v="2025-07-19T05:44:00"/>
    <x v="6"/>
    <x v="11"/>
    <x v="1"/>
    <b v="1"/>
    <s v="iOS"/>
    <n v="213"/>
    <n v="74"/>
    <x v="2"/>
    <x v="9"/>
    <x v="1"/>
  </r>
  <r>
    <n v="8237979"/>
    <x v="3"/>
    <x v="11"/>
    <n v="3.8"/>
    <x v="1"/>
    <d v="2024-11-16T05:44:00"/>
    <x v="6"/>
    <x v="4"/>
    <x v="0"/>
    <b v="1"/>
    <s v="Android Tablet"/>
    <n v="699"/>
    <n v="69"/>
    <x v="2"/>
    <x v="15"/>
    <x v="0"/>
  </r>
  <r>
    <n v="3357379"/>
    <x v="16"/>
    <x v="13"/>
    <n v="3.5"/>
    <x v="1"/>
    <d v="2024-12-03T18:48:00"/>
    <x v="5"/>
    <x v="7"/>
    <x v="0"/>
    <b v="1"/>
    <s v="iPad"/>
    <n v="315"/>
    <n v="46"/>
    <x v="1"/>
    <x v="1"/>
    <x v="0"/>
  </r>
  <r>
    <n v="2234259"/>
    <x v="4"/>
    <x v="1"/>
    <n v="2.4"/>
    <x v="3"/>
    <d v="2023-08-25T19:21:00"/>
    <x v="1"/>
    <x v="9"/>
    <x v="2"/>
    <b v="0"/>
    <s v="Android"/>
    <n v="961"/>
    <n v="38"/>
    <x v="1"/>
    <x v="0"/>
    <x v="1"/>
  </r>
  <r>
    <n v="9640629"/>
    <x v="2"/>
    <x v="13"/>
    <n v="1.6"/>
    <x v="0"/>
    <d v="2023-09-16T05:04:00"/>
    <x v="6"/>
    <x v="10"/>
    <x v="2"/>
    <b v="1"/>
    <s v="Android"/>
    <n v="725"/>
    <n v="54"/>
    <x v="1"/>
    <x v="4"/>
    <x v="0"/>
  </r>
  <r>
    <n v="7793677"/>
    <x v="11"/>
    <x v="6"/>
    <n v="3.9"/>
    <x v="1"/>
    <d v="2024-06-20T17:20:00"/>
    <x v="2"/>
    <x v="1"/>
    <x v="0"/>
    <b v="1"/>
    <s v="iPad"/>
    <n v="829"/>
    <n v="16"/>
    <x v="0"/>
    <x v="1"/>
    <x v="0"/>
  </r>
  <r>
    <n v="5864248"/>
    <x v="13"/>
    <x v="1"/>
    <n v="3.7"/>
    <x v="1"/>
    <d v="2024-01-18T15:26:00"/>
    <x v="2"/>
    <x v="3"/>
    <x v="0"/>
    <b v="1"/>
    <s v="Android Tablet"/>
    <n v="564"/>
    <n v="19"/>
    <x v="1"/>
    <x v="2"/>
    <x v="1"/>
  </r>
  <r>
    <n v="4626314"/>
    <x v="30"/>
    <x v="16"/>
    <n v="2.5"/>
    <x v="3"/>
    <d v="2025-01-24T01:45:00"/>
    <x v="1"/>
    <x v="3"/>
    <x v="1"/>
    <b v="0"/>
    <s v="iPad"/>
    <n v="1157"/>
    <n v="40"/>
    <x v="1"/>
    <x v="12"/>
    <x v="0"/>
  </r>
  <r>
    <n v="3260048"/>
    <x v="19"/>
    <x v="17"/>
    <n v="2.2999999999999998"/>
    <x v="3"/>
    <d v="2025-06-23T15:21:00"/>
    <x v="3"/>
    <x v="1"/>
    <x v="1"/>
    <b v="1"/>
    <s v="Android Tablet"/>
    <n v="453"/>
    <n v="18"/>
    <x v="1"/>
    <x v="0"/>
    <x v="0"/>
  </r>
  <r>
    <n v="1564797"/>
    <x v="34"/>
    <x v="16"/>
    <n v="2.1"/>
    <x v="3"/>
    <d v="2023-10-02T03:33:00"/>
    <x v="3"/>
    <x v="0"/>
    <x v="2"/>
    <b v="1"/>
    <s v="iOS"/>
    <n v="220"/>
    <n v="14"/>
    <x v="0"/>
    <x v="19"/>
    <x v="0"/>
  </r>
  <r>
    <n v="3099964"/>
    <x v="16"/>
    <x v="15"/>
    <n v="2.5"/>
    <x v="3"/>
    <d v="2025-04-14T19:14:00"/>
    <x v="3"/>
    <x v="6"/>
    <x v="1"/>
    <b v="1"/>
    <s v="Windows Phone"/>
    <n v="102"/>
    <n v="22"/>
    <x v="1"/>
    <x v="5"/>
    <x v="1"/>
  </r>
  <r>
    <n v="7007041"/>
    <x v="18"/>
    <x v="17"/>
    <n v="1.5"/>
    <x v="0"/>
    <d v="2023-11-11T08:53:00"/>
    <x v="6"/>
    <x v="4"/>
    <x v="2"/>
    <b v="1"/>
    <s v="Android Tablet"/>
    <n v="1174"/>
    <n v="19"/>
    <x v="1"/>
    <x v="16"/>
    <x v="0"/>
  </r>
  <r>
    <n v="2981270"/>
    <x v="38"/>
    <x v="0"/>
    <n v="4.0999999999999996"/>
    <x v="2"/>
    <d v="2025-04-04T22:05:00"/>
    <x v="1"/>
    <x v="6"/>
    <x v="1"/>
    <b v="1"/>
    <s v="Windows Phone"/>
    <n v="1249"/>
    <n v="35"/>
    <x v="1"/>
    <x v="7"/>
    <x v="0"/>
  </r>
  <r>
    <n v="2675047"/>
    <x v="38"/>
    <x v="7"/>
    <n v="4"/>
    <x v="1"/>
    <d v="2023-11-23T18:57:00"/>
    <x v="2"/>
    <x v="4"/>
    <x v="2"/>
    <b v="1"/>
    <s v="iPad"/>
    <n v="521"/>
    <n v="71"/>
    <x v="2"/>
    <x v="21"/>
    <x v="0"/>
  </r>
  <r>
    <n v="9053043"/>
    <x v="12"/>
    <x v="6"/>
    <n v="4.9000000000000004"/>
    <x v="2"/>
    <d v="2024-03-22T02:33:00"/>
    <x v="1"/>
    <x v="2"/>
    <x v="0"/>
    <b v="1"/>
    <s v="Windows Phone"/>
    <n v="515"/>
    <n v="57"/>
    <x v="1"/>
    <x v="14"/>
    <x v="0"/>
  </r>
  <r>
    <n v="518175"/>
    <x v="8"/>
    <x v="4"/>
    <n v="1.7"/>
    <x v="0"/>
    <d v="2024-06-10T02:40:00"/>
    <x v="3"/>
    <x v="1"/>
    <x v="0"/>
    <b v="1"/>
    <s v="iPad"/>
    <n v="592"/>
    <n v="22"/>
    <x v="1"/>
    <x v="17"/>
    <x v="1"/>
  </r>
  <r>
    <n v="2439134"/>
    <x v="5"/>
    <x v="3"/>
    <n v="3.4"/>
    <x v="1"/>
    <d v="2025-01-08T12:04:00"/>
    <x v="0"/>
    <x v="3"/>
    <x v="1"/>
    <b v="1"/>
    <s v="Android"/>
    <n v="146"/>
    <n v="33"/>
    <x v="1"/>
    <x v="18"/>
    <x v="0"/>
  </r>
  <r>
    <n v="2060855"/>
    <x v="35"/>
    <x v="16"/>
    <n v="2.2000000000000002"/>
    <x v="3"/>
    <d v="2024-03-27T04:08:00"/>
    <x v="0"/>
    <x v="2"/>
    <x v="0"/>
    <b v="1"/>
    <s v="iOS"/>
    <n v="87"/>
    <n v="40"/>
    <x v="1"/>
    <x v="1"/>
    <x v="1"/>
  </r>
  <r>
    <n v="6838231"/>
    <x v="10"/>
    <x v="17"/>
    <n v="4.4000000000000004"/>
    <x v="2"/>
    <d v="2024-11-22T12:31:00"/>
    <x v="1"/>
    <x v="4"/>
    <x v="0"/>
    <b v="1"/>
    <s v="iOS"/>
    <n v="321"/>
    <n v="17"/>
    <x v="0"/>
    <x v="5"/>
    <x v="1"/>
  </r>
  <r>
    <n v="7582180"/>
    <x v="39"/>
    <x v="13"/>
    <n v="2.7"/>
    <x v="3"/>
    <d v="2024-05-04T11:22:00"/>
    <x v="6"/>
    <x v="5"/>
    <x v="0"/>
    <b v="1"/>
    <s v="Android Tablet"/>
    <n v="822"/>
    <n v="32"/>
    <x v="1"/>
    <x v="20"/>
    <x v="1"/>
  </r>
  <r>
    <n v="304527"/>
    <x v="24"/>
    <x v="6"/>
    <n v="2.9"/>
    <x v="3"/>
    <d v="2025-02-16T19:16:00"/>
    <x v="4"/>
    <x v="8"/>
    <x v="1"/>
    <b v="1"/>
    <s v="Windows Phone"/>
    <n v="1163"/>
    <n v="62"/>
    <x v="2"/>
    <x v="8"/>
    <x v="1"/>
  </r>
  <r>
    <n v="4206228"/>
    <x v="25"/>
    <x v="9"/>
    <n v="4.9000000000000004"/>
    <x v="2"/>
    <d v="2023-09-21T16:55:00"/>
    <x v="2"/>
    <x v="10"/>
    <x v="2"/>
    <b v="1"/>
    <s v="Android Tablet"/>
    <n v="1186"/>
    <n v="67"/>
    <x v="2"/>
    <x v="4"/>
    <x v="0"/>
  </r>
  <r>
    <n v="6182121"/>
    <x v="30"/>
    <x v="8"/>
    <n v="4.5"/>
    <x v="2"/>
    <d v="2023-10-14T07:32:00"/>
    <x v="6"/>
    <x v="0"/>
    <x v="2"/>
    <b v="1"/>
    <s v="iPad"/>
    <n v="350"/>
    <n v="20"/>
    <x v="1"/>
    <x v="3"/>
    <x v="0"/>
  </r>
  <r>
    <n v="415519"/>
    <x v="4"/>
    <x v="12"/>
    <n v="1.5"/>
    <x v="0"/>
    <d v="2025-03-24T14:23:00"/>
    <x v="3"/>
    <x v="2"/>
    <x v="1"/>
    <b v="1"/>
    <s v="iOS"/>
    <n v="875"/>
    <n v="36"/>
    <x v="1"/>
    <x v="8"/>
    <x v="1"/>
  </r>
  <r>
    <n v="7335132"/>
    <x v="11"/>
    <x v="5"/>
    <n v="1.7"/>
    <x v="0"/>
    <d v="2023-09-02T21:39:00"/>
    <x v="6"/>
    <x v="10"/>
    <x v="2"/>
    <b v="1"/>
    <s v="Android"/>
    <n v="773"/>
    <n v="22"/>
    <x v="1"/>
    <x v="17"/>
    <x v="1"/>
  </r>
  <r>
    <n v="8714751"/>
    <x v="23"/>
    <x v="14"/>
    <n v="1.9"/>
    <x v="0"/>
    <d v="2024-11-03T14:41:00"/>
    <x v="4"/>
    <x v="4"/>
    <x v="0"/>
    <b v="1"/>
    <s v="Android"/>
    <n v="1001"/>
    <n v="66"/>
    <x v="2"/>
    <x v="0"/>
    <x v="0"/>
  </r>
  <r>
    <n v="3546060"/>
    <x v="36"/>
    <x v="15"/>
    <n v="3.7"/>
    <x v="1"/>
    <d v="2024-10-30T06:47:00"/>
    <x v="0"/>
    <x v="0"/>
    <x v="0"/>
    <b v="1"/>
    <s v="iPad"/>
    <n v="286"/>
    <n v="58"/>
    <x v="1"/>
    <x v="7"/>
    <x v="1"/>
  </r>
  <r>
    <n v="8064404"/>
    <x v="5"/>
    <x v="11"/>
    <n v="1.7"/>
    <x v="0"/>
    <d v="2024-05-11T12:26:00"/>
    <x v="6"/>
    <x v="5"/>
    <x v="0"/>
    <b v="0"/>
    <s v="Android Tablet"/>
    <n v="626"/>
    <n v="39"/>
    <x v="1"/>
    <x v="7"/>
    <x v="0"/>
  </r>
  <r>
    <n v="9988165"/>
    <x v="10"/>
    <x v="13"/>
    <n v="3"/>
    <x v="3"/>
    <d v="2023-12-22T16:04:00"/>
    <x v="1"/>
    <x v="7"/>
    <x v="2"/>
    <b v="1"/>
    <s v="Android Tablet"/>
    <n v="906"/>
    <n v="60"/>
    <x v="1"/>
    <x v="1"/>
    <x v="0"/>
  </r>
  <r>
    <n v="1185660"/>
    <x v="17"/>
    <x v="13"/>
    <n v="4"/>
    <x v="1"/>
    <d v="2024-08-04T11:07:00"/>
    <x v="4"/>
    <x v="9"/>
    <x v="0"/>
    <b v="0"/>
    <s v="iOS"/>
    <n v="1071"/>
    <n v="38"/>
    <x v="1"/>
    <x v="21"/>
    <x v="1"/>
  </r>
  <r>
    <n v="5953181"/>
    <x v="33"/>
    <x v="10"/>
    <n v="3"/>
    <x v="3"/>
    <d v="2025-04-20T16:14:00"/>
    <x v="4"/>
    <x v="6"/>
    <x v="1"/>
    <b v="0"/>
    <s v="iPad"/>
    <n v="1242"/>
    <n v="53"/>
    <x v="1"/>
    <x v="8"/>
    <x v="1"/>
  </r>
  <r>
    <n v="9897340"/>
    <x v="21"/>
    <x v="9"/>
    <n v="4"/>
    <x v="1"/>
    <d v="2024-11-03T02:40:00"/>
    <x v="4"/>
    <x v="4"/>
    <x v="0"/>
    <b v="1"/>
    <s v="Android Tablet"/>
    <n v="278"/>
    <n v="67"/>
    <x v="2"/>
    <x v="23"/>
    <x v="1"/>
  </r>
  <r>
    <n v="1198911"/>
    <x v="7"/>
    <x v="0"/>
    <n v="2.2000000000000002"/>
    <x v="3"/>
    <d v="2024-06-24T00:32:00"/>
    <x v="3"/>
    <x v="1"/>
    <x v="0"/>
    <b v="1"/>
    <s v="iOS"/>
    <n v="1209"/>
    <n v="45"/>
    <x v="1"/>
    <x v="21"/>
    <x v="1"/>
  </r>
  <r>
    <n v="8736236"/>
    <x v="21"/>
    <x v="1"/>
    <n v="1.4"/>
    <x v="0"/>
    <d v="2024-10-18T13:58:00"/>
    <x v="1"/>
    <x v="0"/>
    <x v="0"/>
    <b v="1"/>
    <s v="Android"/>
    <n v="1239"/>
    <n v="13"/>
    <x v="0"/>
    <x v="12"/>
    <x v="1"/>
  </r>
  <r>
    <n v="8293298"/>
    <x v="30"/>
    <x v="7"/>
    <n v="4.7"/>
    <x v="2"/>
    <d v="2023-10-17T14:16:00"/>
    <x v="5"/>
    <x v="0"/>
    <x v="2"/>
    <b v="0"/>
    <s v="Android"/>
    <n v="348"/>
    <n v="68"/>
    <x v="2"/>
    <x v="2"/>
    <x v="1"/>
  </r>
  <r>
    <n v="6844899"/>
    <x v="11"/>
    <x v="10"/>
    <n v="1.1000000000000001"/>
    <x v="0"/>
    <d v="2025-04-16T19:57:00"/>
    <x v="0"/>
    <x v="6"/>
    <x v="1"/>
    <b v="1"/>
    <s v="Android Tablet"/>
    <n v="442"/>
    <n v="52"/>
    <x v="1"/>
    <x v="11"/>
    <x v="1"/>
  </r>
  <r>
    <n v="8760803"/>
    <x v="8"/>
    <x v="16"/>
    <n v="3.6"/>
    <x v="1"/>
    <d v="2023-09-16T09:21:00"/>
    <x v="6"/>
    <x v="10"/>
    <x v="2"/>
    <b v="1"/>
    <s v="Windows Phone"/>
    <n v="614"/>
    <n v="59"/>
    <x v="1"/>
    <x v="4"/>
    <x v="1"/>
  </r>
  <r>
    <n v="3466315"/>
    <x v="33"/>
    <x v="15"/>
    <n v="1.4"/>
    <x v="0"/>
    <d v="2024-05-09T19:39:00"/>
    <x v="2"/>
    <x v="5"/>
    <x v="0"/>
    <b v="1"/>
    <s v="Windows Phone"/>
    <n v="1190"/>
    <n v="72"/>
    <x v="2"/>
    <x v="0"/>
    <x v="0"/>
  </r>
  <r>
    <n v="6983025"/>
    <x v="34"/>
    <x v="2"/>
    <n v="2.7"/>
    <x v="3"/>
    <d v="2024-04-04T09:12:00"/>
    <x v="2"/>
    <x v="6"/>
    <x v="0"/>
    <b v="1"/>
    <s v="Android Tablet"/>
    <n v="80"/>
    <n v="45"/>
    <x v="1"/>
    <x v="6"/>
    <x v="1"/>
  </r>
  <r>
    <n v="3515137"/>
    <x v="40"/>
    <x v="7"/>
    <n v="4.5"/>
    <x v="2"/>
    <d v="2024-10-08T16:58:00"/>
    <x v="5"/>
    <x v="0"/>
    <x v="0"/>
    <b v="1"/>
    <s v="iOS"/>
    <n v="4"/>
    <n v="16"/>
    <x v="0"/>
    <x v="20"/>
    <x v="1"/>
  </r>
  <r>
    <n v="7180306"/>
    <x v="9"/>
    <x v="1"/>
    <n v="5"/>
    <x v="2"/>
    <d v="2024-12-15T08:34:00"/>
    <x v="4"/>
    <x v="7"/>
    <x v="0"/>
    <b v="1"/>
    <s v="Android"/>
    <n v="516"/>
    <n v="20"/>
    <x v="1"/>
    <x v="1"/>
    <x v="1"/>
  </r>
  <r>
    <n v="4060113"/>
    <x v="19"/>
    <x v="15"/>
    <n v="4.3"/>
    <x v="2"/>
    <d v="2023-10-26T19:38:00"/>
    <x v="2"/>
    <x v="0"/>
    <x v="2"/>
    <b v="1"/>
    <s v="Windows Phone"/>
    <n v="1054"/>
    <n v="30"/>
    <x v="1"/>
    <x v="9"/>
    <x v="0"/>
  </r>
  <r>
    <n v="6269641"/>
    <x v="24"/>
    <x v="5"/>
    <n v="1.2"/>
    <x v="0"/>
    <d v="2025-04-29T20:26:00"/>
    <x v="5"/>
    <x v="6"/>
    <x v="1"/>
    <b v="1"/>
    <s v="iOS"/>
    <n v="1150"/>
    <n v="28"/>
    <x v="1"/>
    <x v="21"/>
    <x v="0"/>
  </r>
  <r>
    <n v="7028341"/>
    <x v="27"/>
    <x v="6"/>
    <n v="1.2"/>
    <x v="0"/>
    <d v="2024-11-30T21:22:00"/>
    <x v="6"/>
    <x v="4"/>
    <x v="0"/>
    <b v="1"/>
    <s v="Windows Phone"/>
    <n v="1081"/>
    <n v="40"/>
    <x v="1"/>
    <x v="20"/>
    <x v="0"/>
  </r>
  <r>
    <n v="5363378"/>
    <x v="26"/>
    <x v="17"/>
    <n v="3.5"/>
    <x v="1"/>
    <d v="2024-10-21T02:56:00"/>
    <x v="3"/>
    <x v="0"/>
    <x v="0"/>
    <b v="1"/>
    <s v="Android"/>
    <n v="164"/>
    <n v="18"/>
    <x v="1"/>
    <x v="22"/>
    <x v="1"/>
  </r>
  <r>
    <n v="8763182"/>
    <x v="39"/>
    <x v="9"/>
    <n v="4.8"/>
    <x v="2"/>
    <d v="2025-02-05T02:52:00"/>
    <x v="0"/>
    <x v="8"/>
    <x v="1"/>
    <b v="0"/>
    <s v="iPad"/>
    <n v="457"/>
    <n v="34"/>
    <x v="1"/>
    <x v="21"/>
    <x v="0"/>
  </r>
  <r>
    <n v="2282597"/>
    <x v="32"/>
    <x v="13"/>
    <n v="1.9"/>
    <x v="0"/>
    <d v="2025-05-19T17:33:00"/>
    <x v="3"/>
    <x v="5"/>
    <x v="1"/>
    <b v="1"/>
    <s v="Android"/>
    <n v="850"/>
    <n v="19"/>
    <x v="1"/>
    <x v="18"/>
    <x v="1"/>
  </r>
  <r>
    <n v="6983963"/>
    <x v="25"/>
    <x v="17"/>
    <n v="3.1"/>
    <x v="1"/>
    <d v="2025-04-07T13:00:00"/>
    <x v="3"/>
    <x v="6"/>
    <x v="1"/>
    <b v="1"/>
    <s v="Android Tablet"/>
    <n v="693"/>
    <n v="66"/>
    <x v="2"/>
    <x v="2"/>
    <x v="1"/>
  </r>
  <r>
    <n v="7674743"/>
    <x v="39"/>
    <x v="15"/>
    <n v="1.7"/>
    <x v="0"/>
    <d v="2024-05-12T09:37:00"/>
    <x v="4"/>
    <x v="5"/>
    <x v="0"/>
    <b v="1"/>
    <s v="iPad"/>
    <n v="600"/>
    <n v="25"/>
    <x v="1"/>
    <x v="17"/>
    <x v="0"/>
  </r>
  <r>
    <n v="3426354"/>
    <x v="18"/>
    <x v="6"/>
    <n v="1.5"/>
    <x v="0"/>
    <d v="2024-02-20T05:04:00"/>
    <x v="5"/>
    <x v="8"/>
    <x v="0"/>
    <b v="0"/>
    <s v="Windows Phone"/>
    <n v="599"/>
    <n v="45"/>
    <x v="1"/>
    <x v="0"/>
    <x v="0"/>
  </r>
  <r>
    <n v="3296800"/>
    <x v="9"/>
    <x v="17"/>
    <n v="2.9"/>
    <x v="3"/>
    <d v="2025-05-31T08:44:00"/>
    <x v="6"/>
    <x v="5"/>
    <x v="1"/>
    <b v="1"/>
    <s v="iOS"/>
    <n v="985"/>
    <n v="55"/>
    <x v="1"/>
    <x v="15"/>
    <x v="1"/>
  </r>
  <r>
    <n v="2548514"/>
    <x v="31"/>
    <x v="5"/>
    <n v="1.8"/>
    <x v="0"/>
    <d v="2023-08-23T05:26:00"/>
    <x v="0"/>
    <x v="9"/>
    <x v="2"/>
    <b v="1"/>
    <s v="Android Tablet"/>
    <n v="138"/>
    <n v="68"/>
    <x v="2"/>
    <x v="8"/>
    <x v="0"/>
  </r>
  <r>
    <n v="6044195"/>
    <x v="1"/>
    <x v="9"/>
    <n v="2"/>
    <x v="3"/>
    <d v="2024-11-13T20:43:00"/>
    <x v="0"/>
    <x v="4"/>
    <x v="0"/>
    <b v="0"/>
    <s v="Android Tablet"/>
    <n v="157"/>
    <n v="50"/>
    <x v="1"/>
    <x v="8"/>
    <x v="1"/>
  </r>
  <r>
    <n v="5175231"/>
    <x v="8"/>
    <x v="12"/>
    <n v="1.7"/>
    <x v="0"/>
    <d v="2024-08-17T16:16:00"/>
    <x v="6"/>
    <x v="9"/>
    <x v="0"/>
    <b v="1"/>
    <s v="Android Tablet"/>
    <n v="550"/>
    <n v="44"/>
    <x v="1"/>
    <x v="0"/>
    <x v="1"/>
  </r>
  <r>
    <n v="7953160"/>
    <x v="30"/>
    <x v="17"/>
    <n v="1"/>
    <x v="0"/>
    <d v="2024-03-07T15:11:00"/>
    <x v="2"/>
    <x v="2"/>
    <x v="0"/>
    <b v="1"/>
    <s v="Android"/>
    <n v="596"/>
    <n v="50"/>
    <x v="1"/>
    <x v="16"/>
    <x v="0"/>
  </r>
  <r>
    <n v="7481800"/>
    <x v="15"/>
    <x v="15"/>
    <n v="3.8"/>
    <x v="1"/>
    <d v="2024-07-31T03:07:00"/>
    <x v="0"/>
    <x v="11"/>
    <x v="0"/>
    <b v="1"/>
    <s v="Android Tablet"/>
    <n v="369"/>
    <n v="47"/>
    <x v="1"/>
    <x v="0"/>
    <x v="0"/>
  </r>
  <r>
    <n v="1669976"/>
    <x v="40"/>
    <x v="7"/>
    <n v="4.4000000000000004"/>
    <x v="2"/>
    <d v="2023-10-13T03:03:00"/>
    <x v="1"/>
    <x v="0"/>
    <x v="2"/>
    <b v="1"/>
    <s v="Android"/>
    <n v="232"/>
    <n v="52"/>
    <x v="1"/>
    <x v="15"/>
    <x v="0"/>
  </r>
  <r>
    <n v="1879557"/>
    <x v="16"/>
    <x v="17"/>
    <n v="4.5999999999999996"/>
    <x v="2"/>
    <d v="2025-05-11T23:27:00"/>
    <x v="4"/>
    <x v="5"/>
    <x v="1"/>
    <b v="1"/>
    <s v="Android Tablet"/>
    <n v="373"/>
    <n v="51"/>
    <x v="1"/>
    <x v="22"/>
    <x v="1"/>
  </r>
  <r>
    <n v="2679924"/>
    <x v="25"/>
    <x v="7"/>
    <n v="2.6"/>
    <x v="3"/>
    <d v="2023-08-23T07:20:00"/>
    <x v="0"/>
    <x v="9"/>
    <x v="2"/>
    <b v="1"/>
    <s v="Android Tablet"/>
    <n v="561"/>
    <n v="43"/>
    <x v="1"/>
    <x v="7"/>
    <x v="0"/>
  </r>
  <r>
    <n v="9648894"/>
    <x v="35"/>
    <x v="10"/>
    <n v="3.3"/>
    <x v="1"/>
    <d v="2023-11-09T07:46:00"/>
    <x v="2"/>
    <x v="4"/>
    <x v="2"/>
    <b v="1"/>
    <s v="Android"/>
    <n v="613"/>
    <n v="28"/>
    <x v="1"/>
    <x v="9"/>
    <x v="1"/>
  </r>
  <r>
    <n v="8093331"/>
    <x v="5"/>
    <x v="7"/>
    <n v="3.4"/>
    <x v="1"/>
    <d v="2024-02-25T09:53:00"/>
    <x v="4"/>
    <x v="8"/>
    <x v="0"/>
    <b v="1"/>
    <s v="iPad"/>
    <n v="369"/>
    <n v="54"/>
    <x v="1"/>
    <x v="20"/>
    <x v="1"/>
  </r>
  <r>
    <n v="7197946"/>
    <x v="28"/>
    <x v="7"/>
    <n v="1.5"/>
    <x v="0"/>
    <d v="2023-10-09T22:56:00"/>
    <x v="3"/>
    <x v="0"/>
    <x v="2"/>
    <b v="0"/>
    <s v="Android Tablet"/>
    <n v="0"/>
    <n v="29"/>
    <x v="1"/>
    <x v="7"/>
    <x v="1"/>
  </r>
  <r>
    <n v="7188983"/>
    <x v="24"/>
    <x v="12"/>
    <n v="2"/>
    <x v="3"/>
    <d v="2023-11-24T07:18:00"/>
    <x v="1"/>
    <x v="4"/>
    <x v="2"/>
    <b v="1"/>
    <s v="iOS"/>
    <n v="1103"/>
    <n v="52"/>
    <x v="1"/>
    <x v="6"/>
    <x v="0"/>
  </r>
  <r>
    <n v="8876028"/>
    <x v="29"/>
    <x v="13"/>
    <n v="1.8"/>
    <x v="0"/>
    <d v="2024-06-28T02:34:00"/>
    <x v="1"/>
    <x v="1"/>
    <x v="0"/>
    <b v="1"/>
    <s v="Android Tablet"/>
    <n v="184"/>
    <n v="41"/>
    <x v="1"/>
    <x v="18"/>
    <x v="0"/>
  </r>
  <r>
    <n v="9638446"/>
    <x v="1"/>
    <x v="0"/>
    <n v="3.9"/>
    <x v="1"/>
    <d v="2024-08-31T12:18:00"/>
    <x v="6"/>
    <x v="9"/>
    <x v="0"/>
    <b v="1"/>
    <s v="Android Tablet"/>
    <n v="714"/>
    <n v="30"/>
    <x v="1"/>
    <x v="19"/>
    <x v="1"/>
  </r>
  <r>
    <n v="7733602"/>
    <x v="37"/>
    <x v="10"/>
    <n v="1.7"/>
    <x v="0"/>
    <d v="2025-03-11T03:11:00"/>
    <x v="5"/>
    <x v="2"/>
    <x v="1"/>
    <b v="0"/>
    <s v="iPad"/>
    <n v="1097"/>
    <n v="36"/>
    <x v="1"/>
    <x v="15"/>
    <x v="0"/>
  </r>
  <r>
    <n v="1883932"/>
    <x v="17"/>
    <x v="5"/>
    <n v="2.6"/>
    <x v="3"/>
    <d v="2024-07-02T19:40:00"/>
    <x v="5"/>
    <x v="11"/>
    <x v="0"/>
    <b v="1"/>
    <s v="Android Tablet"/>
    <n v="68"/>
    <n v="34"/>
    <x v="1"/>
    <x v="3"/>
    <x v="0"/>
  </r>
  <r>
    <n v="366510"/>
    <x v="15"/>
    <x v="12"/>
    <n v="4"/>
    <x v="1"/>
    <d v="2025-01-22T12:03:00"/>
    <x v="0"/>
    <x v="3"/>
    <x v="1"/>
    <b v="1"/>
    <s v="Windows Phone"/>
    <n v="95"/>
    <n v="37"/>
    <x v="1"/>
    <x v="23"/>
    <x v="0"/>
  </r>
  <r>
    <n v="549886"/>
    <x v="15"/>
    <x v="13"/>
    <n v="4.4000000000000004"/>
    <x v="2"/>
    <d v="2025-01-27T14:27:00"/>
    <x v="3"/>
    <x v="3"/>
    <x v="1"/>
    <b v="1"/>
    <s v="iPad"/>
    <n v="1169"/>
    <n v="21"/>
    <x v="1"/>
    <x v="17"/>
    <x v="1"/>
  </r>
  <r>
    <n v="9382090"/>
    <x v="20"/>
    <x v="5"/>
    <n v="3"/>
    <x v="3"/>
    <d v="2024-11-26T12:59:00"/>
    <x v="5"/>
    <x v="4"/>
    <x v="0"/>
    <b v="0"/>
    <s v="iPad"/>
    <n v="3"/>
    <n v="25"/>
    <x v="1"/>
    <x v="11"/>
    <x v="1"/>
  </r>
  <r>
    <n v="5917736"/>
    <x v="24"/>
    <x v="9"/>
    <n v="3.6"/>
    <x v="1"/>
    <d v="2024-07-14T02:28:00"/>
    <x v="4"/>
    <x v="11"/>
    <x v="0"/>
    <b v="0"/>
    <s v="Android"/>
    <n v="930"/>
    <n v="23"/>
    <x v="1"/>
    <x v="1"/>
    <x v="0"/>
  </r>
  <r>
    <n v="4932019"/>
    <x v="2"/>
    <x v="2"/>
    <n v="1.1000000000000001"/>
    <x v="0"/>
    <d v="2025-02-14T22:35:00"/>
    <x v="1"/>
    <x v="8"/>
    <x v="1"/>
    <b v="1"/>
    <s v="iOS"/>
    <n v="34"/>
    <n v="28"/>
    <x v="1"/>
    <x v="12"/>
    <x v="1"/>
  </r>
  <r>
    <n v="7972548"/>
    <x v="14"/>
    <x v="8"/>
    <n v="2"/>
    <x v="3"/>
    <d v="2024-04-23T22:51:00"/>
    <x v="5"/>
    <x v="6"/>
    <x v="0"/>
    <b v="1"/>
    <s v="Windows Phone"/>
    <n v="992"/>
    <n v="70"/>
    <x v="2"/>
    <x v="20"/>
    <x v="1"/>
  </r>
  <r>
    <n v="3994044"/>
    <x v="31"/>
    <x v="7"/>
    <n v="4.8"/>
    <x v="2"/>
    <d v="2024-08-29T04:05:00"/>
    <x v="2"/>
    <x v="9"/>
    <x v="0"/>
    <b v="1"/>
    <s v="Android Tablet"/>
    <n v="745"/>
    <n v="28"/>
    <x v="1"/>
    <x v="20"/>
    <x v="0"/>
  </r>
  <r>
    <n v="636367"/>
    <x v="8"/>
    <x v="14"/>
    <n v="1.2"/>
    <x v="0"/>
    <d v="2025-04-18T13:12:00"/>
    <x v="1"/>
    <x v="6"/>
    <x v="1"/>
    <b v="1"/>
    <s v="iPad"/>
    <n v="1245"/>
    <n v="65"/>
    <x v="2"/>
    <x v="2"/>
    <x v="1"/>
  </r>
  <r>
    <n v="5766248"/>
    <x v="22"/>
    <x v="4"/>
    <n v="4.9000000000000004"/>
    <x v="2"/>
    <d v="2024-06-30T08:25:00"/>
    <x v="4"/>
    <x v="1"/>
    <x v="0"/>
    <b v="1"/>
    <s v="Android Tablet"/>
    <n v="816"/>
    <n v="22"/>
    <x v="1"/>
    <x v="12"/>
    <x v="1"/>
  </r>
  <r>
    <n v="883099"/>
    <x v="20"/>
    <x v="16"/>
    <n v="4.2"/>
    <x v="2"/>
    <d v="2025-05-28T14:34:00"/>
    <x v="0"/>
    <x v="5"/>
    <x v="1"/>
    <b v="1"/>
    <s v="iPad"/>
    <n v="1005"/>
    <n v="29"/>
    <x v="1"/>
    <x v="10"/>
    <x v="0"/>
  </r>
  <r>
    <n v="9536728"/>
    <x v="16"/>
    <x v="0"/>
    <n v="3"/>
    <x v="3"/>
    <d v="2023-09-02T11:26:00"/>
    <x v="6"/>
    <x v="10"/>
    <x v="2"/>
    <b v="1"/>
    <s v="iPad"/>
    <n v="127"/>
    <n v="27"/>
    <x v="1"/>
    <x v="18"/>
    <x v="1"/>
  </r>
  <r>
    <n v="210521"/>
    <x v="24"/>
    <x v="1"/>
    <n v="4.9000000000000004"/>
    <x v="2"/>
    <d v="2024-02-07T10:06:00"/>
    <x v="0"/>
    <x v="8"/>
    <x v="0"/>
    <b v="1"/>
    <s v="Android"/>
    <n v="910"/>
    <n v="47"/>
    <x v="1"/>
    <x v="4"/>
    <x v="1"/>
  </r>
  <r>
    <n v="2643614"/>
    <x v="26"/>
    <x v="16"/>
    <n v="1.7"/>
    <x v="0"/>
    <d v="2025-03-07T21:51:00"/>
    <x v="1"/>
    <x v="2"/>
    <x v="1"/>
    <b v="0"/>
    <s v="Android"/>
    <n v="1227"/>
    <n v="57"/>
    <x v="1"/>
    <x v="12"/>
    <x v="1"/>
  </r>
  <r>
    <n v="2542499"/>
    <x v="5"/>
    <x v="0"/>
    <n v="4.2"/>
    <x v="2"/>
    <d v="2025-03-21T01:44:00"/>
    <x v="1"/>
    <x v="2"/>
    <x v="1"/>
    <b v="1"/>
    <s v="iOS"/>
    <n v="59"/>
    <n v="22"/>
    <x v="1"/>
    <x v="14"/>
    <x v="0"/>
  </r>
  <r>
    <n v="8779670"/>
    <x v="27"/>
    <x v="9"/>
    <n v="1.2"/>
    <x v="0"/>
    <d v="2023-09-23T22:09:00"/>
    <x v="6"/>
    <x v="10"/>
    <x v="2"/>
    <b v="1"/>
    <s v="Windows Phone"/>
    <n v="1092"/>
    <n v="40"/>
    <x v="1"/>
    <x v="3"/>
    <x v="0"/>
  </r>
  <r>
    <n v="5362932"/>
    <x v="1"/>
    <x v="2"/>
    <n v="1.1000000000000001"/>
    <x v="0"/>
    <d v="2025-06-14T07:08:00"/>
    <x v="6"/>
    <x v="1"/>
    <x v="1"/>
    <b v="1"/>
    <s v="Android"/>
    <n v="606"/>
    <n v="41"/>
    <x v="1"/>
    <x v="5"/>
    <x v="0"/>
  </r>
  <r>
    <n v="8090200"/>
    <x v="10"/>
    <x v="7"/>
    <n v="4.4000000000000004"/>
    <x v="2"/>
    <d v="2024-01-14T16:57:00"/>
    <x v="4"/>
    <x v="3"/>
    <x v="0"/>
    <b v="1"/>
    <s v="iOS"/>
    <n v="1236"/>
    <n v="57"/>
    <x v="1"/>
    <x v="23"/>
    <x v="0"/>
  </r>
  <r>
    <n v="8232997"/>
    <x v="17"/>
    <x v="4"/>
    <n v="5"/>
    <x v="2"/>
    <d v="2025-02-03T05:53:00"/>
    <x v="3"/>
    <x v="8"/>
    <x v="1"/>
    <b v="1"/>
    <s v="Android"/>
    <n v="866"/>
    <n v="52"/>
    <x v="1"/>
    <x v="16"/>
    <x v="0"/>
  </r>
  <r>
    <n v="8977514"/>
    <x v="11"/>
    <x v="3"/>
    <n v="4.9000000000000004"/>
    <x v="2"/>
    <d v="2023-10-31T13:50:00"/>
    <x v="5"/>
    <x v="0"/>
    <x v="2"/>
    <b v="0"/>
    <s v="iOS"/>
    <n v="316"/>
    <n v="24"/>
    <x v="1"/>
    <x v="18"/>
    <x v="0"/>
  </r>
  <r>
    <n v="3667549"/>
    <x v="1"/>
    <x v="13"/>
    <n v="1.8"/>
    <x v="0"/>
    <d v="2024-03-24T17:17:00"/>
    <x v="4"/>
    <x v="2"/>
    <x v="0"/>
    <b v="1"/>
    <s v="iPad"/>
    <n v="107"/>
    <n v="28"/>
    <x v="1"/>
    <x v="1"/>
    <x v="1"/>
  </r>
  <r>
    <n v="849647"/>
    <x v="37"/>
    <x v="7"/>
    <n v="4.4000000000000004"/>
    <x v="2"/>
    <d v="2024-11-28T03:38:00"/>
    <x v="2"/>
    <x v="4"/>
    <x v="0"/>
    <b v="0"/>
    <s v="Android Tablet"/>
    <n v="537"/>
    <n v="73"/>
    <x v="2"/>
    <x v="18"/>
    <x v="1"/>
  </r>
  <r>
    <n v="987084"/>
    <x v="39"/>
    <x v="17"/>
    <n v="1.9"/>
    <x v="0"/>
    <d v="2024-10-16T19:12:00"/>
    <x v="0"/>
    <x v="0"/>
    <x v="0"/>
    <b v="1"/>
    <s v="Windows Phone"/>
    <n v="526"/>
    <n v="70"/>
    <x v="2"/>
    <x v="1"/>
    <x v="1"/>
  </r>
  <r>
    <n v="3277535"/>
    <x v="38"/>
    <x v="0"/>
    <n v="3.8"/>
    <x v="1"/>
    <d v="2025-03-05T20:30:00"/>
    <x v="0"/>
    <x v="2"/>
    <x v="1"/>
    <b v="1"/>
    <s v="iOS"/>
    <n v="922"/>
    <n v="40"/>
    <x v="1"/>
    <x v="15"/>
    <x v="0"/>
  </r>
  <r>
    <n v="8532879"/>
    <x v="12"/>
    <x v="6"/>
    <n v="4.4000000000000004"/>
    <x v="2"/>
    <d v="2025-05-13T11:37:00"/>
    <x v="5"/>
    <x v="5"/>
    <x v="1"/>
    <b v="1"/>
    <s v="Windows Phone"/>
    <n v="1077"/>
    <n v="22"/>
    <x v="1"/>
    <x v="17"/>
    <x v="0"/>
  </r>
  <r>
    <n v="4021514"/>
    <x v="5"/>
    <x v="16"/>
    <n v="1.3"/>
    <x v="0"/>
    <d v="2024-02-08T04:44:00"/>
    <x v="2"/>
    <x v="8"/>
    <x v="0"/>
    <b v="0"/>
    <s v="Android"/>
    <n v="502"/>
    <n v="39"/>
    <x v="1"/>
    <x v="16"/>
    <x v="1"/>
  </r>
  <r>
    <n v="9406446"/>
    <x v="1"/>
    <x v="5"/>
    <n v="1.1000000000000001"/>
    <x v="0"/>
    <d v="2024-12-18T22:52:00"/>
    <x v="0"/>
    <x v="7"/>
    <x v="0"/>
    <b v="1"/>
    <s v="Windows Phone"/>
    <n v="569"/>
    <n v="60"/>
    <x v="1"/>
    <x v="0"/>
    <x v="0"/>
  </r>
  <r>
    <n v="4788532"/>
    <x v="11"/>
    <x v="10"/>
    <n v="2"/>
    <x v="3"/>
    <d v="2025-06-13T01:23:00"/>
    <x v="1"/>
    <x v="1"/>
    <x v="1"/>
    <b v="1"/>
    <s v="iOS"/>
    <n v="344"/>
    <n v="75"/>
    <x v="2"/>
    <x v="18"/>
    <x v="1"/>
  </r>
  <r>
    <n v="3637478"/>
    <x v="18"/>
    <x v="9"/>
    <n v="3.8"/>
    <x v="1"/>
    <d v="2024-11-17T00:36:00"/>
    <x v="4"/>
    <x v="4"/>
    <x v="0"/>
    <b v="1"/>
    <s v="Android Tablet"/>
    <n v="825"/>
    <n v="24"/>
    <x v="1"/>
    <x v="13"/>
    <x v="0"/>
  </r>
  <r>
    <n v="3810242"/>
    <x v="30"/>
    <x v="10"/>
    <n v="4.2"/>
    <x v="2"/>
    <d v="2024-01-29T19:57:00"/>
    <x v="3"/>
    <x v="3"/>
    <x v="0"/>
    <b v="1"/>
    <s v="Windows Phone"/>
    <n v="792"/>
    <n v="67"/>
    <x v="2"/>
    <x v="5"/>
    <x v="1"/>
  </r>
  <r>
    <n v="8368447"/>
    <x v="37"/>
    <x v="6"/>
    <n v="2.8"/>
    <x v="3"/>
    <d v="2025-07-03T10:19:00"/>
    <x v="2"/>
    <x v="11"/>
    <x v="1"/>
    <b v="0"/>
    <s v="Windows Phone"/>
    <n v="847"/>
    <n v="68"/>
    <x v="2"/>
    <x v="21"/>
    <x v="0"/>
  </r>
  <r>
    <n v="9590989"/>
    <x v="23"/>
    <x v="11"/>
    <n v="2.8"/>
    <x v="3"/>
    <d v="2025-01-03T23:20:00"/>
    <x v="1"/>
    <x v="3"/>
    <x v="1"/>
    <b v="0"/>
    <s v="iOS"/>
    <n v="1231"/>
    <n v="71"/>
    <x v="2"/>
    <x v="8"/>
    <x v="0"/>
  </r>
  <r>
    <n v="9581479"/>
    <x v="29"/>
    <x v="5"/>
    <n v="1.7"/>
    <x v="0"/>
    <d v="2023-12-15T05:10:00"/>
    <x v="1"/>
    <x v="7"/>
    <x v="2"/>
    <b v="1"/>
    <s v="iOS"/>
    <n v="464"/>
    <n v="24"/>
    <x v="1"/>
    <x v="19"/>
    <x v="1"/>
  </r>
  <r>
    <n v="9967764"/>
    <x v="14"/>
    <x v="15"/>
    <n v="4.2"/>
    <x v="2"/>
    <d v="2025-01-10T13:52:00"/>
    <x v="1"/>
    <x v="3"/>
    <x v="1"/>
    <b v="1"/>
    <s v="Android Tablet"/>
    <n v="521"/>
    <n v="37"/>
    <x v="1"/>
    <x v="6"/>
    <x v="1"/>
  </r>
  <r>
    <n v="7715616"/>
    <x v="0"/>
    <x v="11"/>
    <n v="4.8"/>
    <x v="2"/>
    <d v="2023-08-02T09:31:00"/>
    <x v="0"/>
    <x v="9"/>
    <x v="2"/>
    <b v="1"/>
    <s v="iOS"/>
    <n v="157"/>
    <n v="45"/>
    <x v="1"/>
    <x v="9"/>
    <x v="1"/>
  </r>
  <r>
    <n v="7356954"/>
    <x v="5"/>
    <x v="2"/>
    <n v="1.1000000000000001"/>
    <x v="0"/>
    <d v="2025-05-17T16:44:00"/>
    <x v="6"/>
    <x v="5"/>
    <x v="1"/>
    <b v="1"/>
    <s v="Windows Phone"/>
    <n v="787"/>
    <n v="58"/>
    <x v="1"/>
    <x v="6"/>
    <x v="1"/>
  </r>
  <r>
    <n v="4697554"/>
    <x v="13"/>
    <x v="16"/>
    <n v="2.1"/>
    <x v="3"/>
    <d v="2024-04-16T20:26:00"/>
    <x v="5"/>
    <x v="6"/>
    <x v="0"/>
    <b v="1"/>
    <s v="Android"/>
    <n v="275"/>
    <n v="63"/>
    <x v="2"/>
    <x v="17"/>
    <x v="0"/>
  </r>
  <r>
    <n v="1348902"/>
    <x v="36"/>
    <x v="2"/>
    <n v="1.7"/>
    <x v="0"/>
    <d v="2025-07-13T03:06:00"/>
    <x v="4"/>
    <x v="11"/>
    <x v="1"/>
    <b v="1"/>
    <s v="Android Tablet"/>
    <n v="769"/>
    <n v="67"/>
    <x v="2"/>
    <x v="22"/>
    <x v="1"/>
  </r>
  <r>
    <n v="5314457"/>
    <x v="6"/>
    <x v="1"/>
    <n v="3.7"/>
    <x v="1"/>
    <d v="2024-11-03T02:39:00"/>
    <x v="4"/>
    <x v="4"/>
    <x v="0"/>
    <b v="0"/>
    <s v="iPad"/>
    <n v="1188"/>
    <n v="66"/>
    <x v="2"/>
    <x v="16"/>
    <x v="0"/>
  </r>
  <r>
    <n v="1323240"/>
    <x v="10"/>
    <x v="0"/>
    <n v="1.3"/>
    <x v="0"/>
    <d v="2025-03-25T10:05:00"/>
    <x v="5"/>
    <x v="2"/>
    <x v="1"/>
    <b v="1"/>
    <s v="iPad"/>
    <n v="1205"/>
    <n v="49"/>
    <x v="1"/>
    <x v="17"/>
    <x v="1"/>
  </r>
  <r>
    <n v="7457303"/>
    <x v="20"/>
    <x v="4"/>
    <n v="4.5"/>
    <x v="2"/>
    <d v="2025-03-16T08:54:00"/>
    <x v="4"/>
    <x v="2"/>
    <x v="1"/>
    <b v="1"/>
    <s v="Windows Phone"/>
    <n v="267"/>
    <n v="24"/>
    <x v="1"/>
    <x v="9"/>
    <x v="0"/>
  </r>
  <r>
    <n v="1233208"/>
    <x v="27"/>
    <x v="1"/>
    <n v="4.7"/>
    <x v="2"/>
    <d v="2024-11-03T09:17:00"/>
    <x v="4"/>
    <x v="4"/>
    <x v="0"/>
    <b v="1"/>
    <s v="Android Tablet"/>
    <n v="889"/>
    <n v="59"/>
    <x v="1"/>
    <x v="7"/>
    <x v="0"/>
  </r>
  <r>
    <n v="8637891"/>
    <x v="34"/>
    <x v="15"/>
    <n v="2.2999999999999998"/>
    <x v="3"/>
    <d v="2024-12-19T01:44:00"/>
    <x v="2"/>
    <x v="7"/>
    <x v="0"/>
    <b v="0"/>
    <s v="Android Tablet"/>
    <n v="504"/>
    <n v="55"/>
    <x v="1"/>
    <x v="13"/>
    <x v="1"/>
  </r>
  <r>
    <n v="8607858"/>
    <x v="1"/>
    <x v="2"/>
    <n v="1.1000000000000001"/>
    <x v="0"/>
    <d v="2025-04-28T03:46:00"/>
    <x v="3"/>
    <x v="6"/>
    <x v="1"/>
    <b v="1"/>
    <s v="Windows Phone"/>
    <n v="459"/>
    <n v="26"/>
    <x v="1"/>
    <x v="7"/>
    <x v="0"/>
  </r>
  <r>
    <n v="3378387"/>
    <x v="29"/>
    <x v="8"/>
    <n v="3.9"/>
    <x v="1"/>
    <d v="2024-01-03T12:16:00"/>
    <x v="0"/>
    <x v="3"/>
    <x v="0"/>
    <b v="0"/>
    <s v="Android"/>
    <n v="889"/>
    <n v="44"/>
    <x v="1"/>
    <x v="12"/>
    <x v="0"/>
  </r>
  <r>
    <n v="5655698"/>
    <x v="24"/>
    <x v="1"/>
    <n v="3.2"/>
    <x v="1"/>
    <d v="2025-05-23T15:40:00"/>
    <x v="1"/>
    <x v="5"/>
    <x v="1"/>
    <b v="1"/>
    <s v="iOS"/>
    <n v="122"/>
    <n v="26"/>
    <x v="1"/>
    <x v="7"/>
    <x v="0"/>
  </r>
  <r>
    <n v="9597530"/>
    <x v="33"/>
    <x v="0"/>
    <n v="4.4000000000000004"/>
    <x v="2"/>
    <d v="2024-04-17T14:14:00"/>
    <x v="0"/>
    <x v="6"/>
    <x v="0"/>
    <b v="0"/>
    <s v="Android"/>
    <n v="1014"/>
    <n v="20"/>
    <x v="1"/>
    <x v="16"/>
    <x v="0"/>
  </r>
  <r>
    <n v="9406180"/>
    <x v="11"/>
    <x v="17"/>
    <n v="3.4"/>
    <x v="1"/>
    <d v="2023-10-29T08:21:00"/>
    <x v="4"/>
    <x v="0"/>
    <x v="2"/>
    <b v="1"/>
    <s v="iOS"/>
    <n v="1134"/>
    <n v="63"/>
    <x v="2"/>
    <x v="0"/>
    <x v="1"/>
  </r>
  <r>
    <n v="4975059"/>
    <x v="2"/>
    <x v="6"/>
    <n v="3.8"/>
    <x v="1"/>
    <d v="2024-07-07T22:52:00"/>
    <x v="4"/>
    <x v="11"/>
    <x v="0"/>
    <b v="1"/>
    <s v="Android"/>
    <n v="687"/>
    <n v="26"/>
    <x v="1"/>
    <x v="7"/>
    <x v="1"/>
  </r>
  <r>
    <n v="6138275"/>
    <x v="11"/>
    <x v="8"/>
    <n v="4.9000000000000004"/>
    <x v="2"/>
    <d v="2023-09-03T23:31:00"/>
    <x v="4"/>
    <x v="10"/>
    <x v="2"/>
    <b v="1"/>
    <s v="Windows Phone"/>
    <n v="452"/>
    <n v="75"/>
    <x v="2"/>
    <x v="3"/>
    <x v="1"/>
  </r>
  <r>
    <n v="3388125"/>
    <x v="40"/>
    <x v="11"/>
    <n v="4.9000000000000004"/>
    <x v="2"/>
    <d v="2023-08-17T13:43:00"/>
    <x v="2"/>
    <x v="9"/>
    <x v="2"/>
    <b v="1"/>
    <s v="Android Tablet"/>
    <n v="1042"/>
    <n v="54"/>
    <x v="1"/>
    <x v="18"/>
    <x v="0"/>
  </r>
  <r>
    <n v="6445068"/>
    <x v="25"/>
    <x v="15"/>
    <n v="1.9"/>
    <x v="0"/>
    <d v="2025-05-25T12:54:00"/>
    <x v="4"/>
    <x v="5"/>
    <x v="1"/>
    <b v="1"/>
    <s v="iPad"/>
    <n v="1019"/>
    <n v="75"/>
    <x v="2"/>
    <x v="4"/>
    <x v="1"/>
  </r>
  <r>
    <n v="2353688"/>
    <x v="17"/>
    <x v="16"/>
    <n v="2.6"/>
    <x v="3"/>
    <d v="2025-03-06T16:20:00"/>
    <x v="2"/>
    <x v="2"/>
    <x v="1"/>
    <b v="1"/>
    <s v="iOS"/>
    <n v="909"/>
    <n v="39"/>
    <x v="1"/>
    <x v="0"/>
    <x v="0"/>
  </r>
  <r>
    <n v="5998448"/>
    <x v="40"/>
    <x v="15"/>
    <n v="1"/>
    <x v="0"/>
    <d v="2024-01-26T15:53:00"/>
    <x v="1"/>
    <x v="3"/>
    <x v="0"/>
    <b v="1"/>
    <s v="Android"/>
    <n v="560"/>
    <n v="18"/>
    <x v="1"/>
    <x v="11"/>
    <x v="0"/>
  </r>
  <r>
    <n v="790263"/>
    <x v="10"/>
    <x v="10"/>
    <n v="1.7"/>
    <x v="0"/>
    <d v="2023-08-20T01:51:00"/>
    <x v="4"/>
    <x v="9"/>
    <x v="2"/>
    <b v="1"/>
    <s v="Android Tablet"/>
    <n v="1153"/>
    <n v="64"/>
    <x v="2"/>
    <x v="1"/>
    <x v="1"/>
  </r>
  <r>
    <n v="7510303"/>
    <x v="35"/>
    <x v="4"/>
    <n v="2.2999999999999998"/>
    <x v="3"/>
    <d v="2024-01-29T11:14:00"/>
    <x v="3"/>
    <x v="3"/>
    <x v="0"/>
    <b v="1"/>
    <s v="Windows Phone"/>
    <n v="285"/>
    <n v="46"/>
    <x v="1"/>
    <x v="1"/>
    <x v="0"/>
  </r>
  <r>
    <n v="1373196"/>
    <x v="15"/>
    <x v="3"/>
    <n v="1.1000000000000001"/>
    <x v="0"/>
    <d v="2024-01-24T18:29:00"/>
    <x v="0"/>
    <x v="3"/>
    <x v="0"/>
    <b v="1"/>
    <s v="Android"/>
    <n v="834"/>
    <n v="42"/>
    <x v="1"/>
    <x v="4"/>
    <x v="0"/>
  </r>
  <r>
    <n v="3918133"/>
    <x v="2"/>
    <x v="6"/>
    <n v="4.9000000000000004"/>
    <x v="2"/>
    <d v="2024-01-24T03:17:00"/>
    <x v="0"/>
    <x v="3"/>
    <x v="0"/>
    <b v="0"/>
    <s v="Android Tablet"/>
    <n v="696"/>
    <n v="16"/>
    <x v="0"/>
    <x v="14"/>
    <x v="0"/>
  </r>
  <r>
    <n v="3621118"/>
    <x v="28"/>
    <x v="7"/>
    <n v="1.3"/>
    <x v="0"/>
    <d v="2024-08-03T09:14:00"/>
    <x v="6"/>
    <x v="9"/>
    <x v="0"/>
    <b v="1"/>
    <s v="Windows Phone"/>
    <n v="122"/>
    <n v="22"/>
    <x v="1"/>
    <x v="17"/>
    <x v="0"/>
  </r>
  <r>
    <n v="7964124"/>
    <x v="21"/>
    <x v="14"/>
    <n v="2.2000000000000002"/>
    <x v="3"/>
    <d v="2025-02-12T01:38:00"/>
    <x v="0"/>
    <x v="8"/>
    <x v="1"/>
    <b v="1"/>
    <s v="Android"/>
    <n v="82"/>
    <n v="14"/>
    <x v="0"/>
    <x v="15"/>
    <x v="0"/>
  </r>
  <r>
    <n v="5815319"/>
    <x v="22"/>
    <x v="1"/>
    <n v="3.5"/>
    <x v="1"/>
    <d v="2025-04-06T23:26:00"/>
    <x v="4"/>
    <x v="6"/>
    <x v="1"/>
    <b v="1"/>
    <s v="Android Tablet"/>
    <n v="778"/>
    <n v="52"/>
    <x v="1"/>
    <x v="16"/>
    <x v="0"/>
  </r>
  <r>
    <n v="7293952"/>
    <x v="16"/>
    <x v="6"/>
    <n v="1.7"/>
    <x v="0"/>
    <d v="2025-03-21T01:21:00"/>
    <x v="1"/>
    <x v="2"/>
    <x v="1"/>
    <b v="0"/>
    <s v="iPad"/>
    <n v="647"/>
    <n v="73"/>
    <x v="2"/>
    <x v="14"/>
    <x v="0"/>
  </r>
  <r>
    <n v="605062"/>
    <x v="30"/>
    <x v="9"/>
    <n v="2.2000000000000002"/>
    <x v="3"/>
    <d v="2024-05-17T21:59:00"/>
    <x v="1"/>
    <x v="5"/>
    <x v="0"/>
    <b v="1"/>
    <s v="iPad"/>
    <n v="8"/>
    <n v="24"/>
    <x v="1"/>
    <x v="17"/>
    <x v="0"/>
  </r>
  <r>
    <n v="9788983"/>
    <x v="40"/>
    <x v="6"/>
    <n v="4.5"/>
    <x v="2"/>
    <d v="2024-04-10T03:38:00"/>
    <x v="0"/>
    <x v="6"/>
    <x v="0"/>
    <b v="1"/>
    <s v="iPad"/>
    <n v="106"/>
    <n v="42"/>
    <x v="1"/>
    <x v="20"/>
    <x v="0"/>
  </r>
  <r>
    <n v="7727990"/>
    <x v="29"/>
    <x v="16"/>
    <n v="4.8"/>
    <x v="2"/>
    <d v="2023-09-14T12:05:00"/>
    <x v="2"/>
    <x v="10"/>
    <x v="2"/>
    <b v="1"/>
    <s v="Windows Phone"/>
    <n v="1239"/>
    <n v="38"/>
    <x v="1"/>
    <x v="23"/>
    <x v="1"/>
  </r>
  <r>
    <n v="8799518"/>
    <x v="39"/>
    <x v="16"/>
    <n v="3.9"/>
    <x v="1"/>
    <d v="2024-05-29T00:25:00"/>
    <x v="0"/>
    <x v="5"/>
    <x v="0"/>
    <b v="1"/>
    <s v="Android"/>
    <n v="232"/>
    <n v="68"/>
    <x v="2"/>
    <x v="16"/>
    <x v="0"/>
  </r>
  <r>
    <n v="2279901"/>
    <x v="27"/>
    <x v="5"/>
    <n v="2.4"/>
    <x v="3"/>
    <d v="2025-06-06T23:25:00"/>
    <x v="1"/>
    <x v="1"/>
    <x v="1"/>
    <b v="1"/>
    <s v="Windows Phone"/>
    <n v="122"/>
    <n v="47"/>
    <x v="1"/>
    <x v="3"/>
    <x v="0"/>
  </r>
  <r>
    <n v="5296863"/>
    <x v="39"/>
    <x v="8"/>
    <n v="2.6"/>
    <x v="3"/>
    <d v="2024-07-01T13:52:00"/>
    <x v="3"/>
    <x v="11"/>
    <x v="0"/>
    <b v="0"/>
    <s v="Windows Phone"/>
    <n v="696"/>
    <n v="17"/>
    <x v="0"/>
    <x v="9"/>
    <x v="0"/>
  </r>
  <r>
    <n v="3112820"/>
    <x v="34"/>
    <x v="12"/>
    <n v="4"/>
    <x v="1"/>
    <d v="2025-06-07T01:06:00"/>
    <x v="6"/>
    <x v="1"/>
    <x v="1"/>
    <b v="1"/>
    <s v="Android Tablet"/>
    <n v="1213"/>
    <n v="48"/>
    <x v="1"/>
    <x v="5"/>
    <x v="0"/>
  </r>
  <r>
    <n v="9121738"/>
    <x v="9"/>
    <x v="1"/>
    <n v="4.5"/>
    <x v="2"/>
    <d v="2024-03-14T14:17:00"/>
    <x v="2"/>
    <x v="2"/>
    <x v="0"/>
    <b v="0"/>
    <s v="Windows Phone"/>
    <n v="599"/>
    <n v="21"/>
    <x v="1"/>
    <x v="7"/>
    <x v="0"/>
  </r>
  <r>
    <n v="5569592"/>
    <x v="11"/>
    <x v="9"/>
    <n v="1.8"/>
    <x v="0"/>
    <d v="2024-06-14T09:49:00"/>
    <x v="1"/>
    <x v="1"/>
    <x v="0"/>
    <b v="1"/>
    <s v="Android Tablet"/>
    <n v="182"/>
    <n v="51"/>
    <x v="1"/>
    <x v="6"/>
    <x v="1"/>
  </r>
  <r>
    <n v="548251"/>
    <x v="30"/>
    <x v="15"/>
    <n v="4.8"/>
    <x v="2"/>
    <d v="2023-09-26T17:32:00"/>
    <x v="5"/>
    <x v="10"/>
    <x v="2"/>
    <b v="0"/>
    <s v="iOS"/>
    <n v="116"/>
    <n v="69"/>
    <x v="2"/>
    <x v="5"/>
    <x v="0"/>
  </r>
  <r>
    <n v="7888747"/>
    <x v="24"/>
    <x v="7"/>
    <n v="3.5"/>
    <x v="1"/>
    <d v="2024-08-11T09:38:00"/>
    <x v="4"/>
    <x v="9"/>
    <x v="0"/>
    <b v="1"/>
    <s v="Android"/>
    <n v="471"/>
    <n v="16"/>
    <x v="0"/>
    <x v="22"/>
    <x v="0"/>
  </r>
  <r>
    <n v="1244829"/>
    <x v="5"/>
    <x v="12"/>
    <n v="2.2000000000000002"/>
    <x v="3"/>
    <d v="2023-10-03T23:53:00"/>
    <x v="5"/>
    <x v="0"/>
    <x v="2"/>
    <b v="1"/>
    <s v="Android Tablet"/>
    <n v="525"/>
    <n v="62"/>
    <x v="2"/>
    <x v="11"/>
    <x v="1"/>
  </r>
  <r>
    <n v="4165012"/>
    <x v="19"/>
    <x v="5"/>
    <n v="3.4"/>
    <x v="1"/>
    <d v="2024-02-29T02:52:00"/>
    <x v="2"/>
    <x v="8"/>
    <x v="0"/>
    <b v="1"/>
    <s v="Windows Phone"/>
    <n v="1031"/>
    <n v="31"/>
    <x v="1"/>
    <x v="17"/>
    <x v="1"/>
  </r>
  <r>
    <n v="3735160"/>
    <x v="6"/>
    <x v="16"/>
    <n v="1.6"/>
    <x v="0"/>
    <d v="2025-02-05T18:41:00"/>
    <x v="0"/>
    <x v="8"/>
    <x v="1"/>
    <b v="1"/>
    <s v="Android Tablet"/>
    <n v="352"/>
    <n v="50"/>
    <x v="1"/>
    <x v="6"/>
    <x v="0"/>
  </r>
  <r>
    <n v="5405630"/>
    <x v="11"/>
    <x v="14"/>
    <n v="3.5"/>
    <x v="1"/>
    <d v="2023-08-10T04:25:00"/>
    <x v="2"/>
    <x v="9"/>
    <x v="2"/>
    <b v="1"/>
    <s v="Android"/>
    <n v="787"/>
    <n v="23"/>
    <x v="1"/>
    <x v="3"/>
    <x v="1"/>
  </r>
  <r>
    <n v="9915290"/>
    <x v="40"/>
    <x v="1"/>
    <n v="2.4"/>
    <x v="3"/>
    <d v="2024-07-14T13:23:00"/>
    <x v="4"/>
    <x v="11"/>
    <x v="0"/>
    <b v="1"/>
    <s v="iOS"/>
    <n v="9"/>
    <n v="32"/>
    <x v="1"/>
    <x v="7"/>
    <x v="1"/>
  </r>
  <r>
    <n v="4266421"/>
    <x v="24"/>
    <x v="16"/>
    <n v="2.8"/>
    <x v="3"/>
    <d v="2025-04-14T09:13:00"/>
    <x v="3"/>
    <x v="6"/>
    <x v="1"/>
    <b v="0"/>
    <s v="Android Tablet"/>
    <n v="195"/>
    <n v="66"/>
    <x v="2"/>
    <x v="17"/>
    <x v="1"/>
  </r>
  <r>
    <n v="3060096"/>
    <x v="1"/>
    <x v="9"/>
    <n v="3.1"/>
    <x v="1"/>
    <d v="2025-02-15T06:47:00"/>
    <x v="6"/>
    <x v="8"/>
    <x v="1"/>
    <b v="1"/>
    <s v="Android"/>
    <n v="631"/>
    <n v="45"/>
    <x v="1"/>
    <x v="14"/>
    <x v="1"/>
  </r>
  <r>
    <n v="1068122"/>
    <x v="16"/>
    <x v="5"/>
    <n v="2.6"/>
    <x v="3"/>
    <d v="2025-01-07T06:33:00"/>
    <x v="5"/>
    <x v="3"/>
    <x v="1"/>
    <b v="1"/>
    <s v="Android Tablet"/>
    <n v="712"/>
    <n v="32"/>
    <x v="1"/>
    <x v="5"/>
    <x v="1"/>
  </r>
  <r>
    <n v="4342475"/>
    <x v="19"/>
    <x v="11"/>
    <n v="3.6"/>
    <x v="1"/>
    <d v="2025-04-25T23:40:00"/>
    <x v="1"/>
    <x v="6"/>
    <x v="1"/>
    <b v="1"/>
    <s v="Android Tablet"/>
    <n v="987"/>
    <n v="24"/>
    <x v="1"/>
    <x v="3"/>
    <x v="1"/>
  </r>
  <r>
    <n v="126484"/>
    <x v="4"/>
    <x v="12"/>
    <n v="3.7"/>
    <x v="1"/>
    <d v="2023-10-15T02:52:00"/>
    <x v="4"/>
    <x v="0"/>
    <x v="2"/>
    <b v="1"/>
    <s v="Windows Phone"/>
    <n v="656"/>
    <n v="19"/>
    <x v="1"/>
    <x v="6"/>
    <x v="0"/>
  </r>
  <r>
    <n v="3422233"/>
    <x v="30"/>
    <x v="8"/>
    <n v="4.7"/>
    <x v="2"/>
    <d v="2024-08-12T17:33:00"/>
    <x v="3"/>
    <x v="9"/>
    <x v="0"/>
    <b v="1"/>
    <s v="iOS"/>
    <n v="772"/>
    <n v="48"/>
    <x v="1"/>
    <x v="4"/>
    <x v="0"/>
  </r>
  <r>
    <n v="8532459"/>
    <x v="35"/>
    <x v="2"/>
    <n v="4.8"/>
    <x v="2"/>
    <d v="2023-10-25T12:04:00"/>
    <x v="0"/>
    <x v="0"/>
    <x v="2"/>
    <b v="1"/>
    <s v="Windows Phone"/>
    <n v="232"/>
    <n v="55"/>
    <x v="1"/>
    <x v="5"/>
    <x v="0"/>
  </r>
  <r>
    <n v="9614227"/>
    <x v="14"/>
    <x v="5"/>
    <n v="3.1"/>
    <x v="1"/>
    <d v="2025-04-24T10:02:00"/>
    <x v="2"/>
    <x v="6"/>
    <x v="1"/>
    <b v="1"/>
    <s v="iPad"/>
    <n v="982"/>
    <n v="20"/>
    <x v="1"/>
    <x v="21"/>
    <x v="0"/>
  </r>
  <r>
    <n v="3165690"/>
    <x v="10"/>
    <x v="11"/>
    <n v="4"/>
    <x v="1"/>
    <d v="2023-08-23T22:06:00"/>
    <x v="0"/>
    <x v="9"/>
    <x v="2"/>
    <b v="1"/>
    <s v="Windows Phone"/>
    <n v="1094"/>
    <n v="55"/>
    <x v="1"/>
    <x v="10"/>
    <x v="1"/>
  </r>
  <r>
    <n v="4119771"/>
    <x v="21"/>
    <x v="3"/>
    <n v="2.6"/>
    <x v="3"/>
    <d v="2024-05-07T10:31:00"/>
    <x v="5"/>
    <x v="5"/>
    <x v="0"/>
    <b v="0"/>
    <s v="iOS"/>
    <n v="96"/>
    <n v="20"/>
    <x v="1"/>
    <x v="16"/>
    <x v="1"/>
  </r>
  <r>
    <n v="6785239"/>
    <x v="18"/>
    <x v="0"/>
    <n v="2.9"/>
    <x v="3"/>
    <d v="2024-06-07T23:19:00"/>
    <x v="1"/>
    <x v="1"/>
    <x v="0"/>
    <b v="0"/>
    <s v="Windows Phone"/>
    <n v="674"/>
    <n v="30"/>
    <x v="1"/>
    <x v="13"/>
    <x v="1"/>
  </r>
  <r>
    <n v="8072523"/>
    <x v="15"/>
    <x v="7"/>
    <n v="2.6"/>
    <x v="3"/>
    <d v="2024-09-03T19:46:00"/>
    <x v="5"/>
    <x v="10"/>
    <x v="0"/>
    <b v="1"/>
    <s v="Android"/>
    <n v="136"/>
    <n v="69"/>
    <x v="2"/>
    <x v="16"/>
    <x v="0"/>
  </r>
  <r>
    <n v="3650743"/>
    <x v="13"/>
    <x v="16"/>
    <n v="3.1"/>
    <x v="1"/>
    <d v="2023-12-11T06:10:00"/>
    <x v="3"/>
    <x v="7"/>
    <x v="2"/>
    <b v="0"/>
    <s v="Android"/>
    <n v="1164"/>
    <n v="29"/>
    <x v="1"/>
    <x v="0"/>
    <x v="1"/>
  </r>
  <r>
    <n v="1600416"/>
    <x v="15"/>
    <x v="1"/>
    <n v="3.7"/>
    <x v="1"/>
    <d v="2023-10-21T19:10:00"/>
    <x v="6"/>
    <x v="0"/>
    <x v="2"/>
    <b v="1"/>
    <s v="Windows Phone"/>
    <n v="384"/>
    <n v="30"/>
    <x v="1"/>
    <x v="18"/>
    <x v="0"/>
  </r>
  <r>
    <n v="9068148"/>
    <x v="16"/>
    <x v="11"/>
    <n v="3.2"/>
    <x v="1"/>
    <d v="2024-12-04T23:16:00"/>
    <x v="0"/>
    <x v="7"/>
    <x v="0"/>
    <b v="0"/>
    <s v="Windows Phone"/>
    <n v="865"/>
    <n v="73"/>
    <x v="2"/>
    <x v="20"/>
    <x v="1"/>
  </r>
  <r>
    <n v="5683476"/>
    <x v="25"/>
    <x v="8"/>
    <n v="1.7"/>
    <x v="0"/>
    <d v="2025-06-08T03:13:00"/>
    <x v="4"/>
    <x v="1"/>
    <x v="1"/>
    <b v="1"/>
    <s v="iPad"/>
    <n v="912"/>
    <n v="20"/>
    <x v="1"/>
    <x v="19"/>
    <x v="1"/>
  </r>
  <r>
    <n v="1184932"/>
    <x v="34"/>
    <x v="10"/>
    <n v="2.8"/>
    <x v="3"/>
    <d v="2024-12-13T01:51:00"/>
    <x v="1"/>
    <x v="7"/>
    <x v="0"/>
    <b v="1"/>
    <s v="Windows Phone"/>
    <n v="772"/>
    <n v="51"/>
    <x v="1"/>
    <x v="7"/>
    <x v="1"/>
  </r>
  <r>
    <n v="6425183"/>
    <x v="21"/>
    <x v="14"/>
    <n v="4.5999999999999996"/>
    <x v="2"/>
    <d v="2025-07-07T19:49:00"/>
    <x v="3"/>
    <x v="11"/>
    <x v="1"/>
    <b v="0"/>
    <s v="Android Tablet"/>
    <n v="670"/>
    <n v="39"/>
    <x v="1"/>
    <x v="17"/>
    <x v="1"/>
  </r>
  <r>
    <n v="3826916"/>
    <x v="11"/>
    <x v="11"/>
    <n v="2"/>
    <x v="3"/>
    <d v="2023-10-22T15:59:00"/>
    <x v="4"/>
    <x v="0"/>
    <x v="2"/>
    <b v="1"/>
    <s v="iPad"/>
    <n v="1028"/>
    <n v="58"/>
    <x v="1"/>
    <x v="7"/>
    <x v="0"/>
  </r>
  <r>
    <n v="9729651"/>
    <x v="17"/>
    <x v="1"/>
    <n v="4.5"/>
    <x v="2"/>
    <d v="2024-08-06T08:54:00"/>
    <x v="5"/>
    <x v="9"/>
    <x v="0"/>
    <b v="0"/>
    <s v="iOS"/>
    <n v="842"/>
    <n v="40"/>
    <x v="1"/>
    <x v="3"/>
    <x v="1"/>
  </r>
  <r>
    <n v="9294082"/>
    <x v="8"/>
    <x v="7"/>
    <n v="2"/>
    <x v="3"/>
    <d v="2024-06-01T17:31:00"/>
    <x v="6"/>
    <x v="1"/>
    <x v="0"/>
    <b v="1"/>
    <s v="Windows Phone"/>
    <n v="864"/>
    <n v="24"/>
    <x v="1"/>
    <x v="17"/>
    <x v="1"/>
  </r>
  <r>
    <n v="7513578"/>
    <x v="8"/>
    <x v="17"/>
    <n v="3.2"/>
    <x v="1"/>
    <d v="2025-01-22T10:37:00"/>
    <x v="0"/>
    <x v="3"/>
    <x v="1"/>
    <b v="1"/>
    <s v="Android"/>
    <n v="113"/>
    <n v="25"/>
    <x v="1"/>
    <x v="4"/>
    <x v="1"/>
  </r>
  <r>
    <n v="253218"/>
    <x v="33"/>
    <x v="0"/>
    <n v="2.2000000000000002"/>
    <x v="3"/>
    <d v="2024-05-08T05:27:00"/>
    <x v="0"/>
    <x v="5"/>
    <x v="0"/>
    <b v="0"/>
    <s v="Android"/>
    <n v="210"/>
    <n v="14"/>
    <x v="0"/>
    <x v="18"/>
    <x v="1"/>
  </r>
  <r>
    <n v="9758342"/>
    <x v="30"/>
    <x v="5"/>
    <n v="1.5"/>
    <x v="0"/>
    <d v="2023-10-19T01:31:00"/>
    <x v="2"/>
    <x v="0"/>
    <x v="2"/>
    <b v="0"/>
    <s v="Windows Phone"/>
    <n v="289"/>
    <n v="39"/>
    <x v="1"/>
    <x v="21"/>
    <x v="0"/>
  </r>
  <r>
    <n v="2576408"/>
    <x v="18"/>
    <x v="2"/>
    <n v="2.1"/>
    <x v="3"/>
    <d v="2024-05-19T08:35:00"/>
    <x v="4"/>
    <x v="5"/>
    <x v="0"/>
    <b v="1"/>
    <s v="Windows Phone"/>
    <n v="176"/>
    <n v="60"/>
    <x v="1"/>
    <x v="20"/>
    <x v="1"/>
  </r>
  <r>
    <n v="1711413"/>
    <x v="34"/>
    <x v="15"/>
    <n v="4.5999999999999996"/>
    <x v="2"/>
    <d v="2024-05-03T01:38:00"/>
    <x v="1"/>
    <x v="5"/>
    <x v="0"/>
    <b v="1"/>
    <s v="Android"/>
    <n v="678"/>
    <n v="56"/>
    <x v="1"/>
    <x v="21"/>
    <x v="1"/>
  </r>
  <r>
    <n v="8747567"/>
    <x v="21"/>
    <x v="13"/>
    <n v="3.5"/>
    <x v="1"/>
    <d v="2024-12-17T19:46:00"/>
    <x v="5"/>
    <x v="7"/>
    <x v="0"/>
    <b v="1"/>
    <s v="iPad"/>
    <n v="883"/>
    <n v="64"/>
    <x v="2"/>
    <x v="17"/>
    <x v="0"/>
  </r>
  <r>
    <n v="2093175"/>
    <x v="28"/>
    <x v="6"/>
    <n v="1.2"/>
    <x v="0"/>
    <d v="2024-02-03T22:56:00"/>
    <x v="6"/>
    <x v="8"/>
    <x v="0"/>
    <b v="1"/>
    <s v="iPad"/>
    <n v="477"/>
    <n v="32"/>
    <x v="1"/>
    <x v="11"/>
    <x v="0"/>
  </r>
  <r>
    <n v="2993851"/>
    <x v="13"/>
    <x v="4"/>
    <n v="3.9"/>
    <x v="1"/>
    <d v="2024-05-25T02:36:00"/>
    <x v="6"/>
    <x v="5"/>
    <x v="0"/>
    <b v="1"/>
    <s v="Android"/>
    <n v="226"/>
    <n v="46"/>
    <x v="1"/>
    <x v="16"/>
    <x v="0"/>
  </r>
  <r>
    <n v="9748258"/>
    <x v="24"/>
    <x v="3"/>
    <n v="1.5"/>
    <x v="0"/>
    <d v="2024-01-08T01:28:00"/>
    <x v="3"/>
    <x v="3"/>
    <x v="0"/>
    <b v="0"/>
    <s v="iPad"/>
    <n v="1108"/>
    <n v="63"/>
    <x v="2"/>
    <x v="15"/>
    <x v="0"/>
  </r>
  <r>
    <n v="9129656"/>
    <x v="27"/>
    <x v="13"/>
    <n v="2.7"/>
    <x v="3"/>
    <d v="2024-11-26T05:49:00"/>
    <x v="5"/>
    <x v="4"/>
    <x v="0"/>
    <b v="1"/>
    <s v="Android"/>
    <n v="706"/>
    <n v="28"/>
    <x v="1"/>
    <x v="13"/>
    <x v="0"/>
  </r>
  <r>
    <n v="5407645"/>
    <x v="1"/>
    <x v="8"/>
    <n v="4"/>
    <x v="1"/>
    <d v="2025-04-03T18:26:00"/>
    <x v="2"/>
    <x v="6"/>
    <x v="1"/>
    <b v="1"/>
    <s v="Android"/>
    <n v="913"/>
    <n v="48"/>
    <x v="1"/>
    <x v="12"/>
    <x v="1"/>
  </r>
  <r>
    <n v="5625702"/>
    <x v="38"/>
    <x v="8"/>
    <n v="4.8"/>
    <x v="2"/>
    <d v="2024-12-10T02:51:00"/>
    <x v="5"/>
    <x v="7"/>
    <x v="0"/>
    <b v="1"/>
    <s v="iPad"/>
    <n v="821"/>
    <n v="29"/>
    <x v="1"/>
    <x v="10"/>
    <x v="0"/>
  </r>
  <r>
    <n v="4684424"/>
    <x v="36"/>
    <x v="11"/>
    <n v="2.6"/>
    <x v="3"/>
    <d v="2024-03-06T21:52:00"/>
    <x v="0"/>
    <x v="2"/>
    <x v="0"/>
    <b v="1"/>
    <s v="iOS"/>
    <n v="1087"/>
    <n v="62"/>
    <x v="2"/>
    <x v="22"/>
    <x v="1"/>
  </r>
  <r>
    <n v="3171984"/>
    <x v="23"/>
    <x v="10"/>
    <n v="3.7"/>
    <x v="1"/>
    <d v="2024-10-20T17:45:00"/>
    <x v="4"/>
    <x v="0"/>
    <x v="0"/>
    <b v="1"/>
    <s v="Windows Phone"/>
    <n v="868"/>
    <n v="41"/>
    <x v="1"/>
    <x v="1"/>
    <x v="0"/>
  </r>
  <r>
    <n v="1519102"/>
    <x v="36"/>
    <x v="13"/>
    <n v="3.2"/>
    <x v="1"/>
    <d v="2025-02-28T07:14:00"/>
    <x v="1"/>
    <x v="8"/>
    <x v="1"/>
    <b v="1"/>
    <s v="iPad"/>
    <n v="174"/>
    <n v="74"/>
    <x v="2"/>
    <x v="16"/>
    <x v="0"/>
  </r>
  <r>
    <n v="8634273"/>
    <x v="1"/>
    <x v="1"/>
    <n v="2.6"/>
    <x v="3"/>
    <d v="2025-07-25T03:02:00"/>
    <x v="1"/>
    <x v="11"/>
    <x v="1"/>
    <b v="0"/>
    <s v="Windows Phone"/>
    <n v="212"/>
    <n v="18"/>
    <x v="1"/>
    <x v="17"/>
    <x v="0"/>
  </r>
  <r>
    <n v="6902682"/>
    <x v="19"/>
    <x v="8"/>
    <n v="1.8"/>
    <x v="0"/>
    <d v="2023-08-11T16:11:00"/>
    <x v="1"/>
    <x v="9"/>
    <x v="2"/>
    <b v="0"/>
    <s v="iPad"/>
    <n v="546"/>
    <n v="75"/>
    <x v="2"/>
    <x v="3"/>
    <x v="1"/>
  </r>
  <r>
    <n v="3290758"/>
    <x v="40"/>
    <x v="13"/>
    <n v="5"/>
    <x v="2"/>
    <d v="2025-07-08T09:13:00"/>
    <x v="5"/>
    <x v="11"/>
    <x v="1"/>
    <b v="0"/>
    <s v="Android Tablet"/>
    <n v="891"/>
    <n v="19"/>
    <x v="1"/>
    <x v="4"/>
    <x v="0"/>
  </r>
  <r>
    <n v="4197436"/>
    <x v="14"/>
    <x v="5"/>
    <n v="5"/>
    <x v="2"/>
    <d v="2025-02-24T20:43:00"/>
    <x v="3"/>
    <x v="8"/>
    <x v="1"/>
    <b v="0"/>
    <s v="Windows Phone"/>
    <n v="922"/>
    <n v="56"/>
    <x v="1"/>
    <x v="3"/>
    <x v="1"/>
  </r>
  <r>
    <n v="8749141"/>
    <x v="19"/>
    <x v="4"/>
    <n v="4.8"/>
    <x v="2"/>
    <d v="2025-05-03T05:45:00"/>
    <x v="6"/>
    <x v="5"/>
    <x v="1"/>
    <b v="1"/>
    <s v="Windows Phone"/>
    <n v="987"/>
    <n v="49"/>
    <x v="1"/>
    <x v="13"/>
    <x v="1"/>
  </r>
  <r>
    <n v="7868806"/>
    <x v="12"/>
    <x v="3"/>
    <n v="2.8"/>
    <x v="3"/>
    <d v="2025-06-24T02:22:00"/>
    <x v="5"/>
    <x v="1"/>
    <x v="1"/>
    <b v="0"/>
    <s v="Android"/>
    <n v="1173"/>
    <n v="32"/>
    <x v="1"/>
    <x v="0"/>
    <x v="0"/>
  </r>
  <r>
    <n v="198836"/>
    <x v="40"/>
    <x v="2"/>
    <n v="3.7"/>
    <x v="1"/>
    <d v="2024-05-09T23:46:00"/>
    <x v="2"/>
    <x v="5"/>
    <x v="0"/>
    <b v="1"/>
    <s v="iOS"/>
    <n v="163"/>
    <n v="53"/>
    <x v="1"/>
    <x v="23"/>
    <x v="0"/>
  </r>
  <r>
    <n v="9329543"/>
    <x v="30"/>
    <x v="10"/>
    <n v="4.3"/>
    <x v="2"/>
    <d v="2024-08-19T19:07:00"/>
    <x v="3"/>
    <x v="9"/>
    <x v="0"/>
    <b v="0"/>
    <s v="iPad"/>
    <n v="977"/>
    <n v="39"/>
    <x v="1"/>
    <x v="10"/>
    <x v="1"/>
  </r>
  <r>
    <n v="6623795"/>
    <x v="15"/>
    <x v="9"/>
    <n v="1.8"/>
    <x v="0"/>
    <d v="2023-11-10T22:52:00"/>
    <x v="1"/>
    <x v="4"/>
    <x v="2"/>
    <b v="1"/>
    <s v="Windows Phone"/>
    <n v="832"/>
    <n v="22"/>
    <x v="1"/>
    <x v="1"/>
    <x v="0"/>
  </r>
  <r>
    <n v="1909919"/>
    <x v="38"/>
    <x v="3"/>
    <n v="2.7"/>
    <x v="3"/>
    <d v="2025-04-07T14:19:00"/>
    <x v="3"/>
    <x v="6"/>
    <x v="1"/>
    <b v="1"/>
    <s v="iOS"/>
    <n v="66"/>
    <n v="39"/>
    <x v="1"/>
    <x v="4"/>
    <x v="0"/>
  </r>
  <r>
    <n v="234702"/>
    <x v="19"/>
    <x v="10"/>
    <n v="4.2"/>
    <x v="2"/>
    <d v="2023-12-24T00:24:00"/>
    <x v="4"/>
    <x v="7"/>
    <x v="2"/>
    <b v="1"/>
    <s v="Windows Phone"/>
    <n v="1074"/>
    <n v="62"/>
    <x v="2"/>
    <x v="23"/>
    <x v="0"/>
  </r>
  <r>
    <n v="3324201"/>
    <x v="23"/>
    <x v="3"/>
    <n v="4.8"/>
    <x v="2"/>
    <d v="2025-07-22T12:43:00"/>
    <x v="5"/>
    <x v="11"/>
    <x v="1"/>
    <b v="1"/>
    <s v="iOS"/>
    <n v="326"/>
    <n v="59"/>
    <x v="1"/>
    <x v="8"/>
    <x v="1"/>
  </r>
  <r>
    <n v="7252177"/>
    <x v="16"/>
    <x v="8"/>
    <n v="2.7"/>
    <x v="3"/>
    <d v="2023-08-14T14:18:00"/>
    <x v="3"/>
    <x v="9"/>
    <x v="2"/>
    <b v="0"/>
    <s v="Android Tablet"/>
    <n v="654"/>
    <n v="54"/>
    <x v="1"/>
    <x v="15"/>
    <x v="1"/>
  </r>
  <r>
    <n v="5241309"/>
    <x v="24"/>
    <x v="0"/>
    <n v="1.5"/>
    <x v="0"/>
    <d v="2025-01-25T16:59:00"/>
    <x v="6"/>
    <x v="3"/>
    <x v="1"/>
    <b v="0"/>
    <s v="Android"/>
    <n v="1170"/>
    <n v="21"/>
    <x v="1"/>
    <x v="3"/>
    <x v="1"/>
  </r>
  <r>
    <n v="4332271"/>
    <x v="4"/>
    <x v="16"/>
    <n v="2.5"/>
    <x v="3"/>
    <d v="2024-08-16T11:19:00"/>
    <x v="1"/>
    <x v="9"/>
    <x v="0"/>
    <b v="1"/>
    <s v="Windows Phone"/>
    <n v="314"/>
    <n v="72"/>
    <x v="2"/>
    <x v="3"/>
    <x v="0"/>
  </r>
  <r>
    <n v="6163033"/>
    <x v="23"/>
    <x v="16"/>
    <n v="4.5"/>
    <x v="2"/>
    <d v="2023-12-28T17:30:00"/>
    <x v="2"/>
    <x v="7"/>
    <x v="2"/>
    <b v="0"/>
    <s v="Android"/>
    <n v="345"/>
    <n v="23"/>
    <x v="1"/>
    <x v="18"/>
    <x v="0"/>
  </r>
  <r>
    <n v="9051610"/>
    <x v="23"/>
    <x v="8"/>
    <n v="3.5"/>
    <x v="1"/>
    <d v="2025-02-10T17:11:00"/>
    <x v="3"/>
    <x v="8"/>
    <x v="1"/>
    <b v="1"/>
    <s v="Windows Phone"/>
    <n v="294"/>
    <n v="59"/>
    <x v="1"/>
    <x v="8"/>
    <x v="1"/>
  </r>
  <r>
    <n v="4336674"/>
    <x v="30"/>
    <x v="15"/>
    <n v="1.2"/>
    <x v="0"/>
    <d v="2025-06-23T09:27:00"/>
    <x v="3"/>
    <x v="1"/>
    <x v="1"/>
    <b v="0"/>
    <s v="Android"/>
    <n v="818"/>
    <n v="16"/>
    <x v="0"/>
    <x v="17"/>
    <x v="0"/>
  </r>
  <r>
    <n v="9501046"/>
    <x v="36"/>
    <x v="10"/>
    <n v="1.6"/>
    <x v="0"/>
    <d v="2024-04-26T15:57:00"/>
    <x v="1"/>
    <x v="6"/>
    <x v="0"/>
    <b v="1"/>
    <s v="iPad"/>
    <n v="698"/>
    <n v="38"/>
    <x v="1"/>
    <x v="19"/>
    <x v="1"/>
  </r>
  <r>
    <n v="7624283"/>
    <x v="23"/>
    <x v="1"/>
    <n v="4.9000000000000004"/>
    <x v="2"/>
    <d v="2024-12-02T02:36:00"/>
    <x v="3"/>
    <x v="7"/>
    <x v="0"/>
    <b v="0"/>
    <s v="iPad"/>
    <n v="43"/>
    <n v="35"/>
    <x v="1"/>
    <x v="8"/>
    <x v="0"/>
  </r>
  <r>
    <n v="1235960"/>
    <x v="1"/>
    <x v="4"/>
    <n v="2.2999999999999998"/>
    <x v="3"/>
    <d v="2023-12-26T14:29:00"/>
    <x v="5"/>
    <x v="7"/>
    <x v="2"/>
    <b v="0"/>
    <s v="Android"/>
    <n v="1"/>
    <n v="42"/>
    <x v="1"/>
    <x v="18"/>
    <x v="1"/>
  </r>
  <r>
    <n v="6768839"/>
    <x v="21"/>
    <x v="14"/>
    <n v="1.9"/>
    <x v="0"/>
    <d v="2024-06-07T05:26:00"/>
    <x v="1"/>
    <x v="1"/>
    <x v="0"/>
    <b v="1"/>
    <s v="Android Tablet"/>
    <n v="49"/>
    <n v="71"/>
    <x v="2"/>
    <x v="21"/>
    <x v="1"/>
  </r>
  <r>
    <n v="4654916"/>
    <x v="1"/>
    <x v="0"/>
    <n v="3"/>
    <x v="3"/>
    <d v="2024-01-08T14:25:00"/>
    <x v="3"/>
    <x v="3"/>
    <x v="0"/>
    <b v="1"/>
    <s v="Android"/>
    <n v="1101"/>
    <n v="51"/>
    <x v="1"/>
    <x v="16"/>
    <x v="1"/>
  </r>
  <r>
    <n v="160407"/>
    <x v="7"/>
    <x v="13"/>
    <n v="2.4"/>
    <x v="3"/>
    <d v="2025-06-17T04:37:00"/>
    <x v="5"/>
    <x v="1"/>
    <x v="1"/>
    <b v="1"/>
    <s v="Android Tablet"/>
    <n v="1220"/>
    <n v="15"/>
    <x v="0"/>
    <x v="14"/>
    <x v="1"/>
  </r>
  <r>
    <n v="274620"/>
    <x v="36"/>
    <x v="14"/>
    <n v="4.7"/>
    <x v="2"/>
    <d v="2024-07-12T08:09:00"/>
    <x v="1"/>
    <x v="11"/>
    <x v="0"/>
    <b v="1"/>
    <s v="Android Tablet"/>
    <n v="429"/>
    <n v="50"/>
    <x v="1"/>
    <x v="17"/>
    <x v="1"/>
  </r>
  <r>
    <n v="447555"/>
    <x v="7"/>
    <x v="17"/>
    <n v="2.2000000000000002"/>
    <x v="3"/>
    <d v="2023-10-25T08:17:00"/>
    <x v="0"/>
    <x v="0"/>
    <x v="2"/>
    <b v="1"/>
    <s v="Android"/>
    <n v="802"/>
    <n v="26"/>
    <x v="1"/>
    <x v="20"/>
    <x v="0"/>
  </r>
  <r>
    <n v="1884071"/>
    <x v="0"/>
    <x v="7"/>
    <n v="3.8"/>
    <x v="1"/>
    <d v="2024-09-25T03:35:00"/>
    <x v="0"/>
    <x v="10"/>
    <x v="0"/>
    <b v="0"/>
    <s v="Android"/>
    <n v="368"/>
    <n v="26"/>
    <x v="1"/>
    <x v="13"/>
    <x v="0"/>
  </r>
  <r>
    <n v="5777240"/>
    <x v="33"/>
    <x v="15"/>
    <n v="2.2999999999999998"/>
    <x v="3"/>
    <d v="2025-05-24T04:56:00"/>
    <x v="6"/>
    <x v="5"/>
    <x v="1"/>
    <b v="0"/>
    <s v="Windows Phone"/>
    <n v="577"/>
    <n v="32"/>
    <x v="1"/>
    <x v="19"/>
    <x v="0"/>
  </r>
  <r>
    <n v="1525479"/>
    <x v="5"/>
    <x v="15"/>
    <n v="2.2000000000000002"/>
    <x v="3"/>
    <d v="2024-03-18T08:41:00"/>
    <x v="3"/>
    <x v="2"/>
    <x v="0"/>
    <b v="1"/>
    <s v="Android"/>
    <n v="463"/>
    <n v="73"/>
    <x v="2"/>
    <x v="0"/>
    <x v="1"/>
  </r>
  <r>
    <n v="2479596"/>
    <x v="25"/>
    <x v="10"/>
    <n v="3.2"/>
    <x v="1"/>
    <d v="2025-01-15T07:19:00"/>
    <x v="0"/>
    <x v="3"/>
    <x v="1"/>
    <b v="0"/>
    <s v="iOS"/>
    <n v="592"/>
    <n v="17"/>
    <x v="0"/>
    <x v="3"/>
    <x v="0"/>
  </r>
  <r>
    <n v="1985904"/>
    <x v="7"/>
    <x v="0"/>
    <n v="4.5"/>
    <x v="2"/>
    <d v="2024-08-16T21:16:00"/>
    <x v="1"/>
    <x v="9"/>
    <x v="0"/>
    <b v="1"/>
    <s v="Android"/>
    <n v="634"/>
    <n v="32"/>
    <x v="1"/>
    <x v="11"/>
    <x v="1"/>
  </r>
  <r>
    <n v="5698972"/>
    <x v="15"/>
    <x v="6"/>
    <n v="1.9"/>
    <x v="0"/>
    <d v="2023-10-31T19:18:00"/>
    <x v="5"/>
    <x v="0"/>
    <x v="2"/>
    <b v="1"/>
    <s v="Android Tablet"/>
    <n v="923"/>
    <n v="35"/>
    <x v="1"/>
    <x v="2"/>
    <x v="1"/>
  </r>
  <r>
    <n v="1522780"/>
    <x v="19"/>
    <x v="5"/>
    <n v="4.0999999999999996"/>
    <x v="2"/>
    <d v="2025-06-26T12:01:00"/>
    <x v="2"/>
    <x v="1"/>
    <x v="1"/>
    <b v="1"/>
    <s v="iOS"/>
    <n v="659"/>
    <n v="27"/>
    <x v="1"/>
    <x v="1"/>
    <x v="1"/>
  </r>
  <r>
    <n v="2635087"/>
    <x v="16"/>
    <x v="9"/>
    <n v="2"/>
    <x v="3"/>
    <d v="2024-05-13T13:50:00"/>
    <x v="3"/>
    <x v="5"/>
    <x v="0"/>
    <b v="1"/>
    <s v="Android"/>
    <n v="957"/>
    <n v="13"/>
    <x v="0"/>
    <x v="5"/>
    <x v="0"/>
  </r>
  <r>
    <n v="1381267"/>
    <x v="9"/>
    <x v="12"/>
    <n v="4.5999999999999996"/>
    <x v="2"/>
    <d v="2025-04-04T14:25:00"/>
    <x v="1"/>
    <x v="6"/>
    <x v="1"/>
    <b v="1"/>
    <s v="Windows Phone"/>
    <n v="404"/>
    <n v="64"/>
    <x v="2"/>
    <x v="16"/>
    <x v="1"/>
  </r>
  <r>
    <n v="7210722"/>
    <x v="33"/>
    <x v="7"/>
    <n v="3.6"/>
    <x v="1"/>
    <d v="2024-01-05T18:29:00"/>
    <x v="1"/>
    <x v="3"/>
    <x v="0"/>
    <b v="1"/>
    <s v="Android Tablet"/>
    <n v="482"/>
    <n v="19"/>
    <x v="1"/>
    <x v="11"/>
    <x v="0"/>
  </r>
  <r>
    <n v="5124905"/>
    <x v="20"/>
    <x v="15"/>
    <n v="4.3"/>
    <x v="2"/>
    <d v="2024-08-24T16:39:00"/>
    <x v="6"/>
    <x v="9"/>
    <x v="0"/>
    <b v="1"/>
    <s v="Android"/>
    <n v="984"/>
    <n v="37"/>
    <x v="1"/>
    <x v="0"/>
    <x v="0"/>
  </r>
  <r>
    <n v="6434410"/>
    <x v="1"/>
    <x v="8"/>
    <n v="2.7"/>
    <x v="3"/>
    <d v="2023-10-24T01:49:00"/>
    <x v="5"/>
    <x v="0"/>
    <x v="2"/>
    <b v="1"/>
    <s v="Windows Phone"/>
    <n v="890"/>
    <n v="45"/>
    <x v="1"/>
    <x v="10"/>
    <x v="1"/>
  </r>
  <r>
    <n v="8216934"/>
    <x v="10"/>
    <x v="0"/>
    <n v="3.2"/>
    <x v="1"/>
    <d v="2023-09-05T08:37:00"/>
    <x v="5"/>
    <x v="10"/>
    <x v="2"/>
    <b v="1"/>
    <s v="iPad"/>
    <n v="814"/>
    <n v="74"/>
    <x v="2"/>
    <x v="2"/>
    <x v="1"/>
  </r>
  <r>
    <n v="8548643"/>
    <x v="22"/>
    <x v="7"/>
    <n v="2.2000000000000002"/>
    <x v="3"/>
    <d v="2023-10-18T07:54:00"/>
    <x v="0"/>
    <x v="0"/>
    <x v="2"/>
    <b v="1"/>
    <s v="Windows Phone"/>
    <n v="962"/>
    <n v="29"/>
    <x v="1"/>
    <x v="9"/>
    <x v="1"/>
  </r>
  <r>
    <n v="727606"/>
    <x v="0"/>
    <x v="8"/>
    <n v="1.6"/>
    <x v="0"/>
    <d v="2024-03-13T05:17:00"/>
    <x v="0"/>
    <x v="2"/>
    <x v="0"/>
    <b v="1"/>
    <s v="Windows Phone"/>
    <n v="61"/>
    <n v="68"/>
    <x v="2"/>
    <x v="12"/>
    <x v="1"/>
  </r>
  <r>
    <n v="1421253"/>
    <x v="39"/>
    <x v="6"/>
    <n v="2.6"/>
    <x v="3"/>
    <d v="2025-06-18T10:28:00"/>
    <x v="0"/>
    <x v="1"/>
    <x v="1"/>
    <b v="0"/>
    <s v="iOS"/>
    <n v="1188"/>
    <n v="73"/>
    <x v="2"/>
    <x v="18"/>
    <x v="0"/>
  </r>
  <r>
    <n v="1665160"/>
    <x v="30"/>
    <x v="16"/>
    <n v="2.2999999999999998"/>
    <x v="3"/>
    <d v="2024-08-24T11:57:00"/>
    <x v="6"/>
    <x v="9"/>
    <x v="0"/>
    <b v="1"/>
    <s v="iOS"/>
    <n v="678"/>
    <n v="36"/>
    <x v="1"/>
    <x v="6"/>
    <x v="0"/>
  </r>
  <r>
    <n v="5787823"/>
    <x v="6"/>
    <x v="12"/>
    <n v="4.3"/>
    <x v="2"/>
    <d v="2023-10-15T12:51:00"/>
    <x v="4"/>
    <x v="0"/>
    <x v="2"/>
    <b v="1"/>
    <s v="Android Tablet"/>
    <n v="138"/>
    <n v="64"/>
    <x v="2"/>
    <x v="19"/>
    <x v="0"/>
  </r>
  <r>
    <n v="2492808"/>
    <x v="39"/>
    <x v="14"/>
    <n v="2.8"/>
    <x v="3"/>
    <d v="2025-03-18T02:16:00"/>
    <x v="5"/>
    <x v="2"/>
    <x v="1"/>
    <b v="1"/>
    <s v="Windows Phone"/>
    <n v="1243"/>
    <n v="75"/>
    <x v="2"/>
    <x v="0"/>
    <x v="1"/>
  </r>
  <r>
    <n v="5363326"/>
    <x v="33"/>
    <x v="1"/>
    <n v="4.3"/>
    <x v="2"/>
    <d v="2023-10-09T04:25:00"/>
    <x v="3"/>
    <x v="0"/>
    <x v="2"/>
    <b v="1"/>
    <s v="Windows Phone"/>
    <n v="981"/>
    <n v="49"/>
    <x v="1"/>
    <x v="12"/>
    <x v="0"/>
  </r>
  <r>
    <n v="3106246"/>
    <x v="35"/>
    <x v="17"/>
    <n v="2.5"/>
    <x v="3"/>
    <d v="2025-02-02T20:38:00"/>
    <x v="4"/>
    <x v="8"/>
    <x v="1"/>
    <b v="0"/>
    <s v="Windows Phone"/>
    <n v="1048"/>
    <n v="38"/>
    <x v="1"/>
    <x v="21"/>
    <x v="1"/>
  </r>
  <r>
    <n v="4207344"/>
    <x v="7"/>
    <x v="3"/>
    <n v="4.4000000000000004"/>
    <x v="2"/>
    <d v="2024-07-24T22:34:00"/>
    <x v="0"/>
    <x v="11"/>
    <x v="0"/>
    <b v="0"/>
    <s v="iOS"/>
    <n v="116"/>
    <n v="41"/>
    <x v="1"/>
    <x v="5"/>
    <x v="1"/>
  </r>
  <r>
    <n v="7959936"/>
    <x v="17"/>
    <x v="4"/>
    <n v="4.2"/>
    <x v="2"/>
    <d v="2024-12-11T21:51:00"/>
    <x v="0"/>
    <x v="7"/>
    <x v="0"/>
    <b v="1"/>
    <s v="iPad"/>
    <n v="400"/>
    <n v="23"/>
    <x v="1"/>
    <x v="11"/>
    <x v="0"/>
  </r>
  <r>
    <n v="3446568"/>
    <x v="1"/>
    <x v="15"/>
    <n v="3.3"/>
    <x v="1"/>
    <d v="2024-06-07T17:57:00"/>
    <x v="1"/>
    <x v="1"/>
    <x v="0"/>
    <b v="1"/>
    <s v="Android"/>
    <n v="258"/>
    <n v="75"/>
    <x v="2"/>
    <x v="18"/>
    <x v="0"/>
  </r>
  <r>
    <n v="1181652"/>
    <x v="31"/>
    <x v="17"/>
    <n v="2.1"/>
    <x v="3"/>
    <d v="2024-04-03T07:41:00"/>
    <x v="0"/>
    <x v="6"/>
    <x v="0"/>
    <b v="1"/>
    <s v="Android Tablet"/>
    <n v="72"/>
    <n v="14"/>
    <x v="0"/>
    <x v="21"/>
    <x v="0"/>
  </r>
  <r>
    <n v="7726564"/>
    <x v="34"/>
    <x v="1"/>
    <n v="3.4"/>
    <x v="1"/>
    <d v="2023-08-30T14:42:00"/>
    <x v="0"/>
    <x v="9"/>
    <x v="2"/>
    <b v="1"/>
    <s v="Android"/>
    <n v="5"/>
    <n v="67"/>
    <x v="2"/>
    <x v="7"/>
    <x v="0"/>
  </r>
  <r>
    <n v="1007270"/>
    <x v="30"/>
    <x v="12"/>
    <n v="3.9"/>
    <x v="1"/>
    <d v="2024-07-16T12:10:00"/>
    <x v="5"/>
    <x v="11"/>
    <x v="0"/>
    <b v="1"/>
    <s v="Android Tablet"/>
    <n v="1111"/>
    <n v="45"/>
    <x v="1"/>
    <x v="20"/>
    <x v="0"/>
  </r>
  <r>
    <n v="9803556"/>
    <x v="39"/>
    <x v="0"/>
    <n v="1.4"/>
    <x v="0"/>
    <d v="2024-08-22T13:32:00"/>
    <x v="2"/>
    <x v="9"/>
    <x v="0"/>
    <b v="0"/>
    <s v="iOS"/>
    <n v="488"/>
    <n v="42"/>
    <x v="1"/>
    <x v="12"/>
    <x v="0"/>
  </r>
  <r>
    <n v="7750368"/>
    <x v="11"/>
    <x v="9"/>
    <n v="4.0999999999999996"/>
    <x v="2"/>
    <d v="2024-07-04T10:23:00"/>
    <x v="2"/>
    <x v="11"/>
    <x v="0"/>
    <b v="1"/>
    <s v="Android Tablet"/>
    <n v="616"/>
    <n v="51"/>
    <x v="1"/>
    <x v="9"/>
    <x v="1"/>
  </r>
  <r>
    <n v="7439925"/>
    <x v="8"/>
    <x v="8"/>
    <n v="1.4"/>
    <x v="0"/>
    <d v="2025-05-12T04:15:00"/>
    <x v="3"/>
    <x v="5"/>
    <x v="1"/>
    <b v="1"/>
    <s v="Android"/>
    <n v="1061"/>
    <n v="36"/>
    <x v="1"/>
    <x v="8"/>
    <x v="1"/>
  </r>
  <r>
    <n v="7550817"/>
    <x v="7"/>
    <x v="0"/>
    <n v="3.9"/>
    <x v="1"/>
    <d v="2024-08-25T20:25:00"/>
    <x v="4"/>
    <x v="9"/>
    <x v="0"/>
    <b v="1"/>
    <s v="iPad"/>
    <n v="915"/>
    <n v="32"/>
    <x v="1"/>
    <x v="1"/>
    <x v="1"/>
  </r>
  <r>
    <n v="7027895"/>
    <x v="8"/>
    <x v="11"/>
    <n v="1.8"/>
    <x v="0"/>
    <d v="2025-07-06T03:18:00"/>
    <x v="4"/>
    <x v="11"/>
    <x v="1"/>
    <b v="0"/>
    <s v="Android"/>
    <n v="215"/>
    <n v="21"/>
    <x v="1"/>
    <x v="5"/>
    <x v="1"/>
  </r>
  <r>
    <n v="4589736"/>
    <x v="11"/>
    <x v="13"/>
    <n v="2.8"/>
    <x v="3"/>
    <d v="2024-12-13T10:12:00"/>
    <x v="1"/>
    <x v="7"/>
    <x v="0"/>
    <b v="1"/>
    <s v="Android"/>
    <n v="672"/>
    <n v="22"/>
    <x v="1"/>
    <x v="3"/>
    <x v="0"/>
  </r>
  <r>
    <n v="2758243"/>
    <x v="35"/>
    <x v="1"/>
    <n v="1.8"/>
    <x v="0"/>
    <d v="2024-07-05T14:50:00"/>
    <x v="1"/>
    <x v="11"/>
    <x v="0"/>
    <b v="1"/>
    <s v="iOS"/>
    <n v="927"/>
    <n v="44"/>
    <x v="1"/>
    <x v="5"/>
    <x v="1"/>
  </r>
  <r>
    <n v="1770640"/>
    <x v="29"/>
    <x v="5"/>
    <n v="2.2000000000000002"/>
    <x v="3"/>
    <d v="2025-02-02T08:54:00"/>
    <x v="4"/>
    <x v="8"/>
    <x v="1"/>
    <b v="1"/>
    <s v="iOS"/>
    <n v="521"/>
    <n v="15"/>
    <x v="0"/>
    <x v="15"/>
    <x v="0"/>
  </r>
  <r>
    <n v="9779342"/>
    <x v="16"/>
    <x v="10"/>
    <n v="3.7"/>
    <x v="1"/>
    <d v="2025-04-01T01:08:00"/>
    <x v="5"/>
    <x v="6"/>
    <x v="1"/>
    <b v="1"/>
    <s v="Android Tablet"/>
    <n v="467"/>
    <n v="26"/>
    <x v="1"/>
    <x v="6"/>
    <x v="0"/>
  </r>
  <r>
    <n v="4713144"/>
    <x v="7"/>
    <x v="5"/>
    <n v="2.5"/>
    <x v="3"/>
    <d v="2023-10-04T07:37:00"/>
    <x v="0"/>
    <x v="0"/>
    <x v="2"/>
    <b v="1"/>
    <s v="iOS"/>
    <n v="423"/>
    <n v="42"/>
    <x v="1"/>
    <x v="22"/>
    <x v="0"/>
  </r>
  <r>
    <n v="2158301"/>
    <x v="27"/>
    <x v="4"/>
    <n v="3.6"/>
    <x v="1"/>
    <d v="2023-10-23T01:07:00"/>
    <x v="3"/>
    <x v="0"/>
    <x v="2"/>
    <b v="1"/>
    <s v="Android"/>
    <n v="137"/>
    <n v="52"/>
    <x v="1"/>
    <x v="5"/>
    <x v="0"/>
  </r>
  <r>
    <n v="4838943"/>
    <x v="22"/>
    <x v="5"/>
    <n v="2.9"/>
    <x v="3"/>
    <d v="2024-02-20T09:00:00"/>
    <x v="5"/>
    <x v="8"/>
    <x v="0"/>
    <b v="1"/>
    <s v="Android"/>
    <n v="1050"/>
    <n v="59"/>
    <x v="1"/>
    <x v="4"/>
    <x v="0"/>
  </r>
  <r>
    <n v="1656542"/>
    <x v="8"/>
    <x v="3"/>
    <n v="1.8"/>
    <x v="0"/>
    <d v="2023-09-29T23:34:00"/>
    <x v="1"/>
    <x v="10"/>
    <x v="2"/>
    <b v="1"/>
    <s v="Android Tablet"/>
    <n v="478"/>
    <n v="31"/>
    <x v="1"/>
    <x v="5"/>
    <x v="1"/>
  </r>
  <r>
    <n v="6163240"/>
    <x v="24"/>
    <x v="14"/>
    <n v="3.8"/>
    <x v="1"/>
    <d v="2025-07-09T19:23:00"/>
    <x v="0"/>
    <x v="11"/>
    <x v="1"/>
    <b v="1"/>
    <s v="iPad"/>
    <n v="979"/>
    <n v="51"/>
    <x v="1"/>
    <x v="22"/>
    <x v="1"/>
  </r>
  <r>
    <n v="6656539"/>
    <x v="40"/>
    <x v="3"/>
    <n v="2"/>
    <x v="3"/>
    <d v="2024-04-23T03:31:00"/>
    <x v="5"/>
    <x v="6"/>
    <x v="0"/>
    <b v="1"/>
    <s v="Windows Phone"/>
    <n v="751"/>
    <n v="43"/>
    <x v="1"/>
    <x v="0"/>
    <x v="0"/>
  </r>
  <r>
    <n v="8853488"/>
    <x v="28"/>
    <x v="5"/>
    <n v="4.3"/>
    <x v="2"/>
    <d v="2025-02-26T23:18:00"/>
    <x v="0"/>
    <x v="8"/>
    <x v="1"/>
    <b v="1"/>
    <s v="iOS"/>
    <n v="192"/>
    <n v="41"/>
    <x v="1"/>
    <x v="17"/>
    <x v="0"/>
  </r>
  <r>
    <n v="6809915"/>
    <x v="9"/>
    <x v="4"/>
    <n v="3"/>
    <x v="3"/>
    <d v="2025-07-17T06:53:00"/>
    <x v="2"/>
    <x v="11"/>
    <x v="1"/>
    <b v="1"/>
    <s v="Windows Phone"/>
    <n v="157"/>
    <n v="18"/>
    <x v="1"/>
    <x v="5"/>
    <x v="1"/>
  </r>
  <r>
    <n v="602309"/>
    <x v="31"/>
    <x v="16"/>
    <n v="1.9"/>
    <x v="0"/>
    <d v="2023-09-26T07:11:00"/>
    <x v="5"/>
    <x v="10"/>
    <x v="2"/>
    <b v="1"/>
    <s v="Android"/>
    <n v="266"/>
    <n v="15"/>
    <x v="0"/>
    <x v="1"/>
    <x v="0"/>
  </r>
  <r>
    <n v="6335425"/>
    <x v="24"/>
    <x v="0"/>
    <n v="4.0999999999999996"/>
    <x v="2"/>
    <d v="2024-05-15T18:59:00"/>
    <x v="0"/>
    <x v="5"/>
    <x v="0"/>
    <b v="1"/>
    <s v="iPad"/>
    <n v="162"/>
    <n v="36"/>
    <x v="1"/>
    <x v="11"/>
    <x v="0"/>
  </r>
  <r>
    <n v="5375644"/>
    <x v="38"/>
    <x v="16"/>
    <n v="4.5"/>
    <x v="2"/>
    <d v="2023-11-03T20:58:00"/>
    <x v="1"/>
    <x v="4"/>
    <x v="2"/>
    <b v="1"/>
    <s v="Android"/>
    <n v="182"/>
    <n v="46"/>
    <x v="1"/>
    <x v="12"/>
    <x v="0"/>
  </r>
  <r>
    <n v="7401537"/>
    <x v="23"/>
    <x v="8"/>
    <n v="4.4000000000000004"/>
    <x v="2"/>
    <d v="2024-04-03T16:59:00"/>
    <x v="0"/>
    <x v="6"/>
    <x v="0"/>
    <b v="1"/>
    <s v="Android"/>
    <n v="1230"/>
    <n v="74"/>
    <x v="2"/>
    <x v="18"/>
    <x v="0"/>
  </r>
  <r>
    <n v="3424412"/>
    <x v="33"/>
    <x v="11"/>
    <n v="4.5"/>
    <x v="2"/>
    <d v="2023-12-31T23:43:00"/>
    <x v="4"/>
    <x v="7"/>
    <x v="2"/>
    <b v="1"/>
    <s v="iOS"/>
    <n v="799"/>
    <n v="64"/>
    <x v="2"/>
    <x v="21"/>
    <x v="0"/>
  </r>
  <r>
    <n v="8386841"/>
    <x v="0"/>
    <x v="9"/>
    <n v="2.6"/>
    <x v="3"/>
    <d v="2024-06-08T18:00:00"/>
    <x v="6"/>
    <x v="1"/>
    <x v="0"/>
    <b v="1"/>
    <s v="iPad"/>
    <n v="67"/>
    <n v="47"/>
    <x v="1"/>
    <x v="10"/>
    <x v="1"/>
  </r>
  <r>
    <n v="373003"/>
    <x v="38"/>
    <x v="9"/>
    <n v="4"/>
    <x v="1"/>
    <d v="2023-09-23T19:47:00"/>
    <x v="6"/>
    <x v="10"/>
    <x v="2"/>
    <b v="1"/>
    <s v="Windows Phone"/>
    <n v="377"/>
    <n v="27"/>
    <x v="1"/>
    <x v="7"/>
    <x v="1"/>
  </r>
  <r>
    <n v="5149913"/>
    <x v="6"/>
    <x v="5"/>
    <n v="4.7"/>
    <x v="2"/>
    <d v="2024-03-01T05:21:00"/>
    <x v="1"/>
    <x v="2"/>
    <x v="0"/>
    <b v="1"/>
    <s v="iPad"/>
    <n v="355"/>
    <n v="53"/>
    <x v="1"/>
    <x v="8"/>
    <x v="0"/>
  </r>
  <r>
    <n v="5901971"/>
    <x v="5"/>
    <x v="17"/>
    <n v="3.6"/>
    <x v="1"/>
    <d v="2023-08-08T22:52:00"/>
    <x v="5"/>
    <x v="9"/>
    <x v="2"/>
    <b v="1"/>
    <s v="Windows Phone"/>
    <n v="1136"/>
    <n v="20"/>
    <x v="1"/>
    <x v="9"/>
    <x v="0"/>
  </r>
  <r>
    <n v="2411285"/>
    <x v="7"/>
    <x v="17"/>
    <n v="4"/>
    <x v="1"/>
    <d v="2024-10-27T01:26:00"/>
    <x v="4"/>
    <x v="0"/>
    <x v="0"/>
    <b v="1"/>
    <s v="Windows Phone"/>
    <n v="273"/>
    <n v="75"/>
    <x v="2"/>
    <x v="10"/>
    <x v="1"/>
  </r>
  <r>
    <n v="2111612"/>
    <x v="33"/>
    <x v="12"/>
    <n v="4"/>
    <x v="1"/>
    <d v="2023-10-04T04:28:00"/>
    <x v="0"/>
    <x v="0"/>
    <x v="2"/>
    <b v="1"/>
    <s v="Android Tablet"/>
    <n v="890"/>
    <n v="61"/>
    <x v="2"/>
    <x v="13"/>
    <x v="0"/>
  </r>
  <r>
    <n v="9470330"/>
    <x v="21"/>
    <x v="1"/>
    <n v="3.9"/>
    <x v="1"/>
    <d v="2025-05-10T20:42:00"/>
    <x v="6"/>
    <x v="5"/>
    <x v="1"/>
    <b v="1"/>
    <s v="Windows Phone"/>
    <n v="901"/>
    <n v="68"/>
    <x v="2"/>
    <x v="18"/>
    <x v="0"/>
  </r>
  <r>
    <n v="3554281"/>
    <x v="3"/>
    <x v="10"/>
    <n v="2.1"/>
    <x v="3"/>
    <d v="2025-01-21T16:09:00"/>
    <x v="5"/>
    <x v="3"/>
    <x v="1"/>
    <b v="1"/>
    <s v="Windows Phone"/>
    <n v="1044"/>
    <n v="23"/>
    <x v="1"/>
    <x v="21"/>
    <x v="1"/>
  </r>
  <r>
    <n v="1872688"/>
    <x v="14"/>
    <x v="4"/>
    <n v="2.9"/>
    <x v="3"/>
    <d v="2025-06-25T08:16:00"/>
    <x v="0"/>
    <x v="1"/>
    <x v="1"/>
    <b v="1"/>
    <s v="iOS"/>
    <n v="1018"/>
    <n v="56"/>
    <x v="1"/>
    <x v="6"/>
    <x v="0"/>
  </r>
  <r>
    <n v="3237838"/>
    <x v="4"/>
    <x v="5"/>
    <n v="4.7"/>
    <x v="2"/>
    <d v="2024-02-24T01:47:00"/>
    <x v="6"/>
    <x v="8"/>
    <x v="0"/>
    <b v="1"/>
    <s v="Android"/>
    <n v="418"/>
    <n v="60"/>
    <x v="1"/>
    <x v="11"/>
    <x v="1"/>
  </r>
  <r>
    <n v="7694054"/>
    <x v="27"/>
    <x v="0"/>
    <n v="2.5"/>
    <x v="3"/>
    <d v="2024-04-30T06:01:00"/>
    <x v="5"/>
    <x v="6"/>
    <x v="0"/>
    <b v="1"/>
    <s v="iPad"/>
    <n v="629"/>
    <n v="32"/>
    <x v="1"/>
    <x v="15"/>
    <x v="0"/>
  </r>
  <r>
    <n v="1510406"/>
    <x v="0"/>
    <x v="5"/>
    <n v="4.5"/>
    <x v="2"/>
    <d v="2025-01-10T22:49:00"/>
    <x v="1"/>
    <x v="3"/>
    <x v="1"/>
    <b v="1"/>
    <s v="iOS"/>
    <n v="164"/>
    <n v="57"/>
    <x v="1"/>
    <x v="14"/>
    <x v="1"/>
  </r>
  <r>
    <n v="4276591"/>
    <x v="1"/>
    <x v="14"/>
    <n v="2.7"/>
    <x v="3"/>
    <d v="2023-10-26T03:48:00"/>
    <x v="2"/>
    <x v="0"/>
    <x v="2"/>
    <b v="1"/>
    <s v="Windows Phone"/>
    <n v="829"/>
    <n v="53"/>
    <x v="1"/>
    <x v="9"/>
    <x v="1"/>
  </r>
  <r>
    <n v="2032532"/>
    <x v="31"/>
    <x v="15"/>
    <n v="4.5999999999999996"/>
    <x v="2"/>
    <d v="2023-09-11T03:38:00"/>
    <x v="3"/>
    <x v="10"/>
    <x v="2"/>
    <b v="1"/>
    <s v="Android"/>
    <n v="473"/>
    <n v="46"/>
    <x v="1"/>
    <x v="7"/>
    <x v="0"/>
  </r>
  <r>
    <n v="1204735"/>
    <x v="27"/>
    <x v="16"/>
    <n v="1.1000000000000001"/>
    <x v="0"/>
    <d v="2024-09-17T04:43:00"/>
    <x v="5"/>
    <x v="10"/>
    <x v="0"/>
    <b v="1"/>
    <s v="iOS"/>
    <n v="186"/>
    <n v="14"/>
    <x v="0"/>
    <x v="9"/>
    <x v="0"/>
  </r>
  <r>
    <n v="4600772"/>
    <x v="10"/>
    <x v="0"/>
    <n v="4.9000000000000004"/>
    <x v="2"/>
    <d v="2024-08-19T11:44:00"/>
    <x v="3"/>
    <x v="9"/>
    <x v="0"/>
    <b v="1"/>
    <s v="Android"/>
    <n v="905"/>
    <n v="26"/>
    <x v="1"/>
    <x v="15"/>
    <x v="0"/>
  </r>
  <r>
    <n v="2969392"/>
    <x v="28"/>
    <x v="17"/>
    <n v="2.9"/>
    <x v="3"/>
    <d v="2025-04-02T04:06:00"/>
    <x v="0"/>
    <x v="6"/>
    <x v="1"/>
    <b v="1"/>
    <s v="Android Tablet"/>
    <n v="119"/>
    <n v="63"/>
    <x v="2"/>
    <x v="12"/>
    <x v="1"/>
  </r>
  <r>
    <n v="5932315"/>
    <x v="27"/>
    <x v="15"/>
    <n v="2.7"/>
    <x v="3"/>
    <d v="2023-11-19T01:02:00"/>
    <x v="4"/>
    <x v="4"/>
    <x v="2"/>
    <b v="1"/>
    <s v="Windows Phone"/>
    <n v="614"/>
    <n v="29"/>
    <x v="1"/>
    <x v="23"/>
    <x v="0"/>
  </r>
  <r>
    <n v="5731731"/>
    <x v="30"/>
    <x v="7"/>
    <n v="1.7"/>
    <x v="0"/>
    <d v="2024-07-17T10:27:00"/>
    <x v="0"/>
    <x v="11"/>
    <x v="0"/>
    <b v="1"/>
    <s v="iPad"/>
    <n v="724"/>
    <n v="67"/>
    <x v="2"/>
    <x v="11"/>
    <x v="1"/>
  </r>
  <r>
    <n v="3561265"/>
    <x v="8"/>
    <x v="16"/>
    <n v="4.8"/>
    <x v="2"/>
    <d v="2025-05-09T19:09:00"/>
    <x v="1"/>
    <x v="5"/>
    <x v="1"/>
    <b v="0"/>
    <s v="Android Tablet"/>
    <n v="651"/>
    <n v="44"/>
    <x v="1"/>
    <x v="9"/>
    <x v="1"/>
  </r>
  <r>
    <n v="2620403"/>
    <x v="36"/>
    <x v="12"/>
    <n v="1"/>
    <x v="0"/>
    <d v="2023-09-01T16:29:00"/>
    <x v="1"/>
    <x v="10"/>
    <x v="2"/>
    <b v="1"/>
    <s v="Android"/>
    <n v="829"/>
    <n v="63"/>
    <x v="2"/>
    <x v="22"/>
    <x v="1"/>
  </r>
  <r>
    <n v="937217"/>
    <x v="11"/>
    <x v="9"/>
    <n v="2.7"/>
    <x v="3"/>
    <d v="2024-02-12T04:08:00"/>
    <x v="3"/>
    <x v="8"/>
    <x v="0"/>
    <b v="1"/>
    <s v="iOS"/>
    <n v="631"/>
    <n v="51"/>
    <x v="1"/>
    <x v="21"/>
    <x v="0"/>
  </r>
  <r>
    <n v="9507809"/>
    <x v="26"/>
    <x v="10"/>
    <n v="3.9"/>
    <x v="1"/>
    <d v="2023-11-29T07:10:00"/>
    <x v="0"/>
    <x v="4"/>
    <x v="2"/>
    <b v="1"/>
    <s v="Windows Phone"/>
    <n v="557"/>
    <n v="36"/>
    <x v="1"/>
    <x v="18"/>
    <x v="1"/>
  </r>
  <r>
    <n v="4641070"/>
    <x v="22"/>
    <x v="4"/>
    <n v="4.5999999999999996"/>
    <x v="2"/>
    <d v="2024-06-05T21:05:00"/>
    <x v="0"/>
    <x v="1"/>
    <x v="0"/>
    <b v="1"/>
    <s v="iOS"/>
    <n v="223"/>
    <n v="63"/>
    <x v="2"/>
    <x v="22"/>
    <x v="1"/>
  </r>
  <r>
    <n v="4483230"/>
    <x v="35"/>
    <x v="8"/>
    <n v="3.8"/>
    <x v="1"/>
    <d v="2025-07-15T14:44:00"/>
    <x v="5"/>
    <x v="11"/>
    <x v="1"/>
    <b v="1"/>
    <s v="iPad"/>
    <n v="92"/>
    <n v="61"/>
    <x v="2"/>
    <x v="17"/>
    <x v="1"/>
  </r>
  <r>
    <n v="6042386"/>
    <x v="38"/>
    <x v="17"/>
    <n v="1.5"/>
    <x v="0"/>
    <d v="2024-06-28T01:24:00"/>
    <x v="1"/>
    <x v="1"/>
    <x v="0"/>
    <b v="1"/>
    <s v="iOS"/>
    <n v="195"/>
    <n v="55"/>
    <x v="1"/>
    <x v="5"/>
    <x v="1"/>
  </r>
  <r>
    <n v="9836194"/>
    <x v="12"/>
    <x v="8"/>
    <n v="1.1000000000000001"/>
    <x v="0"/>
    <d v="2024-09-01T17:18:00"/>
    <x v="4"/>
    <x v="10"/>
    <x v="0"/>
    <b v="1"/>
    <s v="Android Tablet"/>
    <n v="773"/>
    <n v="74"/>
    <x v="2"/>
    <x v="8"/>
    <x v="0"/>
  </r>
  <r>
    <n v="7821222"/>
    <x v="27"/>
    <x v="16"/>
    <n v="4.5"/>
    <x v="2"/>
    <d v="2025-05-13T16:51:00"/>
    <x v="5"/>
    <x v="5"/>
    <x v="1"/>
    <b v="1"/>
    <s v="Windows Phone"/>
    <n v="721"/>
    <n v="27"/>
    <x v="1"/>
    <x v="10"/>
    <x v="0"/>
  </r>
  <r>
    <n v="1895982"/>
    <x v="35"/>
    <x v="2"/>
    <n v="4"/>
    <x v="1"/>
    <d v="2025-01-06T16:40:00"/>
    <x v="3"/>
    <x v="3"/>
    <x v="1"/>
    <b v="0"/>
    <s v="Windows Phone"/>
    <n v="762"/>
    <n v="49"/>
    <x v="1"/>
    <x v="22"/>
    <x v="0"/>
  </r>
  <r>
    <n v="8236197"/>
    <x v="16"/>
    <x v="0"/>
    <n v="2.2999999999999998"/>
    <x v="3"/>
    <d v="2024-11-27T07:01:00"/>
    <x v="0"/>
    <x v="4"/>
    <x v="0"/>
    <b v="0"/>
    <s v="Windows Phone"/>
    <n v="0"/>
    <n v="32"/>
    <x v="1"/>
    <x v="19"/>
    <x v="0"/>
  </r>
  <r>
    <n v="100599"/>
    <x v="30"/>
    <x v="2"/>
    <n v="1.7"/>
    <x v="0"/>
    <d v="2023-11-27T17:37:00"/>
    <x v="3"/>
    <x v="4"/>
    <x v="2"/>
    <b v="1"/>
    <s v="Android"/>
    <n v="1196"/>
    <n v="56"/>
    <x v="1"/>
    <x v="1"/>
    <x v="1"/>
  </r>
  <r>
    <n v="4247429"/>
    <x v="9"/>
    <x v="12"/>
    <n v="3.7"/>
    <x v="1"/>
    <d v="2024-01-06T13:23:00"/>
    <x v="6"/>
    <x v="3"/>
    <x v="0"/>
    <b v="1"/>
    <s v="iOS"/>
    <n v="374"/>
    <n v="59"/>
    <x v="1"/>
    <x v="18"/>
    <x v="1"/>
  </r>
  <r>
    <n v="3636303"/>
    <x v="16"/>
    <x v="0"/>
    <n v="2.5"/>
    <x v="3"/>
    <d v="2024-04-27T19:49:00"/>
    <x v="6"/>
    <x v="6"/>
    <x v="0"/>
    <b v="0"/>
    <s v="Windows Phone"/>
    <n v="1066"/>
    <n v="74"/>
    <x v="2"/>
    <x v="19"/>
    <x v="1"/>
  </r>
  <r>
    <n v="1153034"/>
    <x v="31"/>
    <x v="9"/>
    <n v="2.8"/>
    <x v="3"/>
    <d v="2023-12-14T09:56:00"/>
    <x v="2"/>
    <x v="7"/>
    <x v="2"/>
    <b v="0"/>
    <s v="Android Tablet"/>
    <n v="672"/>
    <n v="55"/>
    <x v="1"/>
    <x v="19"/>
    <x v="1"/>
  </r>
  <r>
    <n v="1244375"/>
    <x v="5"/>
    <x v="4"/>
    <n v="3.1"/>
    <x v="1"/>
    <d v="2025-07-12T11:32:00"/>
    <x v="6"/>
    <x v="11"/>
    <x v="1"/>
    <b v="0"/>
    <s v="Android"/>
    <n v="66"/>
    <n v="49"/>
    <x v="1"/>
    <x v="2"/>
    <x v="1"/>
  </r>
  <r>
    <n v="8215888"/>
    <x v="20"/>
    <x v="14"/>
    <n v="1.6"/>
    <x v="0"/>
    <d v="2024-05-19T07:58:00"/>
    <x v="4"/>
    <x v="5"/>
    <x v="0"/>
    <b v="1"/>
    <s v="iPad"/>
    <n v="670"/>
    <n v="28"/>
    <x v="1"/>
    <x v="21"/>
    <x v="1"/>
  </r>
  <r>
    <n v="7147372"/>
    <x v="33"/>
    <x v="5"/>
    <n v="4.4000000000000004"/>
    <x v="2"/>
    <d v="2025-07-17T07:24:00"/>
    <x v="2"/>
    <x v="11"/>
    <x v="1"/>
    <b v="1"/>
    <s v="iPad"/>
    <n v="1027"/>
    <n v="42"/>
    <x v="1"/>
    <x v="1"/>
    <x v="1"/>
  </r>
  <r>
    <n v="1138956"/>
    <x v="39"/>
    <x v="0"/>
    <n v="2.6"/>
    <x v="3"/>
    <d v="2024-11-18T03:47:00"/>
    <x v="3"/>
    <x v="4"/>
    <x v="0"/>
    <b v="1"/>
    <s v="iPad"/>
    <n v="84"/>
    <n v="28"/>
    <x v="1"/>
    <x v="7"/>
    <x v="1"/>
  </r>
  <r>
    <n v="8960962"/>
    <x v="18"/>
    <x v="9"/>
    <n v="3"/>
    <x v="3"/>
    <d v="2024-08-20T06:27:00"/>
    <x v="5"/>
    <x v="9"/>
    <x v="0"/>
    <b v="1"/>
    <s v="Android Tablet"/>
    <n v="813"/>
    <n v="36"/>
    <x v="1"/>
    <x v="16"/>
    <x v="1"/>
  </r>
  <r>
    <n v="9752869"/>
    <x v="4"/>
    <x v="3"/>
    <n v="3.5"/>
    <x v="1"/>
    <d v="2024-02-04T09:04:00"/>
    <x v="4"/>
    <x v="8"/>
    <x v="0"/>
    <b v="1"/>
    <s v="Windows Phone"/>
    <n v="935"/>
    <n v="50"/>
    <x v="1"/>
    <x v="2"/>
    <x v="0"/>
  </r>
  <r>
    <n v="4197740"/>
    <x v="18"/>
    <x v="9"/>
    <n v="4.2"/>
    <x v="2"/>
    <d v="2025-07-29T17:33:00"/>
    <x v="5"/>
    <x v="11"/>
    <x v="1"/>
    <b v="1"/>
    <s v="iOS"/>
    <n v="86"/>
    <n v="16"/>
    <x v="0"/>
    <x v="19"/>
    <x v="0"/>
  </r>
  <r>
    <n v="3553773"/>
    <x v="27"/>
    <x v="4"/>
    <n v="3.7"/>
    <x v="1"/>
    <d v="2024-08-19T07:13:00"/>
    <x v="3"/>
    <x v="9"/>
    <x v="0"/>
    <b v="0"/>
    <s v="Android"/>
    <n v="696"/>
    <n v="39"/>
    <x v="1"/>
    <x v="14"/>
    <x v="1"/>
  </r>
  <r>
    <n v="6347667"/>
    <x v="1"/>
    <x v="14"/>
    <n v="2.4"/>
    <x v="3"/>
    <d v="2025-02-13T22:23:00"/>
    <x v="2"/>
    <x v="8"/>
    <x v="1"/>
    <b v="1"/>
    <s v="Android Tablet"/>
    <n v="935"/>
    <n v="73"/>
    <x v="2"/>
    <x v="17"/>
    <x v="1"/>
  </r>
  <r>
    <n v="701759"/>
    <x v="23"/>
    <x v="0"/>
    <n v="1"/>
    <x v="0"/>
    <d v="2024-01-30T11:45:00"/>
    <x v="5"/>
    <x v="3"/>
    <x v="0"/>
    <b v="0"/>
    <s v="Android Tablet"/>
    <n v="155"/>
    <n v="62"/>
    <x v="2"/>
    <x v="0"/>
    <x v="0"/>
  </r>
  <r>
    <n v="625229"/>
    <x v="22"/>
    <x v="5"/>
    <n v="4.0999999999999996"/>
    <x v="2"/>
    <d v="2025-07-29T10:13:00"/>
    <x v="5"/>
    <x v="11"/>
    <x v="1"/>
    <b v="1"/>
    <s v="Android"/>
    <n v="102"/>
    <n v="51"/>
    <x v="1"/>
    <x v="2"/>
    <x v="0"/>
  </r>
  <r>
    <n v="9634543"/>
    <x v="9"/>
    <x v="12"/>
    <n v="4.5"/>
    <x v="2"/>
    <d v="2025-05-11T05:14:00"/>
    <x v="4"/>
    <x v="5"/>
    <x v="1"/>
    <b v="1"/>
    <s v="iOS"/>
    <n v="1130"/>
    <n v="70"/>
    <x v="2"/>
    <x v="9"/>
    <x v="0"/>
  </r>
  <r>
    <n v="3099504"/>
    <x v="32"/>
    <x v="15"/>
    <n v="1.1000000000000001"/>
    <x v="0"/>
    <d v="2024-07-10T14:16:00"/>
    <x v="0"/>
    <x v="11"/>
    <x v="0"/>
    <b v="1"/>
    <s v="Windows Phone"/>
    <n v="193"/>
    <n v="44"/>
    <x v="1"/>
    <x v="15"/>
    <x v="0"/>
  </r>
  <r>
    <n v="4732933"/>
    <x v="30"/>
    <x v="0"/>
    <n v="2.1"/>
    <x v="3"/>
    <d v="2024-02-18T11:16:00"/>
    <x v="4"/>
    <x v="8"/>
    <x v="0"/>
    <b v="1"/>
    <s v="Windows Phone"/>
    <n v="7"/>
    <n v="65"/>
    <x v="2"/>
    <x v="4"/>
    <x v="1"/>
  </r>
  <r>
    <n v="1399884"/>
    <x v="17"/>
    <x v="15"/>
    <n v="2.9"/>
    <x v="3"/>
    <d v="2024-08-28T15:05:00"/>
    <x v="0"/>
    <x v="9"/>
    <x v="0"/>
    <b v="1"/>
    <s v="Android"/>
    <n v="363"/>
    <n v="35"/>
    <x v="1"/>
    <x v="17"/>
    <x v="1"/>
  </r>
  <r>
    <n v="1998888"/>
    <x v="0"/>
    <x v="0"/>
    <n v="3.3"/>
    <x v="1"/>
    <d v="2024-08-31T19:28:00"/>
    <x v="6"/>
    <x v="9"/>
    <x v="0"/>
    <b v="1"/>
    <s v="iOS"/>
    <n v="756"/>
    <n v="28"/>
    <x v="1"/>
    <x v="9"/>
    <x v="1"/>
  </r>
  <r>
    <n v="9669151"/>
    <x v="7"/>
    <x v="7"/>
    <n v="2.8"/>
    <x v="3"/>
    <d v="2024-05-15T07:43:00"/>
    <x v="0"/>
    <x v="5"/>
    <x v="0"/>
    <b v="0"/>
    <s v="Windows Phone"/>
    <n v="338"/>
    <n v="64"/>
    <x v="2"/>
    <x v="17"/>
    <x v="0"/>
  </r>
  <r>
    <n v="3648039"/>
    <x v="31"/>
    <x v="10"/>
    <n v="2.4"/>
    <x v="3"/>
    <d v="2025-04-19T11:55:00"/>
    <x v="6"/>
    <x v="6"/>
    <x v="1"/>
    <b v="1"/>
    <s v="Windows Phone"/>
    <n v="288"/>
    <n v="70"/>
    <x v="2"/>
    <x v="11"/>
    <x v="0"/>
  </r>
  <r>
    <n v="8669737"/>
    <x v="27"/>
    <x v="9"/>
    <n v="1.4"/>
    <x v="0"/>
    <d v="2025-02-06T19:57:00"/>
    <x v="2"/>
    <x v="8"/>
    <x v="1"/>
    <b v="0"/>
    <s v="Windows Phone"/>
    <n v="773"/>
    <n v="69"/>
    <x v="2"/>
    <x v="11"/>
    <x v="1"/>
  </r>
  <r>
    <n v="6171358"/>
    <x v="7"/>
    <x v="7"/>
    <n v="1.7"/>
    <x v="0"/>
    <d v="2024-08-18T17:38:00"/>
    <x v="4"/>
    <x v="9"/>
    <x v="0"/>
    <b v="0"/>
    <s v="Windows Phone"/>
    <n v="237"/>
    <n v="54"/>
    <x v="1"/>
    <x v="9"/>
    <x v="1"/>
  </r>
  <r>
    <n v="1908110"/>
    <x v="5"/>
    <x v="8"/>
    <n v="1.7"/>
    <x v="0"/>
    <d v="2025-02-12T23:57:00"/>
    <x v="0"/>
    <x v="8"/>
    <x v="1"/>
    <b v="0"/>
    <s v="Android Tablet"/>
    <n v="976"/>
    <n v="66"/>
    <x v="2"/>
    <x v="0"/>
    <x v="0"/>
  </r>
  <r>
    <n v="8626649"/>
    <x v="4"/>
    <x v="6"/>
    <n v="3.6"/>
    <x v="1"/>
    <d v="2025-06-16T05:54:00"/>
    <x v="3"/>
    <x v="1"/>
    <x v="1"/>
    <b v="0"/>
    <s v="iOS"/>
    <n v="598"/>
    <n v="66"/>
    <x v="2"/>
    <x v="8"/>
    <x v="1"/>
  </r>
  <r>
    <n v="3634635"/>
    <x v="38"/>
    <x v="12"/>
    <n v="2.4"/>
    <x v="3"/>
    <d v="2024-06-30T06:52:00"/>
    <x v="4"/>
    <x v="1"/>
    <x v="0"/>
    <b v="1"/>
    <s v="iOS"/>
    <n v="885"/>
    <n v="35"/>
    <x v="1"/>
    <x v="19"/>
    <x v="1"/>
  </r>
  <r>
    <n v="5374209"/>
    <x v="9"/>
    <x v="15"/>
    <n v="1.7"/>
    <x v="0"/>
    <d v="2024-01-21T13:54:00"/>
    <x v="4"/>
    <x v="3"/>
    <x v="0"/>
    <b v="1"/>
    <s v="iOS"/>
    <n v="721"/>
    <n v="70"/>
    <x v="2"/>
    <x v="11"/>
    <x v="0"/>
  </r>
  <r>
    <n v="4939871"/>
    <x v="37"/>
    <x v="7"/>
    <n v="1.2"/>
    <x v="0"/>
    <d v="2025-07-30T09:07:00"/>
    <x v="0"/>
    <x v="11"/>
    <x v="1"/>
    <b v="1"/>
    <s v="Android"/>
    <n v="961"/>
    <n v="75"/>
    <x v="2"/>
    <x v="5"/>
    <x v="1"/>
  </r>
  <r>
    <n v="4771669"/>
    <x v="2"/>
    <x v="0"/>
    <n v="1.9"/>
    <x v="0"/>
    <d v="2025-02-19T03:43:00"/>
    <x v="0"/>
    <x v="8"/>
    <x v="1"/>
    <b v="0"/>
    <s v="iPad"/>
    <n v="1239"/>
    <n v="13"/>
    <x v="0"/>
    <x v="7"/>
    <x v="1"/>
  </r>
  <r>
    <n v="2053918"/>
    <x v="6"/>
    <x v="8"/>
    <n v="1.8"/>
    <x v="0"/>
    <d v="2024-07-18T02:15:00"/>
    <x v="2"/>
    <x v="11"/>
    <x v="0"/>
    <b v="0"/>
    <s v="iOS"/>
    <n v="443"/>
    <n v="53"/>
    <x v="1"/>
    <x v="4"/>
    <x v="1"/>
  </r>
  <r>
    <n v="8845909"/>
    <x v="11"/>
    <x v="17"/>
    <n v="4.3"/>
    <x v="2"/>
    <d v="2024-04-03T12:12:00"/>
    <x v="0"/>
    <x v="6"/>
    <x v="0"/>
    <b v="1"/>
    <s v="iPad"/>
    <n v="1190"/>
    <n v="69"/>
    <x v="2"/>
    <x v="22"/>
    <x v="1"/>
  </r>
  <r>
    <n v="9464543"/>
    <x v="1"/>
    <x v="6"/>
    <n v="1.6"/>
    <x v="0"/>
    <d v="2023-11-26T11:59:00"/>
    <x v="4"/>
    <x v="4"/>
    <x v="2"/>
    <b v="1"/>
    <s v="Android"/>
    <n v="517"/>
    <n v="14"/>
    <x v="0"/>
    <x v="4"/>
    <x v="1"/>
  </r>
  <r>
    <n v="3239098"/>
    <x v="7"/>
    <x v="11"/>
    <n v="3.3"/>
    <x v="1"/>
    <d v="2023-12-18T17:43:00"/>
    <x v="3"/>
    <x v="7"/>
    <x v="2"/>
    <b v="1"/>
    <s v="Android"/>
    <n v="429"/>
    <n v="55"/>
    <x v="1"/>
    <x v="17"/>
    <x v="1"/>
  </r>
  <r>
    <n v="1719558"/>
    <x v="9"/>
    <x v="1"/>
    <n v="2.6"/>
    <x v="3"/>
    <d v="2024-01-17T22:14:00"/>
    <x v="0"/>
    <x v="3"/>
    <x v="0"/>
    <b v="1"/>
    <s v="iPad"/>
    <n v="82"/>
    <n v="28"/>
    <x v="1"/>
    <x v="5"/>
    <x v="1"/>
  </r>
  <r>
    <n v="4919613"/>
    <x v="28"/>
    <x v="0"/>
    <n v="2.4"/>
    <x v="3"/>
    <d v="2024-06-21T18:52:00"/>
    <x v="1"/>
    <x v="1"/>
    <x v="0"/>
    <b v="1"/>
    <s v="iPad"/>
    <n v="626"/>
    <n v="51"/>
    <x v="1"/>
    <x v="16"/>
    <x v="0"/>
  </r>
  <r>
    <n v="2004822"/>
    <x v="10"/>
    <x v="9"/>
    <n v="4.9000000000000004"/>
    <x v="2"/>
    <d v="2024-04-26T20:24:00"/>
    <x v="1"/>
    <x v="6"/>
    <x v="0"/>
    <b v="0"/>
    <s v="Windows Phone"/>
    <n v="875"/>
    <n v="39"/>
    <x v="1"/>
    <x v="23"/>
    <x v="1"/>
  </r>
  <r>
    <n v="7012261"/>
    <x v="14"/>
    <x v="1"/>
    <n v="3.3"/>
    <x v="1"/>
    <d v="2025-01-15T15:49:00"/>
    <x v="0"/>
    <x v="3"/>
    <x v="1"/>
    <b v="1"/>
    <s v="iPad"/>
    <n v="827"/>
    <n v="66"/>
    <x v="2"/>
    <x v="13"/>
    <x v="0"/>
  </r>
  <r>
    <n v="585910"/>
    <x v="34"/>
    <x v="5"/>
    <n v="4.7"/>
    <x v="2"/>
    <d v="2024-03-13T20:24:00"/>
    <x v="0"/>
    <x v="2"/>
    <x v="0"/>
    <b v="1"/>
    <s v="Android Tablet"/>
    <n v="761"/>
    <n v="19"/>
    <x v="1"/>
    <x v="21"/>
    <x v="1"/>
  </r>
  <r>
    <n v="8614225"/>
    <x v="6"/>
    <x v="8"/>
    <n v="2.9"/>
    <x v="3"/>
    <d v="2024-01-14T22:56:00"/>
    <x v="4"/>
    <x v="3"/>
    <x v="0"/>
    <b v="1"/>
    <s v="Android"/>
    <n v="677"/>
    <n v="26"/>
    <x v="1"/>
    <x v="1"/>
    <x v="0"/>
  </r>
  <r>
    <n v="5522262"/>
    <x v="31"/>
    <x v="8"/>
    <n v="1.5"/>
    <x v="0"/>
    <d v="2025-04-27T15:28:00"/>
    <x v="4"/>
    <x v="6"/>
    <x v="1"/>
    <b v="1"/>
    <s v="Android Tablet"/>
    <n v="245"/>
    <n v="20"/>
    <x v="1"/>
    <x v="18"/>
    <x v="1"/>
  </r>
  <r>
    <n v="1950788"/>
    <x v="3"/>
    <x v="2"/>
    <n v="2.7"/>
    <x v="3"/>
    <d v="2024-11-19T05:53:00"/>
    <x v="5"/>
    <x v="4"/>
    <x v="0"/>
    <b v="0"/>
    <s v="Android Tablet"/>
    <n v="1163"/>
    <n v="47"/>
    <x v="1"/>
    <x v="21"/>
    <x v="0"/>
  </r>
  <r>
    <n v="5631182"/>
    <x v="27"/>
    <x v="17"/>
    <n v="4.2"/>
    <x v="2"/>
    <d v="2023-11-09T05:49:00"/>
    <x v="2"/>
    <x v="4"/>
    <x v="2"/>
    <b v="1"/>
    <s v="Android"/>
    <n v="1193"/>
    <n v="19"/>
    <x v="1"/>
    <x v="17"/>
    <x v="1"/>
  </r>
  <r>
    <n v="925694"/>
    <x v="19"/>
    <x v="0"/>
    <n v="1.2"/>
    <x v="0"/>
    <d v="2024-09-06T17:23:00"/>
    <x v="1"/>
    <x v="10"/>
    <x v="0"/>
    <b v="1"/>
    <s v="iPad"/>
    <n v="693"/>
    <n v="50"/>
    <x v="1"/>
    <x v="14"/>
    <x v="0"/>
  </r>
  <r>
    <n v="6174992"/>
    <x v="1"/>
    <x v="11"/>
    <n v="4.5999999999999996"/>
    <x v="2"/>
    <d v="2024-09-19T19:00:00"/>
    <x v="2"/>
    <x v="10"/>
    <x v="0"/>
    <b v="1"/>
    <s v="iOS"/>
    <n v="935"/>
    <n v="25"/>
    <x v="1"/>
    <x v="15"/>
    <x v="0"/>
  </r>
  <r>
    <n v="6735829"/>
    <x v="13"/>
    <x v="10"/>
    <n v="2.4"/>
    <x v="3"/>
    <d v="2025-05-29T15:28:00"/>
    <x v="2"/>
    <x v="5"/>
    <x v="1"/>
    <b v="0"/>
    <s v="Android"/>
    <n v="1147"/>
    <n v="49"/>
    <x v="1"/>
    <x v="4"/>
    <x v="0"/>
  </r>
  <r>
    <n v="4629825"/>
    <x v="16"/>
    <x v="16"/>
    <n v="3.6"/>
    <x v="1"/>
    <d v="2025-05-31T09:37:00"/>
    <x v="6"/>
    <x v="5"/>
    <x v="1"/>
    <b v="1"/>
    <s v="Android Tablet"/>
    <n v="1101"/>
    <n v="52"/>
    <x v="1"/>
    <x v="7"/>
    <x v="0"/>
  </r>
  <r>
    <n v="1383911"/>
    <x v="2"/>
    <x v="16"/>
    <n v="3.2"/>
    <x v="1"/>
    <d v="2025-02-27T17:06:00"/>
    <x v="2"/>
    <x v="8"/>
    <x v="1"/>
    <b v="1"/>
    <s v="iPad"/>
    <n v="901"/>
    <n v="13"/>
    <x v="0"/>
    <x v="19"/>
    <x v="1"/>
  </r>
  <r>
    <n v="9968287"/>
    <x v="38"/>
    <x v="4"/>
    <n v="4.5"/>
    <x v="2"/>
    <d v="2024-02-06T21:00:00"/>
    <x v="5"/>
    <x v="8"/>
    <x v="0"/>
    <b v="1"/>
    <s v="iPad"/>
    <n v="1202"/>
    <n v="20"/>
    <x v="1"/>
    <x v="14"/>
    <x v="0"/>
  </r>
  <r>
    <n v="388778"/>
    <x v="33"/>
    <x v="15"/>
    <n v="3.8"/>
    <x v="1"/>
    <d v="2024-08-20T22:28:00"/>
    <x v="5"/>
    <x v="9"/>
    <x v="0"/>
    <b v="0"/>
    <s v="iOS"/>
    <n v="63"/>
    <n v="25"/>
    <x v="1"/>
    <x v="22"/>
    <x v="1"/>
  </r>
  <r>
    <n v="6704270"/>
    <x v="25"/>
    <x v="13"/>
    <n v="4.5"/>
    <x v="2"/>
    <d v="2024-05-16T09:24:00"/>
    <x v="2"/>
    <x v="5"/>
    <x v="0"/>
    <b v="0"/>
    <s v="Android Tablet"/>
    <n v="56"/>
    <n v="60"/>
    <x v="1"/>
    <x v="23"/>
    <x v="1"/>
  </r>
  <r>
    <n v="3610199"/>
    <x v="38"/>
    <x v="8"/>
    <n v="3.9"/>
    <x v="1"/>
    <d v="2025-03-09T08:00:00"/>
    <x v="4"/>
    <x v="2"/>
    <x v="1"/>
    <b v="1"/>
    <s v="Windows Phone"/>
    <n v="1030"/>
    <n v="45"/>
    <x v="1"/>
    <x v="23"/>
    <x v="0"/>
  </r>
  <r>
    <n v="2884106"/>
    <x v="20"/>
    <x v="16"/>
    <n v="4.4000000000000004"/>
    <x v="2"/>
    <d v="2025-05-23T22:53:00"/>
    <x v="1"/>
    <x v="5"/>
    <x v="1"/>
    <b v="1"/>
    <s v="Android Tablet"/>
    <n v="414"/>
    <n v="50"/>
    <x v="1"/>
    <x v="3"/>
    <x v="0"/>
  </r>
  <r>
    <n v="3091801"/>
    <x v="5"/>
    <x v="6"/>
    <n v="1.8"/>
    <x v="0"/>
    <d v="2024-02-21T02:35:00"/>
    <x v="0"/>
    <x v="8"/>
    <x v="0"/>
    <b v="1"/>
    <s v="Android Tablet"/>
    <n v="1156"/>
    <n v="59"/>
    <x v="1"/>
    <x v="12"/>
    <x v="1"/>
  </r>
  <r>
    <n v="1816680"/>
    <x v="12"/>
    <x v="3"/>
    <n v="2.8"/>
    <x v="3"/>
    <d v="2024-04-08T00:32:00"/>
    <x v="3"/>
    <x v="6"/>
    <x v="0"/>
    <b v="1"/>
    <s v="Android"/>
    <n v="263"/>
    <n v="20"/>
    <x v="1"/>
    <x v="14"/>
    <x v="1"/>
  </r>
  <r>
    <n v="7476757"/>
    <x v="6"/>
    <x v="15"/>
    <n v="4.8"/>
    <x v="2"/>
    <d v="2024-06-26T07:12:00"/>
    <x v="0"/>
    <x v="1"/>
    <x v="0"/>
    <b v="0"/>
    <s v="Windows Phone"/>
    <n v="1079"/>
    <n v="66"/>
    <x v="2"/>
    <x v="19"/>
    <x v="1"/>
  </r>
  <r>
    <n v="9460094"/>
    <x v="3"/>
    <x v="12"/>
    <n v="3.7"/>
    <x v="1"/>
    <d v="2025-06-29T17:51:00"/>
    <x v="4"/>
    <x v="1"/>
    <x v="1"/>
    <b v="1"/>
    <s v="iOS"/>
    <n v="482"/>
    <n v="56"/>
    <x v="1"/>
    <x v="7"/>
    <x v="0"/>
  </r>
  <r>
    <n v="6782264"/>
    <x v="11"/>
    <x v="5"/>
    <n v="3.4"/>
    <x v="1"/>
    <d v="2023-09-03T23:45:00"/>
    <x v="4"/>
    <x v="10"/>
    <x v="2"/>
    <b v="0"/>
    <s v="Windows Phone"/>
    <n v="742"/>
    <n v="33"/>
    <x v="1"/>
    <x v="11"/>
    <x v="1"/>
  </r>
  <r>
    <n v="4345272"/>
    <x v="8"/>
    <x v="7"/>
    <n v="2.1"/>
    <x v="3"/>
    <d v="2024-02-29T20:02:00"/>
    <x v="2"/>
    <x v="8"/>
    <x v="0"/>
    <b v="0"/>
    <s v="iPad"/>
    <n v="388"/>
    <n v="38"/>
    <x v="1"/>
    <x v="22"/>
    <x v="0"/>
  </r>
  <r>
    <n v="1060109"/>
    <x v="1"/>
    <x v="3"/>
    <n v="4.7"/>
    <x v="2"/>
    <d v="2024-10-18T07:18:00"/>
    <x v="1"/>
    <x v="0"/>
    <x v="0"/>
    <b v="1"/>
    <s v="Android Tablet"/>
    <n v="815"/>
    <n v="58"/>
    <x v="1"/>
    <x v="21"/>
    <x v="0"/>
  </r>
  <r>
    <n v="7998869"/>
    <x v="32"/>
    <x v="15"/>
    <n v="1.9"/>
    <x v="0"/>
    <d v="2024-09-26T11:31:00"/>
    <x v="2"/>
    <x v="10"/>
    <x v="0"/>
    <b v="1"/>
    <s v="Android"/>
    <n v="89"/>
    <n v="50"/>
    <x v="1"/>
    <x v="3"/>
    <x v="1"/>
  </r>
  <r>
    <n v="3357839"/>
    <x v="37"/>
    <x v="11"/>
    <n v="2.9"/>
    <x v="3"/>
    <d v="2024-12-21T17:07:00"/>
    <x v="6"/>
    <x v="7"/>
    <x v="0"/>
    <b v="0"/>
    <s v="Windows Phone"/>
    <n v="632"/>
    <n v="74"/>
    <x v="2"/>
    <x v="11"/>
    <x v="1"/>
  </r>
  <r>
    <n v="379750"/>
    <x v="39"/>
    <x v="2"/>
    <n v="1.8"/>
    <x v="0"/>
    <d v="2024-04-15T06:24:00"/>
    <x v="3"/>
    <x v="6"/>
    <x v="0"/>
    <b v="0"/>
    <s v="Android"/>
    <n v="953"/>
    <n v="33"/>
    <x v="1"/>
    <x v="23"/>
    <x v="0"/>
  </r>
  <r>
    <n v="2995499"/>
    <x v="25"/>
    <x v="3"/>
    <n v="2.4"/>
    <x v="3"/>
    <d v="2024-07-10T06:37:00"/>
    <x v="0"/>
    <x v="11"/>
    <x v="0"/>
    <b v="1"/>
    <s v="Windows Phone"/>
    <n v="754"/>
    <n v="66"/>
    <x v="2"/>
    <x v="15"/>
    <x v="0"/>
  </r>
  <r>
    <n v="154096"/>
    <x v="17"/>
    <x v="17"/>
    <n v="4"/>
    <x v="1"/>
    <d v="2024-05-17T18:48:00"/>
    <x v="1"/>
    <x v="5"/>
    <x v="0"/>
    <b v="1"/>
    <s v="Android Tablet"/>
    <n v="937"/>
    <n v="56"/>
    <x v="1"/>
    <x v="12"/>
    <x v="1"/>
  </r>
  <r>
    <n v="2763391"/>
    <x v="10"/>
    <x v="15"/>
    <n v="2.9"/>
    <x v="3"/>
    <d v="2024-06-23T04:41:00"/>
    <x v="4"/>
    <x v="1"/>
    <x v="0"/>
    <b v="1"/>
    <s v="Windows Phone"/>
    <n v="139"/>
    <n v="64"/>
    <x v="2"/>
    <x v="17"/>
    <x v="0"/>
  </r>
  <r>
    <n v="5715543"/>
    <x v="7"/>
    <x v="12"/>
    <n v="4.0999999999999996"/>
    <x v="2"/>
    <d v="2024-04-18T09:05:00"/>
    <x v="2"/>
    <x v="6"/>
    <x v="0"/>
    <b v="0"/>
    <s v="iOS"/>
    <n v="63"/>
    <n v="13"/>
    <x v="0"/>
    <x v="5"/>
    <x v="0"/>
  </r>
  <r>
    <n v="5238452"/>
    <x v="11"/>
    <x v="12"/>
    <n v="3.8"/>
    <x v="1"/>
    <d v="2023-12-05T06:52:00"/>
    <x v="5"/>
    <x v="7"/>
    <x v="2"/>
    <b v="1"/>
    <s v="Android"/>
    <n v="15"/>
    <n v="57"/>
    <x v="1"/>
    <x v="20"/>
    <x v="1"/>
  </r>
  <r>
    <n v="464903"/>
    <x v="0"/>
    <x v="5"/>
    <n v="4.5999999999999996"/>
    <x v="2"/>
    <d v="2024-07-06T20:47:00"/>
    <x v="6"/>
    <x v="11"/>
    <x v="0"/>
    <b v="0"/>
    <s v="iPad"/>
    <n v="109"/>
    <n v="15"/>
    <x v="0"/>
    <x v="12"/>
    <x v="0"/>
  </r>
  <r>
    <n v="7757887"/>
    <x v="34"/>
    <x v="6"/>
    <n v="3.7"/>
    <x v="1"/>
    <d v="2024-03-21T00:42:00"/>
    <x v="2"/>
    <x v="2"/>
    <x v="0"/>
    <b v="1"/>
    <s v="Android"/>
    <n v="51"/>
    <n v="36"/>
    <x v="1"/>
    <x v="12"/>
    <x v="0"/>
  </r>
  <r>
    <n v="4619127"/>
    <x v="14"/>
    <x v="7"/>
    <n v="2.2000000000000002"/>
    <x v="3"/>
    <d v="2024-10-22T10:14:00"/>
    <x v="5"/>
    <x v="0"/>
    <x v="0"/>
    <b v="1"/>
    <s v="Android Tablet"/>
    <n v="692"/>
    <n v="26"/>
    <x v="1"/>
    <x v="5"/>
    <x v="1"/>
  </r>
  <r>
    <n v="7424074"/>
    <x v="19"/>
    <x v="9"/>
    <n v="2.7"/>
    <x v="3"/>
    <d v="2025-01-15T07:42:00"/>
    <x v="0"/>
    <x v="3"/>
    <x v="1"/>
    <b v="1"/>
    <s v="Windows Phone"/>
    <n v="1138"/>
    <n v="38"/>
    <x v="1"/>
    <x v="16"/>
    <x v="1"/>
  </r>
  <r>
    <n v="4172535"/>
    <x v="25"/>
    <x v="4"/>
    <n v="2.8"/>
    <x v="3"/>
    <d v="2024-04-10T22:53:00"/>
    <x v="0"/>
    <x v="6"/>
    <x v="0"/>
    <b v="1"/>
    <s v="iOS"/>
    <n v="901"/>
    <n v="42"/>
    <x v="1"/>
    <x v="9"/>
    <x v="0"/>
  </r>
  <r>
    <n v="7223479"/>
    <x v="33"/>
    <x v="7"/>
    <n v="3.8"/>
    <x v="1"/>
    <d v="2024-11-06T12:49:00"/>
    <x v="0"/>
    <x v="4"/>
    <x v="0"/>
    <b v="1"/>
    <s v="Android Tablet"/>
    <n v="357"/>
    <n v="75"/>
    <x v="2"/>
    <x v="11"/>
    <x v="0"/>
  </r>
  <r>
    <n v="9938645"/>
    <x v="40"/>
    <x v="2"/>
    <n v="4.0999999999999996"/>
    <x v="2"/>
    <d v="2023-08-21T18:27:00"/>
    <x v="3"/>
    <x v="9"/>
    <x v="2"/>
    <b v="1"/>
    <s v="Android"/>
    <n v="536"/>
    <n v="57"/>
    <x v="1"/>
    <x v="17"/>
    <x v="1"/>
  </r>
  <r>
    <n v="5165677"/>
    <x v="13"/>
    <x v="16"/>
    <n v="4.7"/>
    <x v="2"/>
    <d v="2024-08-08T05:04:00"/>
    <x v="2"/>
    <x v="9"/>
    <x v="0"/>
    <b v="1"/>
    <s v="Windows Phone"/>
    <n v="75"/>
    <n v="37"/>
    <x v="1"/>
    <x v="7"/>
    <x v="1"/>
  </r>
  <r>
    <n v="4479180"/>
    <x v="10"/>
    <x v="0"/>
    <n v="1.2"/>
    <x v="0"/>
    <d v="2025-02-19T23:02:00"/>
    <x v="0"/>
    <x v="8"/>
    <x v="1"/>
    <b v="1"/>
    <s v="iPad"/>
    <n v="107"/>
    <n v="24"/>
    <x v="1"/>
    <x v="23"/>
    <x v="0"/>
  </r>
  <r>
    <n v="2799181"/>
    <x v="0"/>
    <x v="9"/>
    <n v="2.1"/>
    <x v="3"/>
    <d v="2024-04-04T16:09:00"/>
    <x v="2"/>
    <x v="6"/>
    <x v="0"/>
    <b v="1"/>
    <s v="iPad"/>
    <n v="279"/>
    <n v="29"/>
    <x v="1"/>
    <x v="1"/>
    <x v="1"/>
  </r>
  <r>
    <n v="6839464"/>
    <x v="33"/>
    <x v="17"/>
    <n v="3.3"/>
    <x v="1"/>
    <d v="2024-06-24T00:14:00"/>
    <x v="3"/>
    <x v="1"/>
    <x v="0"/>
    <b v="0"/>
    <s v="iOS"/>
    <n v="698"/>
    <n v="75"/>
    <x v="2"/>
    <x v="18"/>
    <x v="1"/>
  </r>
  <r>
    <n v="1014547"/>
    <x v="13"/>
    <x v="16"/>
    <n v="1.1000000000000001"/>
    <x v="0"/>
    <d v="2024-03-23T04:33:00"/>
    <x v="6"/>
    <x v="2"/>
    <x v="0"/>
    <b v="1"/>
    <s v="Android Tablet"/>
    <n v="668"/>
    <n v="67"/>
    <x v="2"/>
    <x v="0"/>
    <x v="0"/>
  </r>
  <r>
    <n v="4439410"/>
    <x v="13"/>
    <x v="6"/>
    <n v="3.3"/>
    <x v="1"/>
    <d v="2025-06-06T20:54:00"/>
    <x v="1"/>
    <x v="1"/>
    <x v="1"/>
    <b v="0"/>
    <s v="Android"/>
    <n v="1027"/>
    <n v="35"/>
    <x v="1"/>
    <x v="12"/>
    <x v="0"/>
  </r>
  <r>
    <n v="4271264"/>
    <x v="8"/>
    <x v="8"/>
    <n v="3.7"/>
    <x v="1"/>
    <d v="2025-07-24T23:46:00"/>
    <x v="2"/>
    <x v="11"/>
    <x v="1"/>
    <b v="0"/>
    <s v="Windows Phone"/>
    <n v="1154"/>
    <n v="52"/>
    <x v="1"/>
    <x v="3"/>
    <x v="0"/>
  </r>
  <r>
    <n v="8883858"/>
    <x v="26"/>
    <x v="15"/>
    <n v="3.3"/>
    <x v="1"/>
    <d v="2024-05-23T12:27:00"/>
    <x v="2"/>
    <x v="5"/>
    <x v="0"/>
    <b v="1"/>
    <s v="iPad"/>
    <n v="962"/>
    <n v="69"/>
    <x v="2"/>
    <x v="7"/>
    <x v="0"/>
  </r>
  <r>
    <n v="1421455"/>
    <x v="11"/>
    <x v="11"/>
    <n v="1.5"/>
    <x v="0"/>
    <d v="2024-04-19T05:37:00"/>
    <x v="1"/>
    <x v="6"/>
    <x v="0"/>
    <b v="0"/>
    <s v="Android Tablet"/>
    <n v="343"/>
    <n v="14"/>
    <x v="0"/>
    <x v="22"/>
    <x v="1"/>
  </r>
  <r>
    <n v="5166483"/>
    <x v="1"/>
    <x v="3"/>
    <n v="3.1"/>
    <x v="1"/>
    <d v="2024-06-24T01:36:00"/>
    <x v="3"/>
    <x v="1"/>
    <x v="0"/>
    <b v="1"/>
    <s v="Android Tablet"/>
    <n v="715"/>
    <n v="51"/>
    <x v="1"/>
    <x v="16"/>
    <x v="0"/>
  </r>
  <r>
    <n v="2053294"/>
    <x v="13"/>
    <x v="17"/>
    <n v="4"/>
    <x v="1"/>
    <d v="2023-12-19T16:01:00"/>
    <x v="5"/>
    <x v="7"/>
    <x v="2"/>
    <b v="0"/>
    <s v="iOS"/>
    <n v="510"/>
    <n v="25"/>
    <x v="1"/>
    <x v="5"/>
    <x v="1"/>
  </r>
  <r>
    <n v="7051217"/>
    <x v="4"/>
    <x v="7"/>
    <n v="3.5"/>
    <x v="1"/>
    <d v="2024-12-23T08:24:00"/>
    <x v="3"/>
    <x v="7"/>
    <x v="0"/>
    <b v="1"/>
    <s v="Android Tablet"/>
    <n v="946"/>
    <n v="62"/>
    <x v="2"/>
    <x v="10"/>
    <x v="0"/>
  </r>
  <r>
    <n v="3633909"/>
    <x v="36"/>
    <x v="5"/>
    <n v="2.7"/>
    <x v="3"/>
    <d v="2024-03-08T09:07:00"/>
    <x v="1"/>
    <x v="2"/>
    <x v="0"/>
    <b v="1"/>
    <s v="iOS"/>
    <n v="703"/>
    <n v="70"/>
    <x v="2"/>
    <x v="3"/>
    <x v="0"/>
  </r>
  <r>
    <n v="2171885"/>
    <x v="26"/>
    <x v="16"/>
    <n v="3.8"/>
    <x v="1"/>
    <d v="2023-10-15T04:54:00"/>
    <x v="4"/>
    <x v="0"/>
    <x v="2"/>
    <b v="1"/>
    <s v="iPad"/>
    <n v="851"/>
    <n v="56"/>
    <x v="1"/>
    <x v="18"/>
    <x v="1"/>
  </r>
  <r>
    <n v="3762556"/>
    <x v="28"/>
    <x v="1"/>
    <n v="4.5"/>
    <x v="2"/>
    <d v="2024-01-12T00:05:00"/>
    <x v="1"/>
    <x v="3"/>
    <x v="0"/>
    <b v="1"/>
    <s v="iPad"/>
    <n v="244"/>
    <n v="57"/>
    <x v="1"/>
    <x v="18"/>
    <x v="1"/>
  </r>
  <r>
    <n v="2769548"/>
    <x v="13"/>
    <x v="11"/>
    <n v="5"/>
    <x v="2"/>
    <d v="2025-05-06T10:54:00"/>
    <x v="5"/>
    <x v="5"/>
    <x v="1"/>
    <b v="1"/>
    <s v="iOS"/>
    <n v="174"/>
    <n v="49"/>
    <x v="1"/>
    <x v="18"/>
    <x v="0"/>
  </r>
  <r>
    <n v="1749587"/>
    <x v="11"/>
    <x v="3"/>
    <n v="2.5"/>
    <x v="3"/>
    <d v="2024-11-16T10:49:00"/>
    <x v="6"/>
    <x v="4"/>
    <x v="0"/>
    <b v="0"/>
    <s v="iPad"/>
    <n v="463"/>
    <n v="64"/>
    <x v="2"/>
    <x v="1"/>
    <x v="1"/>
  </r>
  <r>
    <n v="8545000"/>
    <x v="4"/>
    <x v="17"/>
    <n v="4.0999999999999996"/>
    <x v="2"/>
    <d v="2023-10-02T09:48:00"/>
    <x v="3"/>
    <x v="0"/>
    <x v="2"/>
    <b v="1"/>
    <s v="Windows Phone"/>
    <n v="633"/>
    <n v="64"/>
    <x v="2"/>
    <x v="0"/>
    <x v="1"/>
  </r>
  <r>
    <n v="9672822"/>
    <x v="18"/>
    <x v="11"/>
    <n v="2.2000000000000002"/>
    <x v="3"/>
    <d v="2025-02-04T12:29:00"/>
    <x v="5"/>
    <x v="8"/>
    <x v="1"/>
    <b v="1"/>
    <s v="Android Tablet"/>
    <n v="423"/>
    <n v="60"/>
    <x v="1"/>
    <x v="7"/>
    <x v="0"/>
  </r>
  <r>
    <n v="5514413"/>
    <x v="21"/>
    <x v="4"/>
    <n v="3.3"/>
    <x v="1"/>
    <d v="2024-02-07T01:39:00"/>
    <x v="0"/>
    <x v="8"/>
    <x v="0"/>
    <b v="1"/>
    <s v="Windows Phone"/>
    <n v="845"/>
    <n v="74"/>
    <x v="2"/>
    <x v="17"/>
    <x v="1"/>
  </r>
  <r>
    <n v="6917366"/>
    <x v="0"/>
    <x v="17"/>
    <n v="4.4000000000000004"/>
    <x v="2"/>
    <d v="2025-03-19T23:49:00"/>
    <x v="0"/>
    <x v="2"/>
    <x v="1"/>
    <b v="1"/>
    <s v="Android Tablet"/>
    <n v="675"/>
    <n v="39"/>
    <x v="1"/>
    <x v="11"/>
    <x v="1"/>
  </r>
  <r>
    <n v="4537702"/>
    <x v="1"/>
    <x v="14"/>
    <n v="2.2999999999999998"/>
    <x v="3"/>
    <d v="2023-10-15T07:37:00"/>
    <x v="4"/>
    <x v="0"/>
    <x v="2"/>
    <b v="1"/>
    <s v="iPad"/>
    <n v="1154"/>
    <n v="55"/>
    <x v="1"/>
    <x v="20"/>
    <x v="0"/>
  </r>
  <r>
    <n v="1342680"/>
    <x v="14"/>
    <x v="10"/>
    <n v="4.4000000000000004"/>
    <x v="2"/>
    <d v="2024-10-14T18:39:00"/>
    <x v="3"/>
    <x v="0"/>
    <x v="0"/>
    <b v="0"/>
    <s v="iPad"/>
    <n v="696"/>
    <n v="14"/>
    <x v="0"/>
    <x v="15"/>
    <x v="1"/>
  </r>
  <r>
    <n v="7479665"/>
    <x v="7"/>
    <x v="10"/>
    <n v="1.5"/>
    <x v="0"/>
    <d v="2025-01-04T19:54:00"/>
    <x v="6"/>
    <x v="3"/>
    <x v="1"/>
    <b v="1"/>
    <s v="iOS"/>
    <n v="59"/>
    <n v="70"/>
    <x v="2"/>
    <x v="2"/>
    <x v="0"/>
  </r>
  <r>
    <n v="9071681"/>
    <x v="9"/>
    <x v="12"/>
    <n v="3.1"/>
    <x v="1"/>
    <d v="2024-03-03T09:36:00"/>
    <x v="4"/>
    <x v="2"/>
    <x v="0"/>
    <b v="1"/>
    <s v="iPad"/>
    <n v="527"/>
    <n v="38"/>
    <x v="1"/>
    <x v="11"/>
    <x v="0"/>
  </r>
  <r>
    <n v="2323802"/>
    <x v="5"/>
    <x v="8"/>
    <n v="1.2"/>
    <x v="0"/>
    <d v="2024-09-09T18:15:00"/>
    <x v="3"/>
    <x v="10"/>
    <x v="0"/>
    <b v="1"/>
    <s v="iPad"/>
    <n v="1231"/>
    <n v="32"/>
    <x v="1"/>
    <x v="15"/>
    <x v="1"/>
  </r>
  <r>
    <n v="1325651"/>
    <x v="34"/>
    <x v="16"/>
    <n v="1"/>
    <x v="0"/>
    <d v="2023-12-31T10:43:00"/>
    <x v="4"/>
    <x v="7"/>
    <x v="2"/>
    <b v="1"/>
    <s v="Android Tablet"/>
    <n v="782"/>
    <n v="28"/>
    <x v="1"/>
    <x v="21"/>
    <x v="0"/>
  </r>
  <r>
    <n v="7348007"/>
    <x v="38"/>
    <x v="10"/>
    <n v="1.8"/>
    <x v="0"/>
    <d v="2023-12-29T05:57:00"/>
    <x v="1"/>
    <x v="7"/>
    <x v="2"/>
    <b v="0"/>
    <s v="Windows Phone"/>
    <n v="15"/>
    <n v="65"/>
    <x v="2"/>
    <x v="5"/>
    <x v="0"/>
  </r>
  <r>
    <n v="7094575"/>
    <x v="4"/>
    <x v="12"/>
    <n v="1.7"/>
    <x v="0"/>
    <d v="2025-03-28T12:45:00"/>
    <x v="1"/>
    <x v="2"/>
    <x v="1"/>
    <b v="0"/>
    <s v="Windows Phone"/>
    <n v="196"/>
    <n v="49"/>
    <x v="1"/>
    <x v="16"/>
    <x v="1"/>
  </r>
  <r>
    <n v="9933367"/>
    <x v="16"/>
    <x v="6"/>
    <n v="1.4"/>
    <x v="0"/>
    <d v="2024-05-18T03:56:00"/>
    <x v="6"/>
    <x v="5"/>
    <x v="0"/>
    <b v="1"/>
    <s v="iOS"/>
    <n v="520"/>
    <n v="67"/>
    <x v="2"/>
    <x v="5"/>
    <x v="0"/>
  </r>
  <r>
    <n v="1801879"/>
    <x v="10"/>
    <x v="2"/>
    <n v="2.1"/>
    <x v="3"/>
    <d v="2023-09-13T11:07:00"/>
    <x v="0"/>
    <x v="10"/>
    <x v="2"/>
    <b v="0"/>
    <s v="iPad"/>
    <n v="626"/>
    <n v="17"/>
    <x v="0"/>
    <x v="19"/>
    <x v="1"/>
  </r>
  <r>
    <n v="3455347"/>
    <x v="14"/>
    <x v="12"/>
    <n v="1.1000000000000001"/>
    <x v="0"/>
    <d v="2024-01-24T17:23:00"/>
    <x v="0"/>
    <x v="3"/>
    <x v="0"/>
    <b v="1"/>
    <s v="iOS"/>
    <n v="52"/>
    <n v="35"/>
    <x v="1"/>
    <x v="5"/>
    <x v="1"/>
  </r>
  <r>
    <n v="4445732"/>
    <x v="21"/>
    <x v="15"/>
    <n v="1.4"/>
    <x v="0"/>
    <d v="2024-02-15T05:17:00"/>
    <x v="2"/>
    <x v="8"/>
    <x v="0"/>
    <b v="1"/>
    <s v="Android Tablet"/>
    <n v="803"/>
    <n v="48"/>
    <x v="1"/>
    <x v="20"/>
    <x v="1"/>
  </r>
  <r>
    <n v="488196"/>
    <x v="23"/>
    <x v="5"/>
    <n v="4.5"/>
    <x v="2"/>
    <d v="2023-09-07T04:26:00"/>
    <x v="2"/>
    <x v="10"/>
    <x v="2"/>
    <b v="1"/>
    <s v="iPad"/>
    <n v="488"/>
    <n v="16"/>
    <x v="0"/>
    <x v="2"/>
    <x v="0"/>
  </r>
  <r>
    <n v="1326138"/>
    <x v="21"/>
    <x v="11"/>
    <n v="4.5999999999999996"/>
    <x v="2"/>
    <d v="2024-04-07T06:45:00"/>
    <x v="4"/>
    <x v="6"/>
    <x v="0"/>
    <b v="1"/>
    <s v="Android Tablet"/>
    <n v="999"/>
    <n v="23"/>
    <x v="1"/>
    <x v="10"/>
    <x v="1"/>
  </r>
  <r>
    <n v="5593884"/>
    <x v="25"/>
    <x v="2"/>
    <n v="3.2"/>
    <x v="1"/>
    <d v="2025-06-07T01:25:00"/>
    <x v="6"/>
    <x v="1"/>
    <x v="1"/>
    <b v="1"/>
    <s v="Windows Phone"/>
    <n v="105"/>
    <n v="26"/>
    <x v="1"/>
    <x v="9"/>
    <x v="1"/>
  </r>
  <r>
    <n v="5144815"/>
    <x v="18"/>
    <x v="15"/>
    <n v="3.5"/>
    <x v="1"/>
    <d v="2023-08-08T01:57:00"/>
    <x v="5"/>
    <x v="9"/>
    <x v="2"/>
    <b v="1"/>
    <s v="Windows Phone"/>
    <n v="1042"/>
    <n v="36"/>
    <x v="1"/>
    <x v="5"/>
    <x v="0"/>
  </r>
  <r>
    <n v="9159463"/>
    <x v="34"/>
    <x v="2"/>
    <n v="2.4"/>
    <x v="3"/>
    <d v="2023-11-06T14:46:00"/>
    <x v="3"/>
    <x v="4"/>
    <x v="2"/>
    <b v="1"/>
    <s v="Android"/>
    <n v="95"/>
    <n v="31"/>
    <x v="1"/>
    <x v="10"/>
    <x v="0"/>
  </r>
  <r>
    <n v="8735804"/>
    <x v="4"/>
    <x v="12"/>
    <n v="1.4"/>
    <x v="0"/>
    <d v="2024-12-26T10:46:00"/>
    <x v="2"/>
    <x v="7"/>
    <x v="0"/>
    <b v="1"/>
    <s v="Android Tablet"/>
    <n v="436"/>
    <n v="60"/>
    <x v="1"/>
    <x v="7"/>
    <x v="1"/>
  </r>
  <r>
    <n v="4509130"/>
    <x v="10"/>
    <x v="10"/>
    <n v="3.8"/>
    <x v="1"/>
    <d v="2024-09-07T01:17:00"/>
    <x v="6"/>
    <x v="10"/>
    <x v="0"/>
    <b v="1"/>
    <s v="Android Tablet"/>
    <n v="463"/>
    <n v="18"/>
    <x v="1"/>
    <x v="17"/>
    <x v="0"/>
  </r>
  <r>
    <n v="7255726"/>
    <x v="38"/>
    <x v="9"/>
    <n v="4.8"/>
    <x v="2"/>
    <d v="2024-12-11T18:16:00"/>
    <x v="0"/>
    <x v="7"/>
    <x v="0"/>
    <b v="1"/>
    <s v="Android Tablet"/>
    <n v="459"/>
    <n v="24"/>
    <x v="1"/>
    <x v="10"/>
    <x v="0"/>
  </r>
  <r>
    <n v="3910526"/>
    <x v="16"/>
    <x v="15"/>
    <n v="3.3"/>
    <x v="1"/>
    <d v="2023-11-26T18:17:00"/>
    <x v="4"/>
    <x v="4"/>
    <x v="2"/>
    <b v="1"/>
    <s v="Windows Phone"/>
    <n v="1206"/>
    <n v="40"/>
    <x v="1"/>
    <x v="5"/>
    <x v="0"/>
  </r>
  <r>
    <n v="9001345"/>
    <x v="23"/>
    <x v="16"/>
    <n v="1.3"/>
    <x v="0"/>
    <d v="2024-09-11T16:37:00"/>
    <x v="0"/>
    <x v="10"/>
    <x v="0"/>
    <b v="1"/>
    <s v="Windows Phone"/>
    <n v="914"/>
    <n v="57"/>
    <x v="1"/>
    <x v="14"/>
    <x v="1"/>
  </r>
  <r>
    <n v="9044877"/>
    <x v="38"/>
    <x v="7"/>
    <n v="1.3"/>
    <x v="0"/>
    <d v="2024-05-08T13:28:00"/>
    <x v="0"/>
    <x v="5"/>
    <x v="0"/>
    <b v="1"/>
    <s v="Android Tablet"/>
    <n v="866"/>
    <n v="57"/>
    <x v="1"/>
    <x v="6"/>
    <x v="1"/>
  </r>
  <r>
    <n v="3895970"/>
    <x v="2"/>
    <x v="8"/>
    <n v="4.4000000000000004"/>
    <x v="2"/>
    <d v="2025-05-16T20:11:00"/>
    <x v="1"/>
    <x v="5"/>
    <x v="1"/>
    <b v="0"/>
    <s v="Android"/>
    <n v="98"/>
    <n v="34"/>
    <x v="1"/>
    <x v="1"/>
    <x v="0"/>
  </r>
  <r>
    <n v="2650993"/>
    <x v="33"/>
    <x v="5"/>
    <n v="2.2000000000000002"/>
    <x v="3"/>
    <d v="2024-09-23T22:43:00"/>
    <x v="3"/>
    <x v="10"/>
    <x v="0"/>
    <b v="0"/>
    <s v="Android"/>
    <n v="280"/>
    <n v="74"/>
    <x v="2"/>
    <x v="5"/>
    <x v="1"/>
  </r>
  <r>
    <n v="7167639"/>
    <x v="28"/>
    <x v="10"/>
    <n v="4.5999999999999996"/>
    <x v="2"/>
    <d v="2025-06-25T01:41:00"/>
    <x v="0"/>
    <x v="1"/>
    <x v="1"/>
    <b v="1"/>
    <s v="Windows Phone"/>
    <n v="1001"/>
    <n v="37"/>
    <x v="1"/>
    <x v="22"/>
    <x v="1"/>
  </r>
  <r>
    <n v="4316604"/>
    <x v="22"/>
    <x v="9"/>
    <n v="2.9"/>
    <x v="3"/>
    <d v="2025-02-01T01:30:00"/>
    <x v="6"/>
    <x v="8"/>
    <x v="1"/>
    <b v="1"/>
    <s v="iOS"/>
    <n v="520"/>
    <n v="20"/>
    <x v="1"/>
    <x v="4"/>
    <x v="0"/>
  </r>
  <r>
    <n v="1220966"/>
    <x v="39"/>
    <x v="8"/>
    <n v="2"/>
    <x v="3"/>
    <d v="2023-09-15T21:03:00"/>
    <x v="1"/>
    <x v="10"/>
    <x v="2"/>
    <b v="0"/>
    <s v="Android"/>
    <n v="62"/>
    <n v="60"/>
    <x v="1"/>
    <x v="16"/>
    <x v="0"/>
  </r>
  <r>
    <n v="6984958"/>
    <x v="37"/>
    <x v="9"/>
    <n v="2"/>
    <x v="3"/>
    <d v="2023-11-17T20:31:00"/>
    <x v="1"/>
    <x v="4"/>
    <x v="2"/>
    <b v="1"/>
    <s v="Android Tablet"/>
    <n v="278"/>
    <n v="61"/>
    <x v="2"/>
    <x v="3"/>
    <x v="1"/>
  </r>
  <r>
    <n v="8168702"/>
    <x v="6"/>
    <x v="9"/>
    <n v="2.9"/>
    <x v="3"/>
    <d v="2025-02-14T18:18:00"/>
    <x v="1"/>
    <x v="8"/>
    <x v="1"/>
    <b v="0"/>
    <s v="Android Tablet"/>
    <n v="708"/>
    <n v="54"/>
    <x v="1"/>
    <x v="2"/>
    <x v="0"/>
  </r>
  <r>
    <n v="9930269"/>
    <x v="35"/>
    <x v="4"/>
    <n v="2.8"/>
    <x v="3"/>
    <d v="2025-01-04T01:58:00"/>
    <x v="6"/>
    <x v="3"/>
    <x v="1"/>
    <b v="1"/>
    <s v="iPad"/>
    <n v="913"/>
    <n v="56"/>
    <x v="1"/>
    <x v="7"/>
    <x v="1"/>
  </r>
  <r>
    <n v="3868723"/>
    <x v="28"/>
    <x v="13"/>
    <n v="3.5"/>
    <x v="1"/>
    <d v="2023-08-10T22:02:00"/>
    <x v="2"/>
    <x v="9"/>
    <x v="2"/>
    <b v="1"/>
    <s v="iPad"/>
    <n v="671"/>
    <n v="75"/>
    <x v="2"/>
    <x v="13"/>
    <x v="0"/>
  </r>
  <r>
    <n v="8404320"/>
    <x v="12"/>
    <x v="9"/>
    <n v="1.1000000000000001"/>
    <x v="0"/>
    <d v="2024-01-19T20:03:00"/>
    <x v="1"/>
    <x v="3"/>
    <x v="0"/>
    <b v="1"/>
    <s v="Windows Phone"/>
    <n v="252"/>
    <n v="14"/>
    <x v="0"/>
    <x v="20"/>
    <x v="1"/>
  </r>
  <r>
    <n v="8284965"/>
    <x v="25"/>
    <x v="6"/>
    <n v="2.9"/>
    <x v="3"/>
    <d v="2024-10-09T08:44:00"/>
    <x v="0"/>
    <x v="0"/>
    <x v="0"/>
    <b v="1"/>
    <s v="iPad"/>
    <n v="130"/>
    <n v="24"/>
    <x v="1"/>
    <x v="5"/>
    <x v="0"/>
  </r>
  <r>
    <n v="8806817"/>
    <x v="33"/>
    <x v="9"/>
    <n v="3.5"/>
    <x v="1"/>
    <d v="2024-10-19T05:00:00"/>
    <x v="6"/>
    <x v="0"/>
    <x v="0"/>
    <b v="1"/>
    <s v="Windows Phone"/>
    <n v="61"/>
    <n v="74"/>
    <x v="2"/>
    <x v="18"/>
    <x v="1"/>
  </r>
  <r>
    <n v="7344357"/>
    <x v="29"/>
    <x v="4"/>
    <n v="2.8"/>
    <x v="3"/>
    <d v="2025-04-27T12:34:00"/>
    <x v="4"/>
    <x v="6"/>
    <x v="1"/>
    <b v="0"/>
    <s v="Android Tablet"/>
    <n v="1002"/>
    <n v="26"/>
    <x v="1"/>
    <x v="7"/>
    <x v="1"/>
  </r>
  <r>
    <n v="5872196"/>
    <x v="20"/>
    <x v="1"/>
    <n v="3.7"/>
    <x v="1"/>
    <d v="2024-04-30T13:53:00"/>
    <x v="5"/>
    <x v="6"/>
    <x v="0"/>
    <b v="1"/>
    <s v="Android"/>
    <n v="375"/>
    <n v="56"/>
    <x v="1"/>
    <x v="1"/>
    <x v="1"/>
  </r>
  <r>
    <n v="5544414"/>
    <x v="16"/>
    <x v="17"/>
    <n v="2"/>
    <x v="3"/>
    <d v="2024-07-21T18:37:00"/>
    <x v="4"/>
    <x v="11"/>
    <x v="0"/>
    <b v="0"/>
    <s v="Android Tablet"/>
    <n v="1045"/>
    <n v="42"/>
    <x v="1"/>
    <x v="15"/>
    <x v="1"/>
  </r>
  <r>
    <n v="3612830"/>
    <x v="33"/>
    <x v="5"/>
    <n v="2.2999999999999998"/>
    <x v="3"/>
    <d v="2024-10-07T15:51:00"/>
    <x v="3"/>
    <x v="0"/>
    <x v="0"/>
    <b v="0"/>
    <s v="Windows Phone"/>
    <n v="374"/>
    <n v="75"/>
    <x v="2"/>
    <x v="23"/>
    <x v="1"/>
  </r>
  <r>
    <n v="9130080"/>
    <x v="38"/>
    <x v="13"/>
    <n v="2.9"/>
    <x v="3"/>
    <d v="2025-03-09T03:01:00"/>
    <x v="4"/>
    <x v="2"/>
    <x v="1"/>
    <b v="1"/>
    <s v="iPad"/>
    <n v="688"/>
    <n v="48"/>
    <x v="1"/>
    <x v="12"/>
    <x v="0"/>
  </r>
  <r>
    <n v="2927685"/>
    <x v="7"/>
    <x v="11"/>
    <n v="4.0999999999999996"/>
    <x v="2"/>
    <d v="2024-10-08T18:46:00"/>
    <x v="5"/>
    <x v="0"/>
    <x v="0"/>
    <b v="1"/>
    <s v="iOS"/>
    <n v="1245"/>
    <n v="72"/>
    <x v="2"/>
    <x v="2"/>
    <x v="0"/>
  </r>
  <r>
    <n v="6888683"/>
    <x v="0"/>
    <x v="6"/>
    <n v="2.1"/>
    <x v="3"/>
    <d v="2025-05-23T19:24:00"/>
    <x v="1"/>
    <x v="5"/>
    <x v="1"/>
    <b v="1"/>
    <s v="Windows Phone"/>
    <n v="836"/>
    <n v="75"/>
    <x v="2"/>
    <x v="2"/>
    <x v="0"/>
  </r>
  <r>
    <n v="1838556"/>
    <x v="36"/>
    <x v="14"/>
    <n v="4.8"/>
    <x v="2"/>
    <d v="2025-05-18T05:11:00"/>
    <x v="4"/>
    <x v="5"/>
    <x v="1"/>
    <b v="0"/>
    <s v="Windows Phone"/>
    <n v="799"/>
    <n v="17"/>
    <x v="0"/>
    <x v="18"/>
    <x v="0"/>
  </r>
  <r>
    <n v="5031029"/>
    <x v="3"/>
    <x v="1"/>
    <n v="2.8"/>
    <x v="3"/>
    <d v="2024-11-19T08:03:00"/>
    <x v="5"/>
    <x v="4"/>
    <x v="0"/>
    <b v="1"/>
    <s v="Android Tablet"/>
    <n v="148"/>
    <n v="63"/>
    <x v="2"/>
    <x v="12"/>
    <x v="1"/>
  </r>
  <r>
    <n v="1479281"/>
    <x v="33"/>
    <x v="15"/>
    <n v="2.2999999999999998"/>
    <x v="3"/>
    <d v="2024-04-08T09:49:00"/>
    <x v="3"/>
    <x v="6"/>
    <x v="0"/>
    <b v="1"/>
    <s v="Android"/>
    <n v="654"/>
    <n v="31"/>
    <x v="1"/>
    <x v="14"/>
    <x v="1"/>
  </r>
  <r>
    <n v="7524522"/>
    <x v="28"/>
    <x v="3"/>
    <n v="4"/>
    <x v="1"/>
    <d v="2025-05-03T13:19:00"/>
    <x v="6"/>
    <x v="5"/>
    <x v="1"/>
    <b v="1"/>
    <s v="Android Tablet"/>
    <n v="211"/>
    <n v="75"/>
    <x v="2"/>
    <x v="17"/>
    <x v="0"/>
  </r>
  <r>
    <n v="4693405"/>
    <x v="40"/>
    <x v="13"/>
    <n v="4.0999999999999996"/>
    <x v="2"/>
    <d v="2023-08-21T08:26:00"/>
    <x v="3"/>
    <x v="9"/>
    <x v="2"/>
    <b v="1"/>
    <s v="Android Tablet"/>
    <n v="389"/>
    <n v="42"/>
    <x v="1"/>
    <x v="18"/>
    <x v="0"/>
  </r>
  <r>
    <n v="3865958"/>
    <x v="6"/>
    <x v="16"/>
    <n v="3"/>
    <x v="3"/>
    <d v="2025-05-09T01:56:00"/>
    <x v="1"/>
    <x v="5"/>
    <x v="1"/>
    <b v="0"/>
    <s v="iPad"/>
    <n v="686"/>
    <n v="75"/>
    <x v="2"/>
    <x v="20"/>
    <x v="1"/>
  </r>
  <r>
    <n v="3773793"/>
    <x v="25"/>
    <x v="2"/>
    <n v="1.9"/>
    <x v="0"/>
    <d v="2024-02-07T10:45:00"/>
    <x v="0"/>
    <x v="8"/>
    <x v="0"/>
    <b v="1"/>
    <s v="iOS"/>
    <n v="302"/>
    <n v="38"/>
    <x v="1"/>
    <x v="14"/>
    <x v="0"/>
  </r>
  <r>
    <n v="4188275"/>
    <x v="27"/>
    <x v="5"/>
    <n v="2.6"/>
    <x v="3"/>
    <d v="2023-08-17T00:19:00"/>
    <x v="2"/>
    <x v="9"/>
    <x v="2"/>
    <b v="0"/>
    <s v="Android Tablet"/>
    <n v="918"/>
    <n v="24"/>
    <x v="1"/>
    <x v="0"/>
    <x v="0"/>
  </r>
  <r>
    <n v="9630896"/>
    <x v="1"/>
    <x v="5"/>
    <n v="2.8"/>
    <x v="3"/>
    <d v="2025-01-27T11:24:00"/>
    <x v="3"/>
    <x v="3"/>
    <x v="1"/>
    <b v="1"/>
    <s v="iOS"/>
    <n v="669"/>
    <n v="31"/>
    <x v="1"/>
    <x v="10"/>
    <x v="1"/>
  </r>
  <r>
    <n v="1721038"/>
    <x v="21"/>
    <x v="6"/>
    <n v="4.8"/>
    <x v="2"/>
    <d v="2025-07-13T12:08:00"/>
    <x v="4"/>
    <x v="11"/>
    <x v="1"/>
    <b v="1"/>
    <s v="Android"/>
    <n v="586"/>
    <n v="18"/>
    <x v="1"/>
    <x v="14"/>
    <x v="1"/>
  </r>
  <r>
    <n v="8081554"/>
    <x v="16"/>
    <x v="2"/>
    <n v="2.4"/>
    <x v="3"/>
    <d v="2024-01-21T20:03:00"/>
    <x v="4"/>
    <x v="3"/>
    <x v="0"/>
    <b v="1"/>
    <s v="iPad"/>
    <n v="783"/>
    <n v="75"/>
    <x v="2"/>
    <x v="18"/>
    <x v="1"/>
  </r>
  <r>
    <n v="7821526"/>
    <x v="6"/>
    <x v="10"/>
    <n v="1.8"/>
    <x v="0"/>
    <d v="2023-11-12T11:01:00"/>
    <x v="4"/>
    <x v="4"/>
    <x v="2"/>
    <b v="1"/>
    <s v="iOS"/>
    <n v="826"/>
    <n v="31"/>
    <x v="1"/>
    <x v="23"/>
    <x v="0"/>
  </r>
  <r>
    <n v="2804608"/>
    <x v="28"/>
    <x v="13"/>
    <n v="4.9000000000000004"/>
    <x v="2"/>
    <d v="2024-12-17T06:54:00"/>
    <x v="5"/>
    <x v="7"/>
    <x v="0"/>
    <b v="1"/>
    <s v="Windows Phone"/>
    <n v="1148"/>
    <n v="19"/>
    <x v="1"/>
    <x v="2"/>
    <x v="1"/>
  </r>
  <r>
    <n v="2104878"/>
    <x v="7"/>
    <x v="0"/>
    <n v="5"/>
    <x v="2"/>
    <d v="2024-04-14T14:05:00"/>
    <x v="4"/>
    <x v="6"/>
    <x v="0"/>
    <b v="1"/>
    <s v="iPad"/>
    <n v="899"/>
    <n v="27"/>
    <x v="1"/>
    <x v="10"/>
    <x v="0"/>
  </r>
  <r>
    <n v="1679766"/>
    <x v="32"/>
    <x v="2"/>
    <n v="3.3"/>
    <x v="1"/>
    <d v="2025-03-06T19:55:00"/>
    <x v="2"/>
    <x v="2"/>
    <x v="1"/>
    <b v="1"/>
    <s v="iPad"/>
    <n v="1000"/>
    <n v="30"/>
    <x v="1"/>
    <x v="14"/>
    <x v="1"/>
  </r>
  <r>
    <n v="6360367"/>
    <x v="2"/>
    <x v="1"/>
    <n v="1.5"/>
    <x v="0"/>
    <d v="2023-10-14T01:08:00"/>
    <x v="6"/>
    <x v="0"/>
    <x v="2"/>
    <b v="1"/>
    <s v="Windows Phone"/>
    <n v="387"/>
    <n v="64"/>
    <x v="2"/>
    <x v="4"/>
    <x v="0"/>
  </r>
  <r>
    <n v="3340681"/>
    <x v="29"/>
    <x v="0"/>
    <n v="3.2"/>
    <x v="1"/>
    <d v="2024-11-11T15:11:00"/>
    <x v="3"/>
    <x v="4"/>
    <x v="0"/>
    <b v="1"/>
    <s v="Windows Phone"/>
    <n v="453"/>
    <n v="25"/>
    <x v="1"/>
    <x v="16"/>
    <x v="1"/>
  </r>
  <r>
    <n v="4117327"/>
    <x v="16"/>
    <x v="15"/>
    <n v="4.9000000000000004"/>
    <x v="2"/>
    <d v="2025-04-26T21:58:00"/>
    <x v="6"/>
    <x v="6"/>
    <x v="1"/>
    <b v="1"/>
    <s v="Android"/>
    <n v="1076"/>
    <n v="56"/>
    <x v="1"/>
    <x v="11"/>
    <x v="1"/>
  </r>
  <r>
    <n v="9545517"/>
    <x v="13"/>
    <x v="5"/>
    <n v="4.4000000000000004"/>
    <x v="2"/>
    <d v="2023-10-20T21:42:00"/>
    <x v="1"/>
    <x v="0"/>
    <x v="2"/>
    <b v="1"/>
    <s v="iOS"/>
    <n v="473"/>
    <n v="20"/>
    <x v="1"/>
    <x v="1"/>
    <x v="1"/>
  </r>
  <r>
    <n v="6623126"/>
    <x v="17"/>
    <x v="16"/>
    <n v="2.5"/>
    <x v="3"/>
    <d v="2025-03-03T18:02:00"/>
    <x v="3"/>
    <x v="2"/>
    <x v="1"/>
    <b v="1"/>
    <s v="Android Tablet"/>
    <n v="885"/>
    <n v="28"/>
    <x v="1"/>
    <x v="14"/>
    <x v="0"/>
  </r>
  <r>
    <n v="9063934"/>
    <x v="15"/>
    <x v="13"/>
    <n v="4.5"/>
    <x v="2"/>
    <d v="2023-08-22T14:20:00"/>
    <x v="5"/>
    <x v="9"/>
    <x v="2"/>
    <b v="1"/>
    <s v="Android"/>
    <n v="191"/>
    <n v="17"/>
    <x v="0"/>
    <x v="22"/>
    <x v="0"/>
  </r>
  <r>
    <n v="6001647"/>
    <x v="4"/>
    <x v="12"/>
    <n v="1.1000000000000001"/>
    <x v="0"/>
    <d v="2025-01-24T22:47:00"/>
    <x v="1"/>
    <x v="3"/>
    <x v="1"/>
    <b v="1"/>
    <s v="Android"/>
    <n v="422"/>
    <n v="54"/>
    <x v="1"/>
    <x v="3"/>
    <x v="1"/>
  </r>
  <r>
    <n v="3698598"/>
    <x v="20"/>
    <x v="3"/>
    <n v="4.8"/>
    <x v="2"/>
    <d v="2023-10-16T12:03:00"/>
    <x v="3"/>
    <x v="0"/>
    <x v="2"/>
    <b v="1"/>
    <s v="Android Tablet"/>
    <n v="531"/>
    <n v="13"/>
    <x v="0"/>
    <x v="20"/>
    <x v="1"/>
  </r>
  <r>
    <n v="3215619"/>
    <x v="39"/>
    <x v="4"/>
    <n v="1.3"/>
    <x v="0"/>
    <d v="2025-06-23T23:48:00"/>
    <x v="3"/>
    <x v="1"/>
    <x v="1"/>
    <b v="1"/>
    <s v="Android Tablet"/>
    <n v="573"/>
    <n v="26"/>
    <x v="1"/>
    <x v="22"/>
    <x v="0"/>
  </r>
  <r>
    <n v="5473918"/>
    <x v="4"/>
    <x v="10"/>
    <n v="1.5"/>
    <x v="0"/>
    <d v="2023-09-26T13:12:00"/>
    <x v="5"/>
    <x v="10"/>
    <x v="2"/>
    <b v="0"/>
    <s v="Android"/>
    <n v="871"/>
    <n v="70"/>
    <x v="2"/>
    <x v="19"/>
    <x v="0"/>
  </r>
  <r>
    <n v="3515979"/>
    <x v="35"/>
    <x v="13"/>
    <n v="4.7"/>
    <x v="2"/>
    <d v="2024-08-19T13:40:00"/>
    <x v="3"/>
    <x v="9"/>
    <x v="0"/>
    <b v="1"/>
    <s v="Android Tablet"/>
    <n v="800"/>
    <n v="33"/>
    <x v="1"/>
    <x v="17"/>
    <x v="1"/>
  </r>
  <r>
    <n v="2051710"/>
    <x v="21"/>
    <x v="14"/>
    <n v="4.9000000000000004"/>
    <x v="2"/>
    <d v="2024-05-29T17:38:00"/>
    <x v="0"/>
    <x v="5"/>
    <x v="0"/>
    <b v="1"/>
    <s v="Windows Phone"/>
    <n v="438"/>
    <n v="43"/>
    <x v="1"/>
    <x v="20"/>
    <x v="1"/>
  </r>
  <r>
    <n v="4230100"/>
    <x v="13"/>
    <x v="7"/>
    <n v="1.2"/>
    <x v="0"/>
    <d v="2025-01-22T11:29:00"/>
    <x v="0"/>
    <x v="3"/>
    <x v="1"/>
    <b v="0"/>
    <s v="Windows Phone"/>
    <n v="412"/>
    <n v="18"/>
    <x v="1"/>
    <x v="10"/>
    <x v="0"/>
  </r>
  <r>
    <n v="7635120"/>
    <x v="7"/>
    <x v="4"/>
    <n v="3"/>
    <x v="3"/>
    <d v="2023-11-08T23:43:00"/>
    <x v="0"/>
    <x v="4"/>
    <x v="2"/>
    <b v="0"/>
    <s v="iPad"/>
    <n v="4"/>
    <n v="65"/>
    <x v="2"/>
    <x v="8"/>
    <x v="0"/>
  </r>
  <r>
    <n v="8296287"/>
    <x v="25"/>
    <x v="10"/>
    <n v="3"/>
    <x v="3"/>
    <d v="2023-09-21T12:44:00"/>
    <x v="2"/>
    <x v="10"/>
    <x v="2"/>
    <b v="1"/>
    <s v="Windows Phone"/>
    <n v="458"/>
    <n v="38"/>
    <x v="1"/>
    <x v="19"/>
    <x v="0"/>
  </r>
  <r>
    <n v="9108353"/>
    <x v="0"/>
    <x v="0"/>
    <n v="1.4"/>
    <x v="0"/>
    <d v="2024-04-11T03:51:00"/>
    <x v="2"/>
    <x v="6"/>
    <x v="0"/>
    <b v="1"/>
    <s v="Android"/>
    <n v="490"/>
    <n v="54"/>
    <x v="1"/>
    <x v="16"/>
    <x v="1"/>
  </r>
  <r>
    <n v="4403341"/>
    <x v="8"/>
    <x v="8"/>
    <n v="1.6"/>
    <x v="0"/>
    <d v="2025-06-18T17:51:00"/>
    <x v="0"/>
    <x v="1"/>
    <x v="1"/>
    <b v="1"/>
    <s v="iOS"/>
    <n v="371"/>
    <n v="27"/>
    <x v="1"/>
    <x v="6"/>
    <x v="1"/>
  </r>
  <r>
    <n v="1502709"/>
    <x v="7"/>
    <x v="7"/>
    <n v="2.8"/>
    <x v="3"/>
    <d v="2025-03-15T03:52:00"/>
    <x v="6"/>
    <x v="2"/>
    <x v="1"/>
    <b v="0"/>
    <s v="iPad"/>
    <n v="218"/>
    <n v="52"/>
    <x v="1"/>
    <x v="2"/>
    <x v="1"/>
  </r>
  <r>
    <n v="3270380"/>
    <x v="32"/>
    <x v="11"/>
    <n v="3.1"/>
    <x v="1"/>
    <d v="2024-04-17T18:29:00"/>
    <x v="0"/>
    <x v="6"/>
    <x v="0"/>
    <b v="0"/>
    <s v="iOS"/>
    <n v="540"/>
    <n v="48"/>
    <x v="1"/>
    <x v="15"/>
    <x v="1"/>
  </r>
  <r>
    <n v="1264051"/>
    <x v="6"/>
    <x v="17"/>
    <n v="3.6"/>
    <x v="1"/>
    <d v="2025-05-16T23:36:00"/>
    <x v="1"/>
    <x v="5"/>
    <x v="1"/>
    <b v="1"/>
    <s v="Android Tablet"/>
    <n v="436"/>
    <n v="61"/>
    <x v="2"/>
    <x v="2"/>
    <x v="1"/>
  </r>
  <r>
    <n v="6495699"/>
    <x v="7"/>
    <x v="8"/>
    <n v="4.8"/>
    <x v="2"/>
    <d v="2023-11-01T19:22:00"/>
    <x v="0"/>
    <x v="4"/>
    <x v="2"/>
    <b v="1"/>
    <s v="iOS"/>
    <n v="1178"/>
    <n v="55"/>
    <x v="1"/>
    <x v="12"/>
    <x v="1"/>
  </r>
  <r>
    <n v="6576923"/>
    <x v="30"/>
    <x v="3"/>
    <n v="3.2"/>
    <x v="1"/>
    <d v="2023-12-03T09:35:00"/>
    <x v="4"/>
    <x v="7"/>
    <x v="2"/>
    <b v="1"/>
    <s v="Android Tablet"/>
    <n v="980"/>
    <n v="14"/>
    <x v="0"/>
    <x v="13"/>
    <x v="1"/>
  </r>
  <r>
    <n v="451266"/>
    <x v="14"/>
    <x v="12"/>
    <n v="4.4000000000000004"/>
    <x v="2"/>
    <d v="2024-07-01T05:13:00"/>
    <x v="3"/>
    <x v="11"/>
    <x v="0"/>
    <b v="1"/>
    <s v="iPad"/>
    <n v="946"/>
    <n v="37"/>
    <x v="1"/>
    <x v="21"/>
    <x v="0"/>
  </r>
  <r>
    <n v="7547286"/>
    <x v="38"/>
    <x v="11"/>
    <n v="3.6"/>
    <x v="1"/>
    <d v="2024-05-28T14:10:00"/>
    <x v="5"/>
    <x v="5"/>
    <x v="0"/>
    <b v="1"/>
    <s v="iOS"/>
    <n v="207"/>
    <n v="53"/>
    <x v="1"/>
    <x v="3"/>
    <x v="0"/>
  </r>
  <r>
    <n v="8070642"/>
    <x v="22"/>
    <x v="11"/>
    <n v="5"/>
    <x v="2"/>
    <d v="2024-04-19T21:25:00"/>
    <x v="1"/>
    <x v="6"/>
    <x v="0"/>
    <b v="0"/>
    <s v="iOS"/>
    <n v="873"/>
    <n v="65"/>
    <x v="2"/>
    <x v="1"/>
    <x v="1"/>
  </r>
  <r>
    <n v="2781207"/>
    <x v="11"/>
    <x v="7"/>
    <n v="2.9"/>
    <x v="3"/>
    <d v="2025-06-30T13:31:00"/>
    <x v="3"/>
    <x v="1"/>
    <x v="1"/>
    <b v="1"/>
    <s v="Android"/>
    <n v="983"/>
    <n v="52"/>
    <x v="1"/>
    <x v="21"/>
    <x v="0"/>
  </r>
  <r>
    <n v="2838993"/>
    <x v="31"/>
    <x v="12"/>
    <n v="4.4000000000000004"/>
    <x v="2"/>
    <d v="2024-06-18T08:42:00"/>
    <x v="5"/>
    <x v="1"/>
    <x v="0"/>
    <b v="1"/>
    <s v="iOS"/>
    <n v="570"/>
    <n v="52"/>
    <x v="1"/>
    <x v="19"/>
    <x v="1"/>
  </r>
  <r>
    <n v="4339867"/>
    <x v="13"/>
    <x v="10"/>
    <n v="1.6"/>
    <x v="0"/>
    <d v="2023-12-28T00:38:00"/>
    <x v="2"/>
    <x v="7"/>
    <x v="2"/>
    <b v="1"/>
    <s v="iPad"/>
    <n v="41"/>
    <n v="29"/>
    <x v="1"/>
    <x v="0"/>
    <x v="1"/>
  </r>
  <r>
    <n v="4801744"/>
    <x v="6"/>
    <x v="1"/>
    <n v="3.5"/>
    <x v="1"/>
    <d v="2024-09-08T02:37:00"/>
    <x v="4"/>
    <x v="10"/>
    <x v="0"/>
    <b v="1"/>
    <s v="iOS"/>
    <n v="732"/>
    <n v="33"/>
    <x v="1"/>
    <x v="20"/>
    <x v="1"/>
  </r>
  <r>
    <n v="7785433"/>
    <x v="30"/>
    <x v="11"/>
    <n v="4.3"/>
    <x v="2"/>
    <d v="2024-12-25T01:22:00"/>
    <x v="0"/>
    <x v="7"/>
    <x v="0"/>
    <b v="1"/>
    <s v="Android Tablet"/>
    <n v="90"/>
    <n v="18"/>
    <x v="1"/>
    <x v="20"/>
    <x v="1"/>
  </r>
  <r>
    <n v="1875578"/>
    <x v="14"/>
    <x v="3"/>
    <n v="4.9000000000000004"/>
    <x v="2"/>
    <d v="2024-11-18T16:07:00"/>
    <x v="3"/>
    <x v="4"/>
    <x v="0"/>
    <b v="1"/>
    <s v="Windows Phone"/>
    <n v="160"/>
    <n v="41"/>
    <x v="1"/>
    <x v="5"/>
    <x v="1"/>
  </r>
  <r>
    <n v="6591120"/>
    <x v="39"/>
    <x v="9"/>
    <n v="4.0999999999999996"/>
    <x v="2"/>
    <d v="2024-04-05T17:51:00"/>
    <x v="1"/>
    <x v="6"/>
    <x v="0"/>
    <b v="0"/>
    <s v="iPad"/>
    <n v="829"/>
    <n v="64"/>
    <x v="2"/>
    <x v="17"/>
    <x v="1"/>
  </r>
  <r>
    <n v="2180547"/>
    <x v="13"/>
    <x v="3"/>
    <n v="4.7"/>
    <x v="2"/>
    <d v="2023-09-20T02:18:00"/>
    <x v="0"/>
    <x v="10"/>
    <x v="2"/>
    <b v="1"/>
    <s v="iOS"/>
    <n v="790"/>
    <n v="67"/>
    <x v="2"/>
    <x v="3"/>
    <x v="0"/>
  </r>
  <r>
    <n v="2606246"/>
    <x v="15"/>
    <x v="4"/>
    <n v="2.9"/>
    <x v="3"/>
    <d v="2024-06-06T02:46:00"/>
    <x v="2"/>
    <x v="1"/>
    <x v="0"/>
    <b v="1"/>
    <s v="Windows Phone"/>
    <n v="415"/>
    <n v="15"/>
    <x v="0"/>
    <x v="13"/>
    <x v="0"/>
  </r>
  <r>
    <n v="334044"/>
    <x v="27"/>
    <x v="16"/>
    <n v="2.9"/>
    <x v="3"/>
    <d v="2024-07-03T06:31:00"/>
    <x v="0"/>
    <x v="11"/>
    <x v="0"/>
    <b v="0"/>
    <s v="Windows Phone"/>
    <n v="608"/>
    <n v="52"/>
    <x v="1"/>
    <x v="0"/>
    <x v="0"/>
  </r>
  <r>
    <n v="5523780"/>
    <x v="35"/>
    <x v="13"/>
    <n v="1.1000000000000001"/>
    <x v="0"/>
    <d v="2025-01-30T06:19:00"/>
    <x v="2"/>
    <x v="3"/>
    <x v="1"/>
    <b v="1"/>
    <s v="iOS"/>
    <n v="1015"/>
    <n v="14"/>
    <x v="0"/>
    <x v="22"/>
    <x v="1"/>
  </r>
  <r>
    <n v="425432"/>
    <x v="17"/>
    <x v="6"/>
    <n v="1.7"/>
    <x v="0"/>
    <d v="2024-03-31T08:23:00"/>
    <x v="4"/>
    <x v="2"/>
    <x v="0"/>
    <b v="1"/>
    <s v="Windows Phone"/>
    <n v="112"/>
    <n v="42"/>
    <x v="1"/>
    <x v="6"/>
    <x v="0"/>
  </r>
  <r>
    <n v="1464116"/>
    <x v="19"/>
    <x v="6"/>
    <n v="3.6"/>
    <x v="1"/>
    <d v="2024-09-14T22:44:00"/>
    <x v="6"/>
    <x v="10"/>
    <x v="0"/>
    <b v="1"/>
    <s v="Android"/>
    <n v="107"/>
    <n v="59"/>
    <x v="1"/>
    <x v="0"/>
    <x v="0"/>
  </r>
  <r>
    <n v="3846911"/>
    <x v="9"/>
    <x v="17"/>
    <n v="4.3"/>
    <x v="2"/>
    <d v="2024-12-04T14:21:00"/>
    <x v="0"/>
    <x v="7"/>
    <x v="0"/>
    <b v="1"/>
    <s v="Android Tablet"/>
    <n v="1166"/>
    <n v="69"/>
    <x v="2"/>
    <x v="10"/>
    <x v="1"/>
  </r>
  <r>
    <n v="5589746"/>
    <x v="38"/>
    <x v="0"/>
    <n v="1.1000000000000001"/>
    <x v="0"/>
    <d v="2024-05-03T12:32:00"/>
    <x v="1"/>
    <x v="5"/>
    <x v="0"/>
    <b v="0"/>
    <s v="Android"/>
    <n v="833"/>
    <n v="30"/>
    <x v="1"/>
    <x v="6"/>
    <x v="0"/>
  </r>
  <r>
    <n v="4676112"/>
    <x v="36"/>
    <x v="17"/>
    <n v="4.7"/>
    <x v="2"/>
    <d v="2024-04-05T10:58:00"/>
    <x v="1"/>
    <x v="6"/>
    <x v="0"/>
    <b v="1"/>
    <s v="Windows Phone"/>
    <n v="383"/>
    <n v="16"/>
    <x v="0"/>
    <x v="22"/>
    <x v="1"/>
  </r>
  <r>
    <n v="7196616"/>
    <x v="9"/>
    <x v="5"/>
    <n v="3.9"/>
    <x v="1"/>
    <d v="2025-01-26T02:04:00"/>
    <x v="4"/>
    <x v="3"/>
    <x v="1"/>
    <b v="1"/>
    <s v="Android Tablet"/>
    <n v="266"/>
    <n v="37"/>
    <x v="1"/>
    <x v="9"/>
    <x v="0"/>
  </r>
  <r>
    <n v="5578399"/>
    <x v="21"/>
    <x v="14"/>
    <n v="3.4"/>
    <x v="1"/>
    <d v="2024-10-03T01:49:00"/>
    <x v="2"/>
    <x v="0"/>
    <x v="0"/>
    <b v="1"/>
    <s v="Android"/>
    <n v="858"/>
    <n v="64"/>
    <x v="2"/>
    <x v="14"/>
    <x v="1"/>
  </r>
  <r>
    <n v="6287806"/>
    <x v="5"/>
    <x v="11"/>
    <n v="4.9000000000000004"/>
    <x v="2"/>
    <d v="2023-11-18T23:32:00"/>
    <x v="6"/>
    <x v="4"/>
    <x v="2"/>
    <b v="1"/>
    <s v="Android Tablet"/>
    <n v="1175"/>
    <n v="73"/>
    <x v="2"/>
    <x v="2"/>
    <x v="1"/>
  </r>
  <r>
    <n v="7385667"/>
    <x v="20"/>
    <x v="9"/>
    <n v="1.2"/>
    <x v="0"/>
    <d v="2024-05-04T05:33:00"/>
    <x v="6"/>
    <x v="5"/>
    <x v="0"/>
    <b v="1"/>
    <s v="Android Tablet"/>
    <n v="395"/>
    <n v="19"/>
    <x v="1"/>
    <x v="12"/>
    <x v="1"/>
  </r>
  <r>
    <n v="6740569"/>
    <x v="28"/>
    <x v="2"/>
    <n v="1.8"/>
    <x v="0"/>
    <d v="2023-08-15T20:01:00"/>
    <x v="5"/>
    <x v="9"/>
    <x v="2"/>
    <b v="1"/>
    <s v="iPad"/>
    <n v="12"/>
    <n v="74"/>
    <x v="2"/>
    <x v="13"/>
    <x v="0"/>
  </r>
  <r>
    <n v="4959342"/>
    <x v="35"/>
    <x v="16"/>
    <n v="1.6"/>
    <x v="0"/>
    <d v="2024-08-17T04:51:00"/>
    <x v="6"/>
    <x v="9"/>
    <x v="0"/>
    <b v="1"/>
    <s v="Android"/>
    <n v="242"/>
    <n v="63"/>
    <x v="2"/>
    <x v="20"/>
    <x v="0"/>
  </r>
  <r>
    <n v="7061516"/>
    <x v="33"/>
    <x v="0"/>
    <n v="2.6"/>
    <x v="3"/>
    <d v="2024-10-01T02:24:00"/>
    <x v="5"/>
    <x v="0"/>
    <x v="0"/>
    <b v="1"/>
    <s v="Android Tablet"/>
    <n v="940"/>
    <n v="56"/>
    <x v="1"/>
    <x v="1"/>
    <x v="1"/>
  </r>
  <r>
    <n v="773270"/>
    <x v="40"/>
    <x v="3"/>
    <n v="2.5"/>
    <x v="3"/>
    <d v="2024-01-03T07:40:00"/>
    <x v="0"/>
    <x v="3"/>
    <x v="0"/>
    <b v="1"/>
    <s v="Android Tablet"/>
    <n v="742"/>
    <n v="60"/>
    <x v="1"/>
    <x v="11"/>
    <x v="0"/>
  </r>
  <r>
    <n v="704073"/>
    <x v="26"/>
    <x v="10"/>
    <n v="2"/>
    <x v="3"/>
    <d v="2024-01-10T02:04:00"/>
    <x v="0"/>
    <x v="3"/>
    <x v="0"/>
    <b v="1"/>
    <s v="Windows Phone"/>
    <n v="608"/>
    <n v="70"/>
    <x v="2"/>
    <x v="18"/>
    <x v="0"/>
  </r>
  <r>
    <n v="9876741"/>
    <x v="13"/>
    <x v="10"/>
    <n v="3.2"/>
    <x v="1"/>
    <d v="2024-08-16T14:39:00"/>
    <x v="1"/>
    <x v="9"/>
    <x v="0"/>
    <b v="1"/>
    <s v="Android"/>
    <n v="1005"/>
    <n v="58"/>
    <x v="1"/>
    <x v="21"/>
    <x v="1"/>
  </r>
  <r>
    <n v="5961649"/>
    <x v="13"/>
    <x v="0"/>
    <n v="3.4"/>
    <x v="1"/>
    <d v="2025-01-27T00:01:00"/>
    <x v="3"/>
    <x v="3"/>
    <x v="1"/>
    <b v="1"/>
    <s v="iOS"/>
    <n v="887"/>
    <n v="67"/>
    <x v="2"/>
    <x v="11"/>
    <x v="1"/>
  </r>
  <r>
    <n v="8642096"/>
    <x v="21"/>
    <x v="1"/>
    <n v="4.4000000000000004"/>
    <x v="2"/>
    <d v="2025-06-28T19:48:00"/>
    <x v="6"/>
    <x v="1"/>
    <x v="1"/>
    <b v="1"/>
    <s v="Windows Phone"/>
    <n v="1041"/>
    <n v="71"/>
    <x v="2"/>
    <x v="21"/>
    <x v="0"/>
  </r>
  <r>
    <n v="6763599"/>
    <x v="16"/>
    <x v="15"/>
    <n v="1"/>
    <x v="0"/>
    <d v="2025-01-03T17:12:00"/>
    <x v="1"/>
    <x v="3"/>
    <x v="1"/>
    <b v="1"/>
    <s v="Android"/>
    <n v="1167"/>
    <n v="58"/>
    <x v="1"/>
    <x v="11"/>
    <x v="1"/>
  </r>
  <r>
    <n v="3300848"/>
    <x v="1"/>
    <x v="8"/>
    <n v="1.7"/>
    <x v="0"/>
    <d v="2025-07-24T19:37:00"/>
    <x v="2"/>
    <x v="11"/>
    <x v="1"/>
    <b v="1"/>
    <s v="iPad"/>
    <n v="154"/>
    <n v="51"/>
    <x v="1"/>
    <x v="13"/>
    <x v="1"/>
  </r>
  <r>
    <n v="3028988"/>
    <x v="15"/>
    <x v="4"/>
    <n v="2.2000000000000002"/>
    <x v="3"/>
    <d v="2023-08-12T00:28:00"/>
    <x v="6"/>
    <x v="9"/>
    <x v="2"/>
    <b v="1"/>
    <s v="iOS"/>
    <n v="865"/>
    <n v="45"/>
    <x v="1"/>
    <x v="6"/>
    <x v="0"/>
  </r>
  <r>
    <n v="7737736"/>
    <x v="5"/>
    <x v="14"/>
    <n v="3.4"/>
    <x v="1"/>
    <d v="2025-06-06T11:10:00"/>
    <x v="1"/>
    <x v="1"/>
    <x v="1"/>
    <b v="1"/>
    <s v="iOS"/>
    <n v="240"/>
    <n v="42"/>
    <x v="1"/>
    <x v="7"/>
    <x v="0"/>
  </r>
  <r>
    <n v="4039600"/>
    <x v="30"/>
    <x v="16"/>
    <n v="1.1000000000000001"/>
    <x v="0"/>
    <d v="2025-04-07T00:21:00"/>
    <x v="3"/>
    <x v="6"/>
    <x v="1"/>
    <b v="1"/>
    <s v="Android"/>
    <n v="752"/>
    <n v="35"/>
    <x v="1"/>
    <x v="4"/>
    <x v="0"/>
  </r>
  <r>
    <n v="893470"/>
    <x v="19"/>
    <x v="16"/>
    <n v="4.8"/>
    <x v="2"/>
    <d v="2024-03-10T10:08:00"/>
    <x v="4"/>
    <x v="2"/>
    <x v="0"/>
    <b v="1"/>
    <s v="Android"/>
    <n v="440"/>
    <n v="66"/>
    <x v="2"/>
    <x v="19"/>
    <x v="1"/>
  </r>
  <r>
    <n v="9236716"/>
    <x v="40"/>
    <x v="15"/>
    <n v="3.3"/>
    <x v="1"/>
    <d v="2023-12-06T04:17:00"/>
    <x v="0"/>
    <x v="7"/>
    <x v="2"/>
    <b v="1"/>
    <s v="Android Tablet"/>
    <n v="249"/>
    <n v="26"/>
    <x v="1"/>
    <x v="21"/>
    <x v="1"/>
  </r>
  <r>
    <n v="8876514"/>
    <x v="25"/>
    <x v="11"/>
    <n v="2.2999999999999998"/>
    <x v="3"/>
    <d v="2024-12-23T02:25:00"/>
    <x v="3"/>
    <x v="7"/>
    <x v="0"/>
    <b v="1"/>
    <s v="iOS"/>
    <n v="49"/>
    <n v="39"/>
    <x v="1"/>
    <x v="16"/>
    <x v="1"/>
  </r>
  <r>
    <n v="3775408"/>
    <x v="16"/>
    <x v="3"/>
    <n v="1.1000000000000001"/>
    <x v="0"/>
    <d v="2024-10-22T01:30:00"/>
    <x v="5"/>
    <x v="0"/>
    <x v="0"/>
    <b v="1"/>
    <s v="Android"/>
    <n v="941"/>
    <n v="51"/>
    <x v="1"/>
    <x v="9"/>
    <x v="0"/>
  </r>
  <r>
    <n v="6945078"/>
    <x v="5"/>
    <x v="12"/>
    <n v="4.5"/>
    <x v="2"/>
    <d v="2025-01-16T02:37:00"/>
    <x v="2"/>
    <x v="3"/>
    <x v="1"/>
    <b v="0"/>
    <s v="Android"/>
    <n v="1222"/>
    <n v="32"/>
    <x v="1"/>
    <x v="20"/>
    <x v="1"/>
  </r>
  <r>
    <n v="1885542"/>
    <x v="6"/>
    <x v="2"/>
    <n v="1.2"/>
    <x v="0"/>
    <d v="2024-01-23T06:34:00"/>
    <x v="5"/>
    <x v="3"/>
    <x v="0"/>
    <b v="0"/>
    <s v="Windows Phone"/>
    <n v="1129"/>
    <n v="13"/>
    <x v="0"/>
    <x v="18"/>
    <x v="0"/>
  </r>
  <r>
    <n v="1720464"/>
    <x v="25"/>
    <x v="12"/>
    <n v="4.9000000000000004"/>
    <x v="2"/>
    <d v="2023-09-25T06:52:00"/>
    <x v="3"/>
    <x v="10"/>
    <x v="2"/>
    <b v="1"/>
    <s v="Android Tablet"/>
    <n v="633"/>
    <n v="18"/>
    <x v="1"/>
    <x v="5"/>
    <x v="0"/>
  </r>
  <r>
    <n v="4351915"/>
    <x v="26"/>
    <x v="1"/>
    <n v="3.4"/>
    <x v="1"/>
    <d v="2024-07-17T10:08:00"/>
    <x v="0"/>
    <x v="11"/>
    <x v="0"/>
    <b v="1"/>
    <s v="Windows Phone"/>
    <n v="655"/>
    <n v="68"/>
    <x v="2"/>
    <x v="21"/>
    <x v="1"/>
  </r>
  <r>
    <n v="6861231"/>
    <x v="39"/>
    <x v="2"/>
    <n v="4.7"/>
    <x v="2"/>
    <d v="2023-08-09T02:05:00"/>
    <x v="0"/>
    <x v="9"/>
    <x v="2"/>
    <b v="0"/>
    <s v="Android"/>
    <n v="287"/>
    <n v="26"/>
    <x v="1"/>
    <x v="6"/>
    <x v="1"/>
  </r>
  <r>
    <n v="2253928"/>
    <x v="34"/>
    <x v="16"/>
    <n v="1.7"/>
    <x v="0"/>
    <d v="2024-11-03T19:23:00"/>
    <x v="4"/>
    <x v="4"/>
    <x v="0"/>
    <b v="0"/>
    <s v="iPad"/>
    <n v="347"/>
    <n v="34"/>
    <x v="1"/>
    <x v="7"/>
    <x v="0"/>
  </r>
  <r>
    <n v="9579965"/>
    <x v="31"/>
    <x v="1"/>
    <n v="3.3"/>
    <x v="1"/>
    <d v="2024-05-28T09:14:00"/>
    <x v="5"/>
    <x v="5"/>
    <x v="0"/>
    <b v="1"/>
    <s v="iOS"/>
    <n v="1053"/>
    <n v="40"/>
    <x v="1"/>
    <x v="10"/>
    <x v="1"/>
  </r>
  <r>
    <n v="3440730"/>
    <x v="9"/>
    <x v="7"/>
    <n v="1.7"/>
    <x v="0"/>
    <d v="2024-08-09T08:56:00"/>
    <x v="1"/>
    <x v="9"/>
    <x v="0"/>
    <b v="1"/>
    <s v="iPad"/>
    <n v="467"/>
    <n v="44"/>
    <x v="1"/>
    <x v="3"/>
    <x v="0"/>
  </r>
  <r>
    <n v="4278242"/>
    <x v="1"/>
    <x v="2"/>
    <n v="1.8"/>
    <x v="0"/>
    <d v="2023-08-05T07:11:00"/>
    <x v="6"/>
    <x v="9"/>
    <x v="2"/>
    <b v="1"/>
    <s v="Android Tablet"/>
    <n v="813"/>
    <n v="46"/>
    <x v="1"/>
    <x v="5"/>
    <x v="0"/>
  </r>
  <r>
    <n v="3063386"/>
    <x v="19"/>
    <x v="16"/>
    <n v="3.7"/>
    <x v="1"/>
    <d v="2025-03-22T20:49:00"/>
    <x v="6"/>
    <x v="2"/>
    <x v="1"/>
    <b v="1"/>
    <s v="iOS"/>
    <n v="486"/>
    <n v="40"/>
    <x v="1"/>
    <x v="15"/>
    <x v="0"/>
  </r>
  <r>
    <n v="836094"/>
    <x v="29"/>
    <x v="3"/>
    <n v="1.5"/>
    <x v="0"/>
    <d v="2024-03-22T15:55:00"/>
    <x v="1"/>
    <x v="2"/>
    <x v="0"/>
    <b v="1"/>
    <s v="Android Tablet"/>
    <n v="1150"/>
    <n v="22"/>
    <x v="1"/>
    <x v="18"/>
    <x v="1"/>
  </r>
  <r>
    <n v="8423942"/>
    <x v="8"/>
    <x v="15"/>
    <n v="4.7"/>
    <x v="2"/>
    <d v="2024-05-11T16:24:00"/>
    <x v="6"/>
    <x v="5"/>
    <x v="0"/>
    <b v="0"/>
    <s v="Windows Phone"/>
    <n v="936"/>
    <n v="26"/>
    <x v="1"/>
    <x v="18"/>
    <x v="0"/>
  </r>
  <r>
    <n v="7313757"/>
    <x v="25"/>
    <x v="4"/>
    <n v="4.0999999999999996"/>
    <x v="2"/>
    <d v="2023-08-16T19:55:00"/>
    <x v="0"/>
    <x v="9"/>
    <x v="2"/>
    <b v="0"/>
    <s v="Windows Phone"/>
    <n v="470"/>
    <n v="30"/>
    <x v="1"/>
    <x v="13"/>
    <x v="1"/>
  </r>
  <r>
    <n v="2407324"/>
    <x v="27"/>
    <x v="13"/>
    <n v="2.6"/>
    <x v="3"/>
    <d v="2023-11-02T20:53:00"/>
    <x v="2"/>
    <x v="4"/>
    <x v="2"/>
    <b v="1"/>
    <s v="iOS"/>
    <n v="500"/>
    <n v="45"/>
    <x v="1"/>
    <x v="19"/>
    <x v="1"/>
  </r>
  <r>
    <n v="2817830"/>
    <x v="12"/>
    <x v="6"/>
    <n v="3"/>
    <x v="3"/>
    <d v="2023-08-31T18:10:00"/>
    <x v="2"/>
    <x v="9"/>
    <x v="2"/>
    <b v="1"/>
    <s v="Android"/>
    <n v="693"/>
    <n v="57"/>
    <x v="1"/>
    <x v="20"/>
    <x v="0"/>
  </r>
  <r>
    <n v="1991674"/>
    <x v="1"/>
    <x v="13"/>
    <n v="2.7"/>
    <x v="3"/>
    <d v="2024-09-11T07:38:00"/>
    <x v="0"/>
    <x v="10"/>
    <x v="0"/>
    <b v="0"/>
    <s v="Android"/>
    <n v="697"/>
    <n v="40"/>
    <x v="1"/>
    <x v="9"/>
    <x v="0"/>
  </r>
  <r>
    <n v="4560852"/>
    <x v="28"/>
    <x v="8"/>
    <n v="4.5"/>
    <x v="2"/>
    <d v="2024-08-06T08:46:00"/>
    <x v="5"/>
    <x v="9"/>
    <x v="0"/>
    <b v="1"/>
    <s v="Android"/>
    <n v="522"/>
    <n v="31"/>
    <x v="1"/>
    <x v="11"/>
    <x v="1"/>
  </r>
  <r>
    <n v="3692379"/>
    <x v="1"/>
    <x v="4"/>
    <n v="4.3"/>
    <x v="2"/>
    <d v="2023-10-16T19:26:00"/>
    <x v="3"/>
    <x v="0"/>
    <x v="2"/>
    <b v="1"/>
    <s v="Windows Phone"/>
    <n v="1139"/>
    <n v="40"/>
    <x v="1"/>
    <x v="8"/>
    <x v="1"/>
  </r>
  <r>
    <n v="6369347"/>
    <x v="16"/>
    <x v="0"/>
    <n v="2.2000000000000002"/>
    <x v="3"/>
    <d v="2024-05-30T09:40:00"/>
    <x v="2"/>
    <x v="5"/>
    <x v="0"/>
    <b v="1"/>
    <s v="iOS"/>
    <n v="1040"/>
    <n v="65"/>
    <x v="2"/>
    <x v="15"/>
    <x v="1"/>
  </r>
  <r>
    <n v="4599844"/>
    <x v="35"/>
    <x v="6"/>
    <n v="4.5999999999999996"/>
    <x v="2"/>
    <d v="2025-07-26T11:05:00"/>
    <x v="6"/>
    <x v="11"/>
    <x v="1"/>
    <b v="1"/>
    <s v="iOS"/>
    <n v="921"/>
    <n v="52"/>
    <x v="1"/>
    <x v="3"/>
    <x v="0"/>
  </r>
  <r>
    <n v="4947725"/>
    <x v="39"/>
    <x v="6"/>
    <n v="2.2999999999999998"/>
    <x v="3"/>
    <d v="2024-07-25T06:15:00"/>
    <x v="2"/>
    <x v="11"/>
    <x v="0"/>
    <b v="1"/>
    <s v="Android Tablet"/>
    <n v="1242"/>
    <n v="52"/>
    <x v="1"/>
    <x v="12"/>
    <x v="1"/>
  </r>
  <r>
    <n v="9116220"/>
    <x v="4"/>
    <x v="2"/>
    <n v="4.5"/>
    <x v="2"/>
    <d v="2023-08-03T09:58:00"/>
    <x v="2"/>
    <x v="9"/>
    <x v="2"/>
    <b v="1"/>
    <s v="Android Tablet"/>
    <n v="981"/>
    <n v="26"/>
    <x v="1"/>
    <x v="11"/>
    <x v="1"/>
  </r>
  <r>
    <n v="9302146"/>
    <x v="13"/>
    <x v="12"/>
    <n v="2.7"/>
    <x v="3"/>
    <d v="2023-08-08T12:48:00"/>
    <x v="5"/>
    <x v="9"/>
    <x v="2"/>
    <b v="1"/>
    <s v="Windows Phone"/>
    <n v="1247"/>
    <n v="57"/>
    <x v="1"/>
    <x v="10"/>
    <x v="1"/>
  </r>
  <r>
    <n v="9899907"/>
    <x v="19"/>
    <x v="7"/>
    <n v="2.7"/>
    <x v="3"/>
    <d v="2023-12-03T11:04:00"/>
    <x v="4"/>
    <x v="7"/>
    <x v="2"/>
    <b v="1"/>
    <s v="Windows Phone"/>
    <n v="636"/>
    <n v="70"/>
    <x v="2"/>
    <x v="17"/>
    <x v="1"/>
  </r>
  <r>
    <n v="1397834"/>
    <x v="30"/>
    <x v="5"/>
    <n v="3.2"/>
    <x v="1"/>
    <d v="2024-11-09T15:39:00"/>
    <x v="6"/>
    <x v="4"/>
    <x v="0"/>
    <b v="0"/>
    <s v="iOS"/>
    <n v="30"/>
    <n v="69"/>
    <x v="2"/>
    <x v="7"/>
    <x v="0"/>
  </r>
  <r>
    <n v="6026811"/>
    <x v="20"/>
    <x v="12"/>
    <n v="3.4"/>
    <x v="1"/>
    <d v="2024-02-18T17:12:00"/>
    <x v="4"/>
    <x v="8"/>
    <x v="0"/>
    <b v="1"/>
    <s v="Windows Phone"/>
    <n v="406"/>
    <n v="13"/>
    <x v="0"/>
    <x v="9"/>
    <x v="1"/>
  </r>
  <r>
    <n v="2752447"/>
    <x v="20"/>
    <x v="6"/>
    <n v="3.7"/>
    <x v="1"/>
    <d v="2025-07-24T19:00:00"/>
    <x v="2"/>
    <x v="11"/>
    <x v="1"/>
    <b v="1"/>
    <s v="Android Tablet"/>
    <n v="957"/>
    <n v="13"/>
    <x v="0"/>
    <x v="16"/>
    <x v="0"/>
  </r>
  <r>
    <n v="3943470"/>
    <x v="1"/>
    <x v="16"/>
    <n v="1.7"/>
    <x v="0"/>
    <d v="2024-06-13T22:02:00"/>
    <x v="2"/>
    <x v="1"/>
    <x v="0"/>
    <b v="1"/>
    <s v="iPad"/>
    <n v="860"/>
    <n v="36"/>
    <x v="1"/>
    <x v="17"/>
    <x v="1"/>
  </r>
  <r>
    <n v="3051849"/>
    <x v="16"/>
    <x v="5"/>
    <n v="1.7"/>
    <x v="0"/>
    <d v="2023-08-07T16:07:00"/>
    <x v="3"/>
    <x v="9"/>
    <x v="2"/>
    <b v="1"/>
    <s v="iPad"/>
    <n v="250"/>
    <n v="47"/>
    <x v="1"/>
    <x v="10"/>
    <x v="1"/>
  </r>
  <r>
    <n v="7857872"/>
    <x v="9"/>
    <x v="14"/>
    <n v="4.2"/>
    <x v="2"/>
    <d v="2024-12-15T16:37:00"/>
    <x v="4"/>
    <x v="7"/>
    <x v="0"/>
    <b v="1"/>
    <s v="Android"/>
    <n v="869"/>
    <n v="26"/>
    <x v="1"/>
    <x v="21"/>
    <x v="0"/>
  </r>
  <r>
    <n v="6518497"/>
    <x v="6"/>
    <x v="11"/>
    <n v="4.9000000000000004"/>
    <x v="2"/>
    <d v="2024-06-05T23:26:00"/>
    <x v="0"/>
    <x v="1"/>
    <x v="0"/>
    <b v="1"/>
    <s v="Android Tablet"/>
    <n v="157"/>
    <n v="35"/>
    <x v="1"/>
    <x v="5"/>
    <x v="1"/>
  </r>
  <r>
    <n v="1799277"/>
    <x v="6"/>
    <x v="6"/>
    <n v="1.4"/>
    <x v="0"/>
    <d v="2025-07-26T07:40:00"/>
    <x v="6"/>
    <x v="11"/>
    <x v="1"/>
    <b v="1"/>
    <s v="Windows Phone"/>
    <n v="1005"/>
    <n v="60"/>
    <x v="1"/>
    <x v="19"/>
    <x v="0"/>
  </r>
  <r>
    <n v="1236751"/>
    <x v="25"/>
    <x v="2"/>
    <n v="4.8"/>
    <x v="2"/>
    <d v="2024-04-30T15:49:00"/>
    <x v="5"/>
    <x v="6"/>
    <x v="0"/>
    <b v="1"/>
    <s v="iOS"/>
    <n v="1195"/>
    <n v="67"/>
    <x v="2"/>
    <x v="7"/>
    <x v="1"/>
  </r>
  <r>
    <n v="3346044"/>
    <x v="14"/>
    <x v="13"/>
    <n v="1.4"/>
    <x v="0"/>
    <d v="2024-03-28T22:16:00"/>
    <x v="2"/>
    <x v="2"/>
    <x v="0"/>
    <b v="1"/>
    <s v="iOS"/>
    <n v="691"/>
    <n v="46"/>
    <x v="1"/>
    <x v="10"/>
    <x v="0"/>
  </r>
  <r>
    <n v="8279175"/>
    <x v="13"/>
    <x v="13"/>
    <n v="2.1"/>
    <x v="3"/>
    <d v="2024-07-02T12:23:00"/>
    <x v="5"/>
    <x v="11"/>
    <x v="0"/>
    <b v="0"/>
    <s v="Windows Phone"/>
    <n v="516"/>
    <n v="13"/>
    <x v="0"/>
    <x v="21"/>
    <x v="1"/>
  </r>
  <r>
    <n v="9293742"/>
    <x v="7"/>
    <x v="9"/>
    <n v="2.7"/>
    <x v="3"/>
    <d v="2025-02-16T20:22:00"/>
    <x v="4"/>
    <x v="8"/>
    <x v="1"/>
    <b v="0"/>
    <s v="Android Tablet"/>
    <n v="89"/>
    <n v="13"/>
    <x v="0"/>
    <x v="4"/>
    <x v="1"/>
  </r>
  <r>
    <n v="7956881"/>
    <x v="5"/>
    <x v="1"/>
    <n v="3.6"/>
    <x v="1"/>
    <d v="2025-07-11T16:24:00"/>
    <x v="1"/>
    <x v="11"/>
    <x v="1"/>
    <b v="1"/>
    <s v="iPad"/>
    <n v="663"/>
    <n v="35"/>
    <x v="1"/>
    <x v="12"/>
    <x v="1"/>
  </r>
  <r>
    <n v="8379258"/>
    <x v="27"/>
    <x v="13"/>
    <n v="3.6"/>
    <x v="1"/>
    <d v="2023-10-28T14:36:00"/>
    <x v="6"/>
    <x v="0"/>
    <x v="2"/>
    <b v="1"/>
    <s v="Windows Phone"/>
    <n v="1247"/>
    <n v="19"/>
    <x v="1"/>
    <x v="18"/>
    <x v="1"/>
  </r>
  <r>
    <n v="9994859"/>
    <x v="14"/>
    <x v="5"/>
    <n v="2.4"/>
    <x v="3"/>
    <d v="2024-09-07T19:28:00"/>
    <x v="6"/>
    <x v="10"/>
    <x v="0"/>
    <b v="0"/>
    <s v="Windows Phone"/>
    <n v="45"/>
    <n v="75"/>
    <x v="2"/>
    <x v="23"/>
    <x v="0"/>
  </r>
  <r>
    <n v="1568345"/>
    <x v="40"/>
    <x v="13"/>
    <n v="3.3"/>
    <x v="1"/>
    <d v="2023-09-20T07:41:00"/>
    <x v="0"/>
    <x v="10"/>
    <x v="2"/>
    <b v="1"/>
    <s v="iPad"/>
    <n v="963"/>
    <n v="29"/>
    <x v="1"/>
    <x v="12"/>
    <x v="0"/>
  </r>
  <r>
    <n v="717362"/>
    <x v="10"/>
    <x v="13"/>
    <n v="5"/>
    <x v="2"/>
    <d v="2023-10-01T14:11:00"/>
    <x v="4"/>
    <x v="0"/>
    <x v="2"/>
    <b v="1"/>
    <s v="iPad"/>
    <n v="1193"/>
    <n v="58"/>
    <x v="1"/>
    <x v="6"/>
    <x v="0"/>
  </r>
  <r>
    <n v="5528764"/>
    <x v="39"/>
    <x v="11"/>
    <n v="4.0999999999999996"/>
    <x v="2"/>
    <d v="2025-01-25T11:19:00"/>
    <x v="6"/>
    <x v="3"/>
    <x v="1"/>
    <b v="1"/>
    <s v="Android"/>
    <n v="237"/>
    <n v="27"/>
    <x v="1"/>
    <x v="12"/>
    <x v="1"/>
  </r>
  <r>
    <n v="2585842"/>
    <x v="11"/>
    <x v="5"/>
    <n v="3.9"/>
    <x v="1"/>
    <d v="2024-01-11T19:33:00"/>
    <x v="2"/>
    <x v="3"/>
    <x v="0"/>
    <b v="1"/>
    <s v="iOS"/>
    <n v="413"/>
    <n v="23"/>
    <x v="1"/>
    <x v="19"/>
    <x v="0"/>
  </r>
  <r>
    <n v="5678724"/>
    <x v="10"/>
    <x v="5"/>
    <n v="2.4"/>
    <x v="3"/>
    <d v="2024-09-22T08:53:00"/>
    <x v="4"/>
    <x v="10"/>
    <x v="0"/>
    <b v="0"/>
    <s v="Android"/>
    <n v="186"/>
    <n v="67"/>
    <x v="2"/>
    <x v="19"/>
    <x v="0"/>
  </r>
  <r>
    <n v="8061083"/>
    <x v="11"/>
    <x v="9"/>
    <n v="3.2"/>
    <x v="1"/>
    <d v="2025-05-06T05:03:00"/>
    <x v="5"/>
    <x v="5"/>
    <x v="1"/>
    <b v="1"/>
    <s v="Android"/>
    <n v="952"/>
    <n v="15"/>
    <x v="0"/>
    <x v="12"/>
    <x v="1"/>
  </r>
  <r>
    <n v="7876962"/>
    <x v="34"/>
    <x v="0"/>
    <n v="4.7"/>
    <x v="2"/>
    <d v="2025-07-10T21:14:00"/>
    <x v="2"/>
    <x v="11"/>
    <x v="1"/>
    <b v="1"/>
    <s v="iOS"/>
    <n v="879"/>
    <n v="24"/>
    <x v="1"/>
    <x v="13"/>
    <x v="0"/>
  </r>
  <r>
    <n v="9694850"/>
    <x v="9"/>
    <x v="17"/>
    <n v="2.7"/>
    <x v="3"/>
    <d v="2025-05-23T18:34:00"/>
    <x v="1"/>
    <x v="5"/>
    <x v="1"/>
    <b v="1"/>
    <s v="Windows Phone"/>
    <n v="327"/>
    <n v="23"/>
    <x v="1"/>
    <x v="6"/>
    <x v="0"/>
  </r>
  <r>
    <n v="3949916"/>
    <x v="21"/>
    <x v="10"/>
    <n v="3.7"/>
    <x v="1"/>
    <d v="2023-09-28T23:47:00"/>
    <x v="2"/>
    <x v="10"/>
    <x v="2"/>
    <b v="1"/>
    <s v="Windows Phone"/>
    <n v="596"/>
    <n v="71"/>
    <x v="2"/>
    <x v="3"/>
    <x v="1"/>
  </r>
  <r>
    <n v="7072202"/>
    <x v="23"/>
    <x v="2"/>
    <n v="4.4000000000000004"/>
    <x v="2"/>
    <d v="2023-12-04T14:23:00"/>
    <x v="3"/>
    <x v="7"/>
    <x v="2"/>
    <b v="1"/>
    <s v="iPad"/>
    <n v="406"/>
    <n v="75"/>
    <x v="2"/>
    <x v="8"/>
    <x v="0"/>
  </r>
  <r>
    <n v="3524117"/>
    <x v="1"/>
    <x v="3"/>
    <n v="4.5999999999999996"/>
    <x v="2"/>
    <d v="2025-02-17T05:38:00"/>
    <x v="3"/>
    <x v="8"/>
    <x v="1"/>
    <b v="1"/>
    <s v="iPad"/>
    <n v="389"/>
    <n v="63"/>
    <x v="2"/>
    <x v="10"/>
    <x v="1"/>
  </r>
  <r>
    <n v="9068963"/>
    <x v="0"/>
    <x v="6"/>
    <n v="1.1000000000000001"/>
    <x v="0"/>
    <d v="2024-07-27T06:50:00"/>
    <x v="6"/>
    <x v="11"/>
    <x v="0"/>
    <b v="1"/>
    <s v="iPad"/>
    <n v="524"/>
    <n v="50"/>
    <x v="1"/>
    <x v="0"/>
    <x v="1"/>
  </r>
  <r>
    <n v="2148456"/>
    <x v="38"/>
    <x v="6"/>
    <n v="3.9"/>
    <x v="1"/>
    <d v="2024-08-08T16:04:00"/>
    <x v="2"/>
    <x v="9"/>
    <x v="0"/>
    <b v="0"/>
    <s v="Android Tablet"/>
    <n v="592"/>
    <n v="16"/>
    <x v="0"/>
    <x v="22"/>
    <x v="1"/>
  </r>
  <r>
    <n v="4769108"/>
    <x v="29"/>
    <x v="3"/>
    <n v="2.8"/>
    <x v="3"/>
    <d v="2025-04-01T23:48:00"/>
    <x v="5"/>
    <x v="6"/>
    <x v="1"/>
    <b v="1"/>
    <s v="iPad"/>
    <n v="79"/>
    <n v="37"/>
    <x v="1"/>
    <x v="18"/>
    <x v="1"/>
  </r>
  <r>
    <n v="6077035"/>
    <x v="14"/>
    <x v="13"/>
    <n v="2.1"/>
    <x v="3"/>
    <d v="2025-04-04T17:06:00"/>
    <x v="1"/>
    <x v="6"/>
    <x v="1"/>
    <b v="1"/>
    <s v="iOS"/>
    <n v="937"/>
    <n v="43"/>
    <x v="1"/>
    <x v="3"/>
    <x v="0"/>
  </r>
  <r>
    <n v="3275929"/>
    <x v="23"/>
    <x v="14"/>
    <n v="1.6"/>
    <x v="0"/>
    <d v="2024-09-27T10:17:00"/>
    <x v="1"/>
    <x v="10"/>
    <x v="0"/>
    <b v="1"/>
    <s v="Android Tablet"/>
    <n v="297"/>
    <n v="33"/>
    <x v="1"/>
    <x v="15"/>
    <x v="1"/>
  </r>
  <r>
    <n v="405807"/>
    <x v="30"/>
    <x v="15"/>
    <n v="2.2999999999999998"/>
    <x v="3"/>
    <d v="2025-07-08T09:51:00"/>
    <x v="5"/>
    <x v="11"/>
    <x v="1"/>
    <b v="0"/>
    <s v="iOS"/>
    <n v="480"/>
    <n v="39"/>
    <x v="1"/>
    <x v="3"/>
    <x v="1"/>
  </r>
  <r>
    <n v="1549957"/>
    <x v="38"/>
    <x v="0"/>
    <n v="1.5"/>
    <x v="0"/>
    <d v="2025-03-23T15:28:00"/>
    <x v="4"/>
    <x v="2"/>
    <x v="1"/>
    <b v="1"/>
    <s v="Windows Phone"/>
    <n v="925"/>
    <n v="73"/>
    <x v="2"/>
    <x v="8"/>
    <x v="1"/>
  </r>
  <r>
    <n v="2397127"/>
    <x v="30"/>
    <x v="16"/>
    <n v="3"/>
    <x v="3"/>
    <d v="2025-01-22T09:43:00"/>
    <x v="0"/>
    <x v="3"/>
    <x v="1"/>
    <b v="1"/>
    <s v="Android"/>
    <n v="1010"/>
    <n v="13"/>
    <x v="0"/>
    <x v="21"/>
    <x v="0"/>
  </r>
  <r>
    <n v="8907272"/>
    <x v="4"/>
    <x v="2"/>
    <n v="1.9"/>
    <x v="0"/>
    <d v="2024-10-26T02:35:00"/>
    <x v="6"/>
    <x v="0"/>
    <x v="0"/>
    <b v="1"/>
    <s v="Windows Phone"/>
    <n v="1219"/>
    <n v="54"/>
    <x v="1"/>
    <x v="14"/>
    <x v="1"/>
  </r>
  <r>
    <n v="1893332"/>
    <x v="22"/>
    <x v="4"/>
    <n v="2.1"/>
    <x v="3"/>
    <d v="2024-02-22T03:39:00"/>
    <x v="2"/>
    <x v="8"/>
    <x v="0"/>
    <b v="1"/>
    <s v="Android"/>
    <n v="346"/>
    <n v="59"/>
    <x v="1"/>
    <x v="1"/>
    <x v="1"/>
  </r>
  <r>
    <n v="9515213"/>
    <x v="17"/>
    <x v="4"/>
    <n v="4.2"/>
    <x v="2"/>
    <d v="2025-06-26T01:32:00"/>
    <x v="2"/>
    <x v="1"/>
    <x v="1"/>
    <b v="1"/>
    <s v="iPad"/>
    <n v="1179"/>
    <n v="70"/>
    <x v="2"/>
    <x v="16"/>
    <x v="0"/>
  </r>
  <r>
    <n v="1475880"/>
    <x v="38"/>
    <x v="15"/>
    <n v="4.0999999999999996"/>
    <x v="2"/>
    <d v="2024-04-16T08:27:00"/>
    <x v="5"/>
    <x v="6"/>
    <x v="0"/>
    <b v="1"/>
    <s v="iPad"/>
    <n v="621"/>
    <n v="29"/>
    <x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627755-1332-4A2F-85B1-828B61C1656C}" name="App Name"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
  <location ref="A2:A44" firstHeaderRow="1" firstDataRow="1" firstDataCol="1"/>
  <pivotFields count="16">
    <pivotField showAll="0"/>
    <pivotField axis="axisRow" showAll="0">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pivotField>
    <pivotField showAll="0"/>
    <pivotField showAll="0"/>
    <pivotField showAll="0">
      <items count="5">
        <item x="2"/>
        <item x="3"/>
        <item x="0"/>
        <item x="1"/>
        <item t="default"/>
      </items>
    </pivotField>
    <pivotField numFmtId="14" showAll="0"/>
    <pivotField showAll="0">
      <items count="8">
        <item x="4"/>
        <item x="3"/>
        <item x="5"/>
        <item x="0"/>
        <item x="2"/>
        <item x="1"/>
        <item x="6"/>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2D7845-4E35-4DDC-B13B-185EED7737A6}" name="App Usage by Count"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App Name">
  <location ref="A3:B45" firstHeaderRow="1" firstDataRow="1" firstDataCol="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v="31"/>
    </i>
    <i>
      <x v="22"/>
    </i>
    <i>
      <x v="15"/>
    </i>
    <i>
      <x v="24"/>
    </i>
    <i>
      <x v="32"/>
    </i>
    <i>
      <x v="19"/>
    </i>
    <i>
      <x v="20"/>
    </i>
    <i>
      <x v="10"/>
    </i>
    <i>
      <x v="6"/>
    </i>
    <i>
      <x v="29"/>
    </i>
    <i>
      <x v="25"/>
    </i>
    <i>
      <x v="39"/>
    </i>
    <i>
      <x v="12"/>
    </i>
    <i>
      <x/>
    </i>
    <i>
      <x v="5"/>
    </i>
    <i>
      <x v="30"/>
    </i>
    <i>
      <x v="16"/>
    </i>
    <i>
      <x v="8"/>
    </i>
    <i>
      <x v="33"/>
    </i>
    <i>
      <x v="13"/>
    </i>
    <i>
      <x v="14"/>
    </i>
    <i>
      <x v="26"/>
    </i>
    <i>
      <x v="1"/>
    </i>
    <i>
      <x v="34"/>
    </i>
    <i>
      <x v="21"/>
    </i>
    <i>
      <x v="23"/>
    </i>
    <i>
      <x v="11"/>
    </i>
    <i>
      <x v="37"/>
    </i>
    <i>
      <x v="36"/>
    </i>
    <i>
      <x v="28"/>
    </i>
    <i>
      <x v="40"/>
    </i>
    <i>
      <x v="2"/>
    </i>
    <i>
      <x v="7"/>
    </i>
    <i>
      <x v="17"/>
    </i>
    <i>
      <x v="3"/>
    </i>
    <i>
      <x v="38"/>
    </i>
    <i>
      <x v="9"/>
    </i>
    <i>
      <x v="18"/>
    </i>
    <i>
      <x v="27"/>
    </i>
    <i>
      <x v="4"/>
    </i>
    <i>
      <x v="35"/>
    </i>
    <i t="grand">
      <x/>
    </i>
  </rowItems>
  <colItems count="1">
    <i/>
  </colItems>
  <dataFields count="1">
    <dataField name="Number of Users" fld="0" subtotal="count" baseField="1" baseItem="31"/>
  </dataFields>
  <conditionalFormats count="1">
    <conditionalFormat type="all" priority="1">
      <pivotAreas count="1">
        <pivotArea type="data" collapsedLevelsAreSubtotals="1" fieldPosition="0">
          <references count="2">
            <reference field="4294967294" count="1" selected="0">
              <x v="0"/>
            </reference>
            <reference field="1" count="41">
              <x v="0"/>
              <x v="1"/>
              <x v="2"/>
              <x v="3"/>
              <x v="4"/>
              <x v="5"/>
              <x v="6"/>
              <x v="7"/>
              <x v="8"/>
              <x v="9"/>
              <x v="10"/>
              <x v="11"/>
              <x v="12"/>
              <x v="13"/>
              <x v="14"/>
              <x v="15"/>
              <x v="16"/>
              <x v="17"/>
              <x v="18"/>
              <x v="19"/>
              <x v="20"/>
              <x v="21"/>
              <x v="22"/>
              <x v="23"/>
              <x v="24"/>
              <x v="25"/>
              <x v="26"/>
              <x v="27"/>
              <x v="28"/>
              <x v="29"/>
              <x v="30"/>
              <x v="31"/>
              <x v="32"/>
              <x v="33"/>
              <x v="34"/>
              <x v="35"/>
              <x v="36"/>
              <x v="37"/>
              <x v="38"/>
              <x v="39"/>
              <x v="4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5B4940-B513-4EB5-96FD-360C0E70DCC7}" name="App Reviews by Da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Review Days">
  <location ref="A1:B9" firstHeaderRow="1" firstDataRow="1" firstDataCol="1"/>
  <pivotFields count="16">
    <pivotField dataField="1" showAll="0"/>
    <pivotField showAll="0"/>
    <pivotField showAll="0"/>
    <pivotField showAll="0"/>
    <pivotField showAll="0">
      <items count="5">
        <item x="2"/>
        <item x="3"/>
        <item x="0"/>
        <item x="1"/>
        <item t="default"/>
      </items>
    </pivotField>
    <pivotField numFmtId="14" showAll="0"/>
    <pivotField axis="axisRow" showAll="0" sortType="descending">
      <items count="8">
        <item x="4"/>
        <item x="3"/>
        <item x="5"/>
        <item x="0"/>
        <item x="2"/>
        <item x="1"/>
        <item x="6"/>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6"/>
  </rowFields>
  <rowItems count="8">
    <i>
      <x v="3"/>
    </i>
    <i>
      <x v="5"/>
    </i>
    <i>
      <x v="1"/>
    </i>
    <i>
      <x/>
    </i>
    <i>
      <x v="6"/>
    </i>
    <i>
      <x v="4"/>
    </i>
    <i>
      <x v="2"/>
    </i>
    <i t="grand">
      <x/>
    </i>
  </rowItems>
  <colItems count="1">
    <i/>
  </colItems>
  <dataFields count="1">
    <dataField name="Number of Reviews" fld="0" subtotal="count" baseField="6" baseItem="3"/>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E6E5EF-BAC6-47D7-BFAF-B4FDFC354730}" name="App Reviews by Month"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Review Months">
  <location ref="A1:B14" firstHeaderRow="1" firstDataRow="1" firstDataCol="1"/>
  <pivotFields count="16">
    <pivotField dataField="1" showAll="0"/>
    <pivotField showAll="0"/>
    <pivotField showAll="0"/>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13">
        <item x="3"/>
        <item x="8"/>
        <item x="2"/>
        <item x="6"/>
        <item x="5"/>
        <item x="1"/>
        <item x="11"/>
        <item x="9"/>
        <item x="10"/>
        <item x="0"/>
        <item x="4"/>
        <item x="7"/>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showAll="0"/>
  </pivotFields>
  <rowFields count="1">
    <field x="7"/>
  </rowFields>
  <rowItems count="13">
    <i>
      <x v="9"/>
    </i>
    <i>
      <x v="3"/>
    </i>
    <i>
      <x v="7"/>
    </i>
    <i>
      <x/>
    </i>
    <i>
      <x v="4"/>
    </i>
    <i>
      <x v="2"/>
    </i>
    <i>
      <x v="5"/>
    </i>
    <i>
      <x v="6"/>
    </i>
    <i>
      <x v="10"/>
    </i>
    <i>
      <x v="1"/>
    </i>
    <i>
      <x v="8"/>
    </i>
    <i>
      <x v="11"/>
    </i>
    <i t="grand">
      <x/>
    </i>
  </rowItems>
  <colItems count="1">
    <i/>
  </colItems>
  <dataFields count="1">
    <dataField name="Number of Reviews" fld="0" subtotal="count" baseField="6" baseItem="3"/>
  </dataField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30B706-FEEB-4ADB-8FC4-55703A065D90}" name="App Reviews by Year"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Review Years">
  <location ref="A1:B5" firstHeaderRow="1" firstDataRow="1" firstDataCol="1"/>
  <pivotFields count="16">
    <pivotField dataField="1" showAll="0"/>
    <pivotField showAll="0"/>
    <pivotField showAll="0"/>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8"/>
  </rowFields>
  <rowItems count="4">
    <i>
      <x v="1"/>
    </i>
    <i>
      <x v="2"/>
    </i>
    <i>
      <x/>
    </i>
    <i t="grand">
      <x/>
    </i>
  </rowItems>
  <colItems count="1">
    <i/>
  </colItems>
  <dataFields count="1">
    <dataField name="Number of Reviews" fld="0" subtotal="count" baseField="6" baseItem="3"/>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84E20-79AE-496C-8281-92E279AB89B0}" name="App Usage by Age Count 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Name">
  <location ref="D3:E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axis="axisPage" showAll="0">
      <items count="4">
        <item x="1"/>
        <item x="2"/>
        <item x="0"/>
        <item t="default"/>
      </items>
    </pivotField>
    <pivotField showAll="0"/>
    <pivotField showAll="0"/>
  </pivotFields>
  <rowFields count="1">
    <field x="1"/>
  </rowFields>
  <rowItems count="42">
    <i>
      <x v="31"/>
    </i>
    <i>
      <x v="32"/>
    </i>
    <i>
      <x v="20"/>
    </i>
    <i>
      <x v="22"/>
    </i>
    <i>
      <x v="25"/>
    </i>
    <i>
      <x v="29"/>
    </i>
    <i>
      <x v="10"/>
    </i>
    <i>
      <x v="24"/>
    </i>
    <i>
      <x v="30"/>
    </i>
    <i>
      <x v="15"/>
    </i>
    <i>
      <x v="19"/>
    </i>
    <i>
      <x v="5"/>
    </i>
    <i>
      <x/>
    </i>
    <i>
      <x v="6"/>
    </i>
    <i>
      <x v="26"/>
    </i>
    <i>
      <x v="12"/>
    </i>
    <i>
      <x v="33"/>
    </i>
    <i>
      <x v="13"/>
    </i>
    <i>
      <x v="39"/>
    </i>
    <i>
      <x v="16"/>
    </i>
    <i>
      <x v="37"/>
    </i>
    <i>
      <x v="3"/>
    </i>
    <i>
      <x v="1"/>
    </i>
    <i>
      <x v="36"/>
    </i>
    <i>
      <x v="38"/>
    </i>
    <i>
      <x v="34"/>
    </i>
    <i>
      <x v="23"/>
    </i>
    <i>
      <x v="8"/>
    </i>
    <i>
      <x v="2"/>
    </i>
    <i>
      <x v="14"/>
    </i>
    <i>
      <x v="7"/>
    </i>
    <i>
      <x v="40"/>
    </i>
    <i>
      <x v="28"/>
    </i>
    <i>
      <x v="18"/>
    </i>
    <i>
      <x v="21"/>
    </i>
    <i>
      <x v="9"/>
    </i>
    <i>
      <x v="11"/>
    </i>
    <i>
      <x v="17"/>
    </i>
    <i>
      <x v="27"/>
    </i>
    <i>
      <x v="35"/>
    </i>
    <i>
      <x v="4"/>
    </i>
    <i t="grand">
      <x/>
    </i>
  </rowItems>
  <colItems count="1">
    <i/>
  </colItems>
  <pageFields count="1">
    <pageField fld="13" item="0" hier="-1"/>
  </pageFields>
  <dataFields count="1">
    <dataField name="Count of Us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CF0557-07DA-4295-9712-2046D59EB362}" name="App Usage by Age Count 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Name">
  <location ref="A3:B39"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axis="axisPage" showAll="0">
      <items count="4">
        <item x="1"/>
        <item x="2"/>
        <item x="0"/>
        <item t="default"/>
      </items>
    </pivotField>
    <pivotField showAll="0"/>
    <pivotField showAll="0"/>
  </pivotFields>
  <rowFields count="1">
    <field x="1"/>
  </rowFields>
  <rowItems count="36">
    <i>
      <x v="5"/>
    </i>
    <i>
      <x v="19"/>
    </i>
    <i>
      <x v="32"/>
    </i>
    <i>
      <x v="22"/>
    </i>
    <i>
      <x v="12"/>
    </i>
    <i>
      <x v="14"/>
    </i>
    <i>
      <x v="28"/>
    </i>
    <i>
      <x v="15"/>
    </i>
    <i>
      <x v="36"/>
    </i>
    <i>
      <x v="39"/>
    </i>
    <i>
      <x v="1"/>
    </i>
    <i>
      <x v="21"/>
    </i>
    <i>
      <x v="7"/>
    </i>
    <i>
      <x v="37"/>
    </i>
    <i>
      <x v="34"/>
    </i>
    <i>
      <x v="17"/>
    </i>
    <i>
      <x v="6"/>
    </i>
    <i>
      <x v="20"/>
    </i>
    <i>
      <x v="30"/>
    </i>
    <i>
      <x v="9"/>
    </i>
    <i>
      <x v="23"/>
    </i>
    <i>
      <x v="8"/>
    </i>
    <i>
      <x v="31"/>
    </i>
    <i>
      <x v="18"/>
    </i>
    <i>
      <x v="10"/>
    </i>
    <i>
      <x v="2"/>
    </i>
    <i>
      <x v="33"/>
    </i>
    <i>
      <x v="29"/>
    </i>
    <i>
      <x v="13"/>
    </i>
    <i>
      <x v="24"/>
    </i>
    <i>
      <x v="38"/>
    </i>
    <i>
      <x v="25"/>
    </i>
    <i>
      <x v="40"/>
    </i>
    <i>
      <x v="26"/>
    </i>
    <i>
      <x v="11"/>
    </i>
    <i t="grand">
      <x/>
    </i>
  </rowItems>
  <colItems count="1">
    <i/>
  </colItems>
  <pageFields count="1">
    <pageField fld="13" item="2" hier="-1"/>
  </pageFields>
  <dataFields count="1">
    <dataField name="Count of Us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8D6831-6D88-4010-ACC3-BC03F55A466D}" name="App Usage by Age Count 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Name">
  <location ref="G3:H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axis="axisPage" showAll="0">
      <items count="4">
        <item x="1"/>
        <item x="2"/>
        <item x="0"/>
        <item t="default"/>
      </items>
    </pivotField>
    <pivotField showAll="0"/>
    <pivotField showAll="0"/>
  </pivotFields>
  <rowFields count="1">
    <field x="1"/>
  </rowFields>
  <rowItems count="42">
    <i>
      <x v="24"/>
    </i>
    <i>
      <x v="15"/>
    </i>
    <i>
      <x v="14"/>
    </i>
    <i>
      <x v="4"/>
    </i>
    <i>
      <x v="8"/>
    </i>
    <i>
      <x v="11"/>
    </i>
    <i>
      <x/>
    </i>
    <i>
      <x v="16"/>
    </i>
    <i>
      <x v="40"/>
    </i>
    <i>
      <x v="22"/>
    </i>
    <i>
      <x v="10"/>
    </i>
    <i>
      <x v="6"/>
    </i>
    <i>
      <x v="27"/>
    </i>
    <i>
      <x v="39"/>
    </i>
    <i>
      <x v="21"/>
    </i>
    <i>
      <x v="12"/>
    </i>
    <i>
      <x v="33"/>
    </i>
    <i>
      <x v="31"/>
    </i>
    <i>
      <x v="13"/>
    </i>
    <i>
      <x v="35"/>
    </i>
    <i>
      <x v="17"/>
    </i>
    <i>
      <x v="28"/>
    </i>
    <i>
      <x v="19"/>
    </i>
    <i>
      <x v="25"/>
    </i>
    <i>
      <x v="34"/>
    </i>
    <i>
      <x v="23"/>
    </i>
    <i>
      <x v="7"/>
    </i>
    <i>
      <x v="2"/>
    </i>
    <i>
      <x v="29"/>
    </i>
    <i>
      <x v="9"/>
    </i>
    <i>
      <x v="1"/>
    </i>
    <i>
      <x v="26"/>
    </i>
    <i>
      <x v="30"/>
    </i>
    <i>
      <x v="20"/>
    </i>
    <i>
      <x v="32"/>
    </i>
    <i>
      <x v="18"/>
    </i>
    <i>
      <x v="5"/>
    </i>
    <i>
      <x v="36"/>
    </i>
    <i>
      <x v="37"/>
    </i>
    <i>
      <x v="38"/>
    </i>
    <i>
      <x v="3"/>
    </i>
    <i t="grand">
      <x/>
    </i>
  </rowItems>
  <colItems count="1">
    <i/>
  </colItems>
  <pageFields count="1">
    <pageField fld="13" item="1" hier="-1"/>
  </pageFields>
  <dataFields count="1">
    <dataField name="Count of Us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DAC40F-E5C0-44B1-A753-8EC77D670B02}" name="Rating by App Name 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App Name">
  <location ref="J3:K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v="31"/>
    </i>
    <i>
      <x v="22"/>
    </i>
    <i>
      <x v="15"/>
    </i>
    <i>
      <x v="24"/>
    </i>
    <i>
      <x v="32"/>
    </i>
    <i>
      <x v="19"/>
    </i>
    <i>
      <x v="20"/>
    </i>
    <i>
      <x v="10"/>
    </i>
    <i>
      <x v="6"/>
    </i>
    <i>
      <x v="29"/>
    </i>
    <i>
      <x v="25"/>
    </i>
    <i>
      <x v="39"/>
    </i>
    <i>
      <x v="12"/>
    </i>
    <i>
      <x/>
    </i>
    <i>
      <x v="5"/>
    </i>
    <i>
      <x v="30"/>
    </i>
    <i>
      <x v="16"/>
    </i>
    <i>
      <x v="8"/>
    </i>
    <i>
      <x v="33"/>
    </i>
    <i>
      <x v="13"/>
    </i>
    <i>
      <x v="14"/>
    </i>
    <i>
      <x v="26"/>
    </i>
    <i>
      <x v="1"/>
    </i>
    <i>
      <x v="34"/>
    </i>
    <i>
      <x v="21"/>
    </i>
    <i>
      <x v="23"/>
    </i>
    <i>
      <x v="11"/>
    </i>
    <i>
      <x v="37"/>
    </i>
    <i>
      <x v="36"/>
    </i>
    <i>
      <x v="28"/>
    </i>
    <i>
      <x v="40"/>
    </i>
    <i>
      <x v="2"/>
    </i>
    <i>
      <x v="7"/>
    </i>
    <i>
      <x v="17"/>
    </i>
    <i>
      <x v="3"/>
    </i>
    <i>
      <x v="38"/>
    </i>
    <i>
      <x v="9"/>
    </i>
    <i>
      <x v="18"/>
    </i>
    <i>
      <x v="27"/>
    </i>
    <i>
      <x v="4"/>
    </i>
    <i>
      <x v="35"/>
    </i>
    <i t="grand">
      <x/>
    </i>
  </rowItems>
  <colItems count="1">
    <i/>
  </colItems>
  <pageFields count="1">
    <pageField fld="4" hier="-1"/>
  </pageFields>
  <dataFields count="1">
    <dataField name="Number of Users" fld="0" subtotal="count" baseField="1" baseItem="3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B0D29E-35FC-4C0E-AFEA-F9ECEB30AC0A}" name="Rating by App Name 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App Name">
  <location ref="G3:H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v="31"/>
    </i>
    <i>
      <x v="22"/>
    </i>
    <i>
      <x v="15"/>
    </i>
    <i>
      <x v="24"/>
    </i>
    <i>
      <x v="32"/>
    </i>
    <i>
      <x v="19"/>
    </i>
    <i>
      <x v="20"/>
    </i>
    <i>
      <x v="10"/>
    </i>
    <i>
      <x v="6"/>
    </i>
    <i>
      <x v="29"/>
    </i>
    <i>
      <x v="25"/>
    </i>
    <i>
      <x v="39"/>
    </i>
    <i>
      <x v="12"/>
    </i>
    <i>
      <x/>
    </i>
    <i>
      <x v="5"/>
    </i>
    <i>
      <x v="30"/>
    </i>
    <i>
      <x v="16"/>
    </i>
    <i>
      <x v="8"/>
    </i>
    <i>
      <x v="33"/>
    </i>
    <i>
      <x v="13"/>
    </i>
    <i>
      <x v="14"/>
    </i>
    <i>
      <x v="26"/>
    </i>
    <i>
      <x v="1"/>
    </i>
    <i>
      <x v="34"/>
    </i>
    <i>
      <x v="21"/>
    </i>
    <i>
      <x v="23"/>
    </i>
    <i>
      <x v="11"/>
    </i>
    <i>
      <x v="37"/>
    </i>
    <i>
      <x v="36"/>
    </i>
    <i>
      <x v="28"/>
    </i>
    <i>
      <x v="40"/>
    </i>
    <i>
      <x v="2"/>
    </i>
    <i>
      <x v="7"/>
    </i>
    <i>
      <x v="17"/>
    </i>
    <i>
      <x v="3"/>
    </i>
    <i>
      <x v="38"/>
    </i>
    <i>
      <x v="9"/>
    </i>
    <i>
      <x v="18"/>
    </i>
    <i>
      <x v="27"/>
    </i>
    <i>
      <x v="4"/>
    </i>
    <i>
      <x v="35"/>
    </i>
    <i t="grand">
      <x/>
    </i>
  </rowItems>
  <colItems count="1">
    <i/>
  </colItems>
  <pageFields count="1">
    <pageField fld="4" hier="-1"/>
  </pageFields>
  <dataFields count="1">
    <dataField name="Number of Users" fld="0" subtotal="count" baseField="1" baseItem="3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C15EFF-B0B5-4CA5-9E36-0557FB2E6C0E}" name="Rating by App Name 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App Name">
  <location ref="D3:E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v="31"/>
    </i>
    <i>
      <x v="22"/>
    </i>
    <i>
      <x v="15"/>
    </i>
    <i>
      <x v="24"/>
    </i>
    <i>
      <x v="32"/>
    </i>
    <i>
      <x v="19"/>
    </i>
    <i>
      <x v="20"/>
    </i>
    <i>
      <x v="10"/>
    </i>
    <i>
      <x v="6"/>
    </i>
    <i>
      <x v="29"/>
    </i>
    <i>
      <x v="25"/>
    </i>
    <i>
      <x v="39"/>
    </i>
    <i>
      <x v="12"/>
    </i>
    <i>
      <x/>
    </i>
    <i>
      <x v="5"/>
    </i>
    <i>
      <x v="30"/>
    </i>
    <i>
      <x v="16"/>
    </i>
    <i>
      <x v="8"/>
    </i>
    <i>
      <x v="33"/>
    </i>
    <i>
      <x v="13"/>
    </i>
    <i>
      <x v="14"/>
    </i>
    <i>
      <x v="26"/>
    </i>
    <i>
      <x v="1"/>
    </i>
    <i>
      <x v="34"/>
    </i>
    <i>
      <x v="21"/>
    </i>
    <i>
      <x v="23"/>
    </i>
    <i>
      <x v="11"/>
    </i>
    <i>
      <x v="37"/>
    </i>
    <i>
      <x v="36"/>
    </i>
    <i>
      <x v="28"/>
    </i>
    <i>
      <x v="40"/>
    </i>
    <i>
      <x v="2"/>
    </i>
    <i>
      <x v="7"/>
    </i>
    <i>
      <x v="17"/>
    </i>
    <i>
      <x v="3"/>
    </i>
    <i>
      <x v="38"/>
    </i>
    <i>
      <x v="9"/>
    </i>
    <i>
      <x v="18"/>
    </i>
    <i>
      <x v="27"/>
    </i>
    <i>
      <x v="4"/>
    </i>
    <i>
      <x v="35"/>
    </i>
    <i t="grand">
      <x/>
    </i>
  </rowItems>
  <colItems count="1">
    <i/>
  </colItems>
  <pageFields count="1">
    <pageField fld="4" hier="-1"/>
  </pageFields>
  <dataFields count="1">
    <dataField name="Number of Users" fld="0" subtotal="count" baseField="1" baseItem="3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7B73C7-5E65-4514-92A5-46B284F8339E}" name="Rating by App Name 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App Name">
  <location ref="A3:B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v="31"/>
    </i>
    <i>
      <x v="22"/>
    </i>
    <i>
      <x v="15"/>
    </i>
    <i>
      <x v="24"/>
    </i>
    <i>
      <x v="32"/>
    </i>
    <i>
      <x v="19"/>
    </i>
    <i>
      <x v="20"/>
    </i>
    <i>
      <x v="10"/>
    </i>
    <i>
      <x v="6"/>
    </i>
    <i>
      <x v="29"/>
    </i>
    <i>
      <x v="25"/>
    </i>
    <i>
      <x v="39"/>
    </i>
    <i>
      <x v="12"/>
    </i>
    <i>
      <x/>
    </i>
    <i>
      <x v="5"/>
    </i>
    <i>
      <x v="30"/>
    </i>
    <i>
      <x v="16"/>
    </i>
    <i>
      <x v="8"/>
    </i>
    <i>
      <x v="33"/>
    </i>
    <i>
      <x v="13"/>
    </i>
    <i>
      <x v="14"/>
    </i>
    <i>
      <x v="26"/>
    </i>
    <i>
      <x v="1"/>
    </i>
    <i>
      <x v="34"/>
    </i>
    <i>
      <x v="21"/>
    </i>
    <i>
      <x v="23"/>
    </i>
    <i>
      <x v="11"/>
    </i>
    <i>
      <x v="37"/>
    </i>
    <i>
      <x v="36"/>
    </i>
    <i>
      <x v="28"/>
    </i>
    <i>
      <x v="40"/>
    </i>
    <i>
      <x v="2"/>
    </i>
    <i>
      <x v="7"/>
    </i>
    <i>
      <x v="17"/>
    </i>
    <i>
      <x v="3"/>
    </i>
    <i>
      <x v="38"/>
    </i>
    <i>
      <x v="9"/>
    </i>
    <i>
      <x v="18"/>
    </i>
    <i>
      <x v="27"/>
    </i>
    <i>
      <x v="4"/>
    </i>
    <i>
      <x v="35"/>
    </i>
    <i t="grand">
      <x/>
    </i>
  </rowItems>
  <colItems count="1">
    <i/>
  </colItems>
  <pageFields count="1">
    <pageField fld="4" hier="-1"/>
  </pageFields>
  <dataFields count="1">
    <dataField name="Number of Users" fld="0" subtotal="count" baseField="1"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69EFA2-1697-4FD8-8F20-377DE4962218}" name="App Usage by Categor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Category">
  <location ref="A1:B20" firstHeaderRow="1" firstDataRow="1" firstDataCol="1"/>
  <pivotFields count="16">
    <pivotField dataField="1" showAll="0"/>
    <pivotField showAll="0"/>
    <pivotField axis="axisRow" showAll="0" sortType="descending">
      <items count="19">
        <item x="16"/>
        <item x="6"/>
        <item x="2"/>
        <item x="10"/>
        <item x="5"/>
        <item x="8"/>
        <item x="13"/>
        <item x="11"/>
        <item x="4"/>
        <item x="1"/>
        <item x="15"/>
        <item x="14"/>
        <item x="3"/>
        <item x="17"/>
        <item x="12"/>
        <item x="0"/>
        <item x="9"/>
        <item x="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2"/>
  </rowFields>
  <rowItems count="19">
    <i>
      <x/>
    </i>
    <i>
      <x v="4"/>
    </i>
    <i>
      <x v="15"/>
    </i>
    <i>
      <x v="9"/>
    </i>
    <i>
      <x v="10"/>
    </i>
    <i>
      <x v="16"/>
    </i>
    <i>
      <x v="5"/>
    </i>
    <i>
      <x v="17"/>
    </i>
    <i>
      <x v="12"/>
    </i>
    <i>
      <x v="8"/>
    </i>
    <i>
      <x v="3"/>
    </i>
    <i>
      <x v="6"/>
    </i>
    <i>
      <x v="1"/>
    </i>
    <i>
      <x v="7"/>
    </i>
    <i>
      <x v="14"/>
    </i>
    <i>
      <x v="2"/>
    </i>
    <i>
      <x v="13"/>
    </i>
    <i>
      <x v="11"/>
    </i>
    <i t="grand">
      <x/>
    </i>
  </rowItems>
  <colItems count="1">
    <i/>
  </colItems>
  <dataFields count="1">
    <dataField name="Number of Reviews" fld="0" subtotal="count" baseField="6" baseItem="3"/>
  </dataFields>
  <conditionalFormats count="1">
    <conditionalFormat type="all" priority="1">
      <pivotAreas count="1">
        <pivotArea type="data" collapsedLevelsAreSubtotals="1" fieldPosition="0">
          <references count="2">
            <reference field="4294967294" count="1" selected="0">
              <x v="0"/>
            </reference>
            <reference field="2" count="18">
              <x v="0"/>
              <x v="1"/>
              <x v="2"/>
              <x v="3"/>
              <x v="4"/>
              <x v="5"/>
              <x v="6"/>
              <x v="7"/>
              <x v="8"/>
              <x v="9"/>
              <x v="10"/>
              <x v="11"/>
              <x v="12"/>
              <x v="13"/>
              <x v="14"/>
              <x v="15"/>
              <x v="16"/>
              <x v="17"/>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EFF826-A8EE-40E1-B42F-4FBD7A80FE60}" name="App Usage by Gender 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Name">
  <location ref="A3:B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showAll="0">
      <items count="3">
        <item x="0"/>
        <item x="1"/>
        <item t="default"/>
      </items>
    </pivotField>
  </pivotFields>
  <rowFields count="1">
    <field x="1"/>
  </rowFields>
  <rowItems count="42">
    <i>
      <x v="31"/>
    </i>
    <i>
      <x v="22"/>
    </i>
    <i>
      <x v="19"/>
    </i>
    <i>
      <x v="20"/>
    </i>
    <i>
      <x v="25"/>
    </i>
    <i>
      <x v="24"/>
    </i>
    <i>
      <x v="6"/>
    </i>
    <i>
      <x v="15"/>
    </i>
    <i>
      <x v="14"/>
    </i>
    <i>
      <x/>
    </i>
    <i>
      <x v="39"/>
    </i>
    <i>
      <x v="3"/>
    </i>
    <i>
      <x v="23"/>
    </i>
    <i>
      <x v="16"/>
    </i>
    <i>
      <x v="8"/>
    </i>
    <i>
      <x v="12"/>
    </i>
    <i>
      <x v="10"/>
    </i>
    <i>
      <x v="9"/>
    </i>
    <i>
      <x v="37"/>
    </i>
    <i>
      <x v="32"/>
    </i>
    <i>
      <x v="28"/>
    </i>
    <i>
      <x v="13"/>
    </i>
    <i>
      <x v="2"/>
    </i>
    <i>
      <x v="27"/>
    </i>
    <i>
      <x v="33"/>
    </i>
    <i>
      <x v="29"/>
    </i>
    <i>
      <x v="5"/>
    </i>
    <i>
      <x v="26"/>
    </i>
    <i>
      <x v="40"/>
    </i>
    <i>
      <x v="11"/>
    </i>
    <i>
      <x v="17"/>
    </i>
    <i>
      <x v="21"/>
    </i>
    <i>
      <x v="30"/>
    </i>
    <i>
      <x v="7"/>
    </i>
    <i>
      <x v="18"/>
    </i>
    <i>
      <x v="1"/>
    </i>
    <i>
      <x v="4"/>
    </i>
    <i>
      <x v="36"/>
    </i>
    <i>
      <x v="34"/>
    </i>
    <i>
      <x v="38"/>
    </i>
    <i>
      <x v="35"/>
    </i>
    <i t="grand">
      <x/>
    </i>
  </rowItems>
  <colItems count="1">
    <i/>
  </colItems>
  <pageFields count="1">
    <pageField fld="15" item="1" hier="-1"/>
  </pageFields>
  <dataFields count="1">
    <dataField name="Number of Users" fld="0" subtotal="count" baseField="1" baseItem="3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87252A5-F6B7-41B0-AC4A-F1374B25C790}" name="App Usage by Gender 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Name">
  <location ref="D3:E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showAll="0">
      <items count="3">
        <item x="0"/>
        <item x="1"/>
        <item t="default"/>
      </items>
    </pivotField>
  </pivotFields>
  <rowFields count="1">
    <field x="1"/>
  </rowFields>
  <rowItems count="42">
    <i>
      <x v="31"/>
    </i>
    <i>
      <x v="32"/>
    </i>
    <i>
      <x v="30"/>
    </i>
    <i>
      <x v="29"/>
    </i>
    <i>
      <x v="5"/>
    </i>
    <i>
      <x v="1"/>
    </i>
    <i>
      <x v="15"/>
    </i>
    <i>
      <x v="10"/>
    </i>
    <i>
      <x v="34"/>
    </i>
    <i>
      <x v="12"/>
    </i>
    <i>
      <x v="33"/>
    </i>
    <i>
      <x v="22"/>
    </i>
    <i>
      <x v="26"/>
    </i>
    <i>
      <x v="24"/>
    </i>
    <i>
      <x v="13"/>
    </i>
    <i>
      <x v="36"/>
    </i>
    <i>
      <x v="39"/>
    </i>
    <i>
      <x v="16"/>
    </i>
    <i>
      <x v="21"/>
    </i>
    <i>
      <x v="8"/>
    </i>
    <i>
      <x v="19"/>
    </i>
    <i>
      <x v="7"/>
    </i>
    <i>
      <x/>
    </i>
    <i>
      <x v="38"/>
    </i>
    <i>
      <x v="11"/>
    </i>
    <i>
      <x v="6"/>
    </i>
    <i>
      <x v="20"/>
    </i>
    <i>
      <x v="25"/>
    </i>
    <i>
      <x v="40"/>
    </i>
    <i>
      <x v="35"/>
    </i>
    <i>
      <x v="28"/>
    </i>
    <i>
      <x v="37"/>
    </i>
    <i>
      <x v="2"/>
    </i>
    <i>
      <x v="14"/>
    </i>
    <i>
      <x v="17"/>
    </i>
    <i>
      <x v="23"/>
    </i>
    <i>
      <x v="4"/>
    </i>
    <i>
      <x v="18"/>
    </i>
    <i>
      <x v="27"/>
    </i>
    <i>
      <x v="9"/>
    </i>
    <i>
      <x v="3"/>
    </i>
    <i t="grand">
      <x/>
    </i>
  </rowItems>
  <colItems count="1">
    <i/>
  </colItems>
  <pageFields count="1">
    <pageField fld="15" item="0" hier="-1"/>
  </pageFields>
  <dataFields count="1">
    <dataField name="Number of Users" fld="0" subtotal="count" baseField="1" baseItem="3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19448C3-EF4E-4054-B735-5C03640353C4}" name="App Usage by Countr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Country">
  <location ref="A1:B26" firstHeaderRow="1" firstDataRow="1" firstDataCol="1"/>
  <pivotFields count="16">
    <pivotField dataField="1" showAll="0"/>
    <pivotField showAll="0"/>
    <pivotField showAll="0"/>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25">
        <item x="5"/>
        <item x="16"/>
        <item x="10"/>
        <item x="12"/>
        <item x="0"/>
        <item x="23"/>
        <item x="1"/>
        <item x="3"/>
        <item x="17"/>
        <item x="21"/>
        <item x="7"/>
        <item x="15"/>
        <item x="19"/>
        <item x="2"/>
        <item x="6"/>
        <item x="14"/>
        <item x="22"/>
        <item x="13"/>
        <item x="4"/>
        <item x="9"/>
        <item x="18"/>
        <item x="11"/>
        <item x="20"/>
        <item x="8"/>
        <item t="default"/>
      </items>
      <autoSortScope>
        <pivotArea dataOnly="0" outline="0" fieldPosition="0">
          <references count="1">
            <reference field="4294967294" count="1" selected="0">
              <x v="0"/>
            </reference>
          </references>
        </pivotArea>
      </autoSortScope>
    </pivotField>
    <pivotField showAll="0"/>
  </pivotFields>
  <rowFields count="1">
    <field x="14"/>
  </rowFields>
  <rowItems count="25">
    <i>
      <x/>
    </i>
    <i>
      <x v="8"/>
    </i>
    <i>
      <x v="20"/>
    </i>
    <i>
      <x v="9"/>
    </i>
    <i>
      <x v="6"/>
    </i>
    <i>
      <x v="10"/>
    </i>
    <i>
      <x v="4"/>
    </i>
    <i>
      <x v="7"/>
    </i>
    <i>
      <x v="1"/>
    </i>
    <i>
      <x v="13"/>
    </i>
    <i>
      <x v="2"/>
    </i>
    <i>
      <x v="3"/>
    </i>
    <i>
      <x v="11"/>
    </i>
    <i>
      <x v="16"/>
    </i>
    <i>
      <x v="18"/>
    </i>
    <i>
      <x v="21"/>
    </i>
    <i>
      <x v="23"/>
    </i>
    <i>
      <x v="14"/>
    </i>
    <i>
      <x v="19"/>
    </i>
    <i>
      <x v="15"/>
    </i>
    <i>
      <x v="22"/>
    </i>
    <i>
      <x v="12"/>
    </i>
    <i>
      <x v="5"/>
    </i>
    <i>
      <x v="17"/>
    </i>
    <i t="grand">
      <x/>
    </i>
  </rowItems>
  <colItems count="1">
    <i/>
  </colItems>
  <dataFields count="1">
    <dataField name="Number of Reviews" fld="0" subtotal="count" baseField="6" baseItem="3"/>
  </dataFields>
  <formats count="2">
    <format dxfId="6">
      <pivotArea collapsedLevelsAreSubtotals="1" fieldPosition="0">
        <references count="1">
          <reference field="14" count="3">
            <x v="0"/>
            <x v="8"/>
            <x v="20"/>
          </reference>
        </references>
      </pivotArea>
    </format>
    <format dxfId="5">
      <pivotArea collapsedLevelsAreSubtotals="1" fieldPosition="0">
        <references count="1">
          <reference field="14" count="3">
            <x v="0"/>
            <x v="8"/>
            <x v="20"/>
          </reference>
        </references>
      </pivotArea>
    </format>
  </formats>
  <conditionalFormats count="1">
    <conditionalFormat type="all" priority="1">
      <pivotAreas count="1">
        <pivotArea type="data" collapsedLevelsAreSubtotals="1" fieldPosition="0">
          <references count="2">
            <reference field="4294967294" count="1" selected="0">
              <x v="0"/>
            </reference>
            <reference field="14" count="24">
              <x v="0"/>
              <x v="1"/>
              <x v="2"/>
              <x v="3"/>
              <x v="4"/>
              <x v="5"/>
              <x v="6"/>
              <x v="7"/>
              <x v="8"/>
              <x v="9"/>
              <x v="10"/>
              <x v="11"/>
              <x v="12"/>
              <x v="13"/>
              <x v="14"/>
              <x v="15"/>
              <x v="16"/>
              <x v="17"/>
              <x v="18"/>
              <x v="19"/>
              <x v="20"/>
              <x v="21"/>
              <x v="22"/>
              <x v="23"/>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Year" xr10:uid="{F78C86E7-A1A7-4D5D-8E0E-8B9B6DB5A892}" sourceName="Review Year">
  <pivotTables>
    <pivotTable tabId="7" name="App Reviews by Year"/>
    <pivotTable tabId="4" name="Rating by App Name 1"/>
    <pivotTable tabId="4" name="Rating by App Name 2"/>
    <pivotTable tabId="4" name="Rating by App Name 3"/>
    <pivotTable tabId="4" name="Rating by App Name 4"/>
    <pivotTable tabId="6" name="App Reviews by Month"/>
    <pivotTable tabId="5" name="App Reviews by Day"/>
    <pivotTable tabId="8" name="App Usage by Age Count 1"/>
    <pivotTable tabId="8" name="App Usage by Age Count 2"/>
    <pivotTable tabId="8" name="App Usage by Age Count 3"/>
    <pivotTable tabId="12" name="App Usage by Category"/>
    <pivotTable tabId="3" name="App Usage by Count"/>
    <pivotTable tabId="11" name="App Usage by Country"/>
    <pivotTable tabId="9" name="App Usage by Gender 1"/>
    <pivotTable tabId="9" name="App Usage by Gender 2"/>
    <pivotTable tabId="14" name="App Name"/>
  </pivotTables>
  <data>
    <tabular pivotCacheId="23422688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58E12516-0E3F-421E-928D-4E8BDA51E312}" sourceName="Rating Category">
  <pivotTables>
    <pivotTable tabId="4" name="Rating by App Name 4"/>
    <pivotTable tabId="4" name="Rating by App Name 1"/>
    <pivotTable tabId="4" name="Rating by App Name 2"/>
    <pivotTable tabId="4" name="Rating by App Name 3"/>
    <pivotTable tabId="6" name="App Reviews by Month"/>
    <pivotTable tabId="5" name="App Reviews by Day"/>
    <pivotTable tabId="8" name="App Usage by Age Count 1"/>
    <pivotTable tabId="8" name="App Usage by Age Count 2"/>
    <pivotTable tabId="8" name="App Usage by Age Count 3"/>
    <pivotTable tabId="12" name="App Usage by Category"/>
    <pivotTable tabId="3" name="App Usage by Count"/>
    <pivotTable tabId="11" name="App Usage by Country"/>
    <pivotTable tabId="9" name="App Usage by Gender 1"/>
    <pivotTable tabId="9" name="App Usage by Gender 2"/>
    <pivotTable tabId="7" name="App Reviews by Year"/>
    <pivotTable tabId="14" name="App Name"/>
  </pivotTables>
  <data>
    <tabular pivotCacheId="23422688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Year" xr10:uid="{8CA27B9B-3CEF-465B-8128-22F12ADDBC3C}" cache="Slicer_Review_Year" caption="Review 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FD0047AC-C371-46C3-B0E8-55A56A301CF6}" cache="Slicer_Rating_Category" caption="Rating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Year 1" xr10:uid="{9F88C385-D6CE-477C-AE83-8B23CA23F35C}" cache="Slicer_Review_Year" caption="Review Year" style="Slicer Style 1" rowHeight="241300"/>
  <slicer name="Rating Category 1" xr10:uid="{FAFEF822-2D78-427F-9D9F-9EBCF8F0C8ED}" cache="Slicer_Rating_Category" caption="Rating Catego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DC6A05-ED48-49CA-9565-1146FAA920E0}" name="Multilingual_Mobilr_App_Reviews_2025" displayName="Multilingual_Mobilr_App_Reviews_2025" ref="A1:P942" totalsRowShown="0" headerRowDxfId="4">
  <autoFilter ref="A1:P942" xr:uid="{C35A05F3-F783-4541-85C7-B508A079D6AD}"/>
  <tableColumns count="16">
    <tableColumn id="1" xr3:uid="{5F126E95-D18B-4AF3-8818-A6CC9AA30D9B}" name="User Id"/>
    <tableColumn id="2" xr3:uid="{B19DAB13-0E9B-476F-A3DE-DE3397CA18C2}" name="App Name"/>
    <tableColumn id="3" xr3:uid="{76FF9CD4-9EE9-4C53-9CA7-27F558366B3C}" name="App Category"/>
    <tableColumn id="4" xr3:uid="{2B764D7F-3387-482E-A54E-19E7EEC7F270}" name="Rating"/>
    <tableColumn id="5" xr3:uid="{91795F36-76D0-49B5-81AB-770378068E33}" name="Rating Category">
      <calculatedColumnFormula>IF(D2&lt;2,"Poor",IF(AND(D2&gt;=2,D2&lt;=3),"Good",IF(AND(D2&gt;3,D2&lt;=4),"Very Good",IF(D2&gt;4,"Excellent"))))</calculatedColumnFormula>
    </tableColumn>
    <tableColumn id="6" xr3:uid="{96BCD7B1-71E8-4A07-A458-1646AF6F9E4E}" name="Review Date" dataDxfId="3"/>
    <tableColumn id="7" xr3:uid="{B50CDEBF-76D9-4E57-A59F-B882285CCECD}" name="Review Day" dataDxfId="2">
      <calculatedColumnFormula>TEXT(F2,"DDDD")</calculatedColumnFormula>
    </tableColumn>
    <tableColumn id="8" xr3:uid="{065B8CAD-37E5-417C-9ADB-7B2528705BA1}" name="Review Month" dataDxfId="1">
      <calculatedColumnFormula>TEXT(F2,"MMMM")</calculatedColumnFormula>
    </tableColumn>
    <tableColumn id="9" xr3:uid="{4F9BD582-D0E7-4749-A85A-DC1AB9B6D237}" name="Review Year" dataDxfId="0">
      <calculatedColumnFormula>TEXT(F2,"YYYY")</calculatedColumnFormula>
    </tableColumn>
    <tableColumn id="10" xr3:uid="{BB74BD5B-DD79-4B7D-A1BE-4021B5946926}" name="Verified Purchase"/>
    <tableColumn id="11" xr3:uid="{8CD36CE1-223B-426D-8749-62D6C488AA69}" name="Device Type"/>
    <tableColumn id="12" xr3:uid="{854F4D6F-B382-4348-A268-8BF37EBF42A6}" name="Number of Votes"/>
    <tableColumn id="13" xr3:uid="{1A46C7BF-755A-49A1-B077-A557CD81CBFF}" name="User Age"/>
    <tableColumn id="14" xr3:uid="{2FD5CDD5-4D2B-4E59-B1FD-B2591D29885D}" name="Age Class">
      <calculatedColumnFormula>IF(M2&lt;=17,"Teenagers", IF(AND(M2&gt;=18,M2&lt;61),"Adults",IF(M2&gt;60,"Seniors")))</calculatedColumnFormula>
    </tableColumn>
    <tableColumn id="15" xr3:uid="{A43D110D-54E4-45A1-8A50-0B1A3D84C6B9}" name="User Country"/>
    <tableColumn id="16" xr3:uid="{044D0DDD-AEF0-4E75-A5E9-95B86B46FF75}" name="User Gend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2.xml"/><Relationship Id="rId5" Type="http://schemas.openxmlformats.org/officeDocument/2006/relationships/drawing" Target="../drawings/drawing6.xml"/><Relationship Id="rId4"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081A-5E3C-4987-84CD-4C2E4BE2B16B}">
  <sheetPr>
    <tabColor theme="9" tint="-0.499984740745262"/>
  </sheetPr>
  <dimension ref="A2:C44"/>
  <sheetViews>
    <sheetView zoomScaleNormal="100" workbookViewId="0">
      <selection activeCell="C20" sqref="C20"/>
    </sheetView>
  </sheetViews>
  <sheetFormatPr defaultRowHeight="15" x14ac:dyDescent="0.25"/>
  <cols>
    <col min="1" max="1" width="17" bestFit="1" customWidth="1"/>
    <col min="2" max="2" width="4" customWidth="1"/>
    <col min="3" max="3" width="19.5703125" customWidth="1"/>
  </cols>
  <sheetData>
    <row r="2" spans="1:3" x14ac:dyDescent="0.25">
      <c r="A2" s="3" t="s">
        <v>160</v>
      </c>
      <c r="C2" s="13" t="s">
        <v>159</v>
      </c>
    </row>
    <row r="3" spans="1:3" x14ac:dyDescent="0.25">
      <c r="A3" s="4" t="s">
        <v>33</v>
      </c>
      <c r="C3">
        <f>COUNTA(A3:A43)</f>
        <v>41</v>
      </c>
    </row>
    <row r="4" spans="1:3" x14ac:dyDescent="0.25">
      <c r="A4" s="4" t="s">
        <v>80</v>
      </c>
    </row>
    <row r="5" spans="1:3" x14ac:dyDescent="0.25">
      <c r="A5" s="4" t="s">
        <v>74</v>
      </c>
    </row>
    <row r="6" spans="1:3" x14ac:dyDescent="0.25">
      <c r="A6" s="4" t="s">
        <v>54</v>
      </c>
    </row>
    <row r="7" spans="1:3" x14ac:dyDescent="0.25">
      <c r="A7" s="4" t="s">
        <v>78</v>
      </c>
    </row>
    <row r="8" spans="1:3" x14ac:dyDescent="0.25">
      <c r="A8" s="4" t="s">
        <v>25</v>
      </c>
    </row>
    <row r="9" spans="1:3" x14ac:dyDescent="0.25">
      <c r="A9" s="4" t="s">
        <v>32</v>
      </c>
    </row>
    <row r="10" spans="1:3" x14ac:dyDescent="0.25">
      <c r="A10" s="4" t="s">
        <v>67</v>
      </c>
    </row>
    <row r="11" spans="1:3" x14ac:dyDescent="0.25">
      <c r="A11" s="4" t="s">
        <v>30</v>
      </c>
    </row>
    <row r="12" spans="1:3" x14ac:dyDescent="0.25">
      <c r="A12" s="4" t="s">
        <v>61</v>
      </c>
    </row>
    <row r="13" spans="1:3" x14ac:dyDescent="0.25">
      <c r="A13" s="4" t="s">
        <v>40</v>
      </c>
    </row>
    <row r="14" spans="1:3" x14ac:dyDescent="0.25">
      <c r="A14" s="4" t="s">
        <v>46</v>
      </c>
    </row>
    <row r="15" spans="1:3" x14ac:dyDescent="0.25">
      <c r="A15" s="4" t="s">
        <v>17</v>
      </c>
    </row>
    <row r="16" spans="1:3" x14ac:dyDescent="0.25">
      <c r="A16" s="4" t="s">
        <v>52</v>
      </c>
    </row>
    <row r="17" spans="1:1" x14ac:dyDescent="0.25">
      <c r="A17" s="4" t="s">
        <v>82</v>
      </c>
    </row>
    <row r="18" spans="1:1" x14ac:dyDescent="0.25">
      <c r="A18" s="4" t="s">
        <v>69</v>
      </c>
    </row>
    <row r="19" spans="1:1" x14ac:dyDescent="0.25">
      <c r="A19" s="4" t="s">
        <v>41</v>
      </c>
    </row>
    <row r="20" spans="1:1" x14ac:dyDescent="0.25">
      <c r="A20" s="4" t="s">
        <v>49</v>
      </c>
    </row>
    <row r="21" spans="1:1" x14ac:dyDescent="0.25">
      <c r="A21" s="4" t="s">
        <v>83</v>
      </c>
    </row>
    <row r="22" spans="1:1" x14ac:dyDescent="0.25">
      <c r="A22" s="4" t="s">
        <v>28</v>
      </c>
    </row>
    <row r="23" spans="1:1" x14ac:dyDescent="0.25">
      <c r="A23" s="4" t="s">
        <v>0</v>
      </c>
    </row>
    <row r="24" spans="1:1" x14ac:dyDescent="0.25">
      <c r="A24" s="4" t="s">
        <v>10</v>
      </c>
    </row>
    <row r="25" spans="1:1" x14ac:dyDescent="0.25">
      <c r="A25" s="4" t="s">
        <v>71</v>
      </c>
    </row>
    <row r="26" spans="1:1" x14ac:dyDescent="0.25">
      <c r="A26" s="4" t="s">
        <v>51</v>
      </c>
    </row>
    <row r="27" spans="1:1" x14ac:dyDescent="0.25">
      <c r="A27" s="4" t="s">
        <v>76</v>
      </c>
    </row>
    <row r="28" spans="1:1" x14ac:dyDescent="0.25">
      <c r="A28" s="4" t="s">
        <v>60</v>
      </c>
    </row>
    <row r="29" spans="1:1" x14ac:dyDescent="0.25">
      <c r="A29" s="4" t="s">
        <v>23</v>
      </c>
    </row>
    <row r="30" spans="1:1" x14ac:dyDescent="0.25">
      <c r="A30" s="4" t="s">
        <v>45</v>
      </c>
    </row>
    <row r="31" spans="1:1" x14ac:dyDescent="0.25">
      <c r="A31" s="4" t="s">
        <v>70</v>
      </c>
    </row>
    <row r="32" spans="1:1" x14ac:dyDescent="0.25">
      <c r="A32" s="4" t="s">
        <v>84</v>
      </c>
    </row>
    <row r="33" spans="1:1" x14ac:dyDescent="0.25">
      <c r="A33" s="4" t="s">
        <v>89</v>
      </c>
    </row>
    <row r="34" spans="1:1" x14ac:dyDescent="0.25">
      <c r="A34" s="4" t="s">
        <v>5</v>
      </c>
    </row>
    <row r="35" spans="1:1" x14ac:dyDescent="0.25">
      <c r="A35" s="4" t="s">
        <v>88</v>
      </c>
    </row>
    <row r="36" spans="1:1" x14ac:dyDescent="0.25">
      <c r="A36" s="4" t="s">
        <v>79</v>
      </c>
    </row>
    <row r="37" spans="1:1" x14ac:dyDescent="0.25">
      <c r="A37" s="4" t="s">
        <v>35</v>
      </c>
    </row>
    <row r="38" spans="1:1" x14ac:dyDescent="0.25">
      <c r="A38" s="4" t="s">
        <v>13</v>
      </c>
    </row>
    <row r="39" spans="1:1" x14ac:dyDescent="0.25">
      <c r="A39" s="4" t="s">
        <v>73</v>
      </c>
    </row>
    <row r="40" spans="1:1" x14ac:dyDescent="0.25">
      <c r="A40" s="4" t="s">
        <v>64</v>
      </c>
    </row>
    <row r="41" spans="1:1" x14ac:dyDescent="0.25">
      <c r="A41" s="4" t="s">
        <v>87</v>
      </c>
    </row>
    <row r="42" spans="1:1" x14ac:dyDescent="0.25">
      <c r="A42" s="4" t="s">
        <v>62</v>
      </c>
    </row>
    <row r="43" spans="1:1" x14ac:dyDescent="0.25">
      <c r="A43" s="4" t="s">
        <v>56</v>
      </c>
    </row>
    <row r="44" spans="1:1" x14ac:dyDescent="0.25">
      <c r="A44" s="4"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E6C43-CC9A-4E93-B87F-0A0F5EDA3E6F}">
  <sheetPr>
    <tabColor rgb="FFC00000"/>
  </sheetPr>
  <dimension ref="A2:E45"/>
  <sheetViews>
    <sheetView workbookViewId="0">
      <selection activeCell="C20" sqref="C20"/>
    </sheetView>
  </sheetViews>
  <sheetFormatPr defaultRowHeight="15" x14ac:dyDescent="0.25"/>
  <cols>
    <col min="1" max="1" width="17" bestFit="1" customWidth="1"/>
    <col min="2" max="2" width="16.140625" bestFit="1" customWidth="1"/>
    <col min="4" max="4" width="17.7109375" customWidth="1"/>
    <col min="5" max="5" width="16.42578125" customWidth="1"/>
  </cols>
  <sheetData>
    <row r="2" spans="1:5" x14ac:dyDescent="0.25">
      <c r="D2" s="17" t="s">
        <v>108</v>
      </c>
      <c r="E2" s="17"/>
    </row>
    <row r="3" spans="1:5" x14ac:dyDescent="0.25">
      <c r="A3" s="3" t="s">
        <v>91</v>
      </c>
      <c r="B3" t="s">
        <v>107</v>
      </c>
      <c r="D3" s="5" t="s">
        <v>91</v>
      </c>
      <c r="E3" s="5" t="s">
        <v>107</v>
      </c>
    </row>
    <row r="4" spans="1:5" x14ac:dyDescent="0.25">
      <c r="A4" s="4" t="s">
        <v>5</v>
      </c>
      <c r="B4">
        <v>39</v>
      </c>
      <c r="D4" s="4" t="s">
        <v>5</v>
      </c>
      <c r="E4">
        <f>GETPIVOTDATA("User Id",$A$3,"App Name","Tinder")</f>
        <v>39</v>
      </c>
    </row>
    <row r="5" spans="1:5" x14ac:dyDescent="0.25">
      <c r="A5" s="4" t="s">
        <v>71</v>
      </c>
      <c r="B5">
        <v>31</v>
      </c>
      <c r="D5" s="4" t="s">
        <v>71</v>
      </c>
      <c r="E5">
        <f>GETPIVOTDATA("User Id",$A$3,"App Name","OneDrive")</f>
        <v>31</v>
      </c>
    </row>
    <row r="6" spans="1:5" x14ac:dyDescent="0.25">
      <c r="A6" s="4" t="s">
        <v>69</v>
      </c>
      <c r="B6">
        <v>31</v>
      </c>
      <c r="D6" s="4" t="s">
        <v>69</v>
      </c>
      <c r="E6">
        <f>GETPIVOTDATA("User Id",$A$3,"App Name","Instagram")</f>
        <v>31</v>
      </c>
    </row>
    <row r="7" spans="1:5" x14ac:dyDescent="0.25">
      <c r="A7" s="4" t="s">
        <v>76</v>
      </c>
      <c r="B7">
        <v>29</v>
      </c>
      <c r="D7" s="4" t="s">
        <v>76</v>
      </c>
      <c r="E7">
        <f>GETPIVOTDATA("User Id",$A$3,"App Name","Pinterest")</f>
        <v>29</v>
      </c>
    </row>
    <row r="8" spans="1:5" x14ac:dyDescent="0.25">
      <c r="A8" s="4" t="s">
        <v>88</v>
      </c>
      <c r="B8">
        <v>29</v>
      </c>
      <c r="D8" s="4" t="s">
        <v>88</v>
      </c>
      <c r="E8">
        <f>GETPIVOTDATA("User Id",$A$3,"App Name","Twitter")</f>
        <v>29</v>
      </c>
    </row>
    <row r="9" spans="1:5" x14ac:dyDescent="0.25">
      <c r="A9" s="4" t="s">
        <v>28</v>
      </c>
      <c r="B9">
        <v>29</v>
      </c>
      <c r="D9" s="4" t="s">
        <v>28</v>
      </c>
      <c r="E9">
        <f>GETPIVOTDATA("User Id",$A$3,"App Name","Microsoft Office")</f>
        <v>29</v>
      </c>
    </row>
    <row r="10" spans="1:5" x14ac:dyDescent="0.25">
      <c r="A10" s="4" t="s">
        <v>0</v>
      </c>
      <c r="B10">
        <v>28</v>
      </c>
      <c r="D10" s="4" t="s">
        <v>0</v>
      </c>
      <c r="E10">
        <f>GETPIVOTDATA("User Id",$A$3,"App Name","MX Player")</f>
        <v>28</v>
      </c>
    </row>
    <row r="11" spans="1:5" x14ac:dyDescent="0.25">
      <c r="A11" s="4" t="s">
        <v>40</v>
      </c>
      <c r="B11">
        <v>27</v>
      </c>
      <c r="D11" s="4" t="s">
        <v>40</v>
      </c>
      <c r="E11">
        <f>GETPIVOTDATA("User Id",$A$3,"App Name","eBay")</f>
        <v>27</v>
      </c>
    </row>
    <row r="12" spans="1:5" x14ac:dyDescent="0.25">
      <c r="A12" s="4" t="s">
        <v>32</v>
      </c>
      <c r="B12">
        <v>27</v>
      </c>
      <c r="D12" s="4" t="s">
        <v>32</v>
      </c>
      <c r="E12">
        <f>GETPIVOTDATA("User Id",$A$3,"App Name","Coursera")</f>
        <v>27</v>
      </c>
    </row>
    <row r="13" spans="1:5" x14ac:dyDescent="0.25">
      <c r="A13" s="4" t="s">
        <v>84</v>
      </c>
      <c r="B13">
        <v>26</v>
      </c>
      <c r="D13" s="4" t="s">
        <v>84</v>
      </c>
      <c r="E13">
        <f>GETPIVOTDATA("User Id",$A$3,"App Name","Telegram")</f>
        <v>26</v>
      </c>
    </row>
    <row r="14" spans="1:5" x14ac:dyDescent="0.25">
      <c r="A14" s="4" t="s">
        <v>60</v>
      </c>
      <c r="B14">
        <v>26</v>
      </c>
      <c r="D14" s="4" t="s">
        <v>60</v>
      </c>
      <c r="E14">
        <f>GETPIVOTDATA("User Id",$A$3,"App Name","Reddit")</f>
        <v>26</v>
      </c>
    </row>
    <row r="15" spans="1:5" x14ac:dyDescent="0.25">
      <c r="A15" s="4" t="s">
        <v>62</v>
      </c>
      <c r="B15">
        <v>26</v>
      </c>
      <c r="D15" s="4" t="s">
        <v>62</v>
      </c>
      <c r="E15">
        <f>GETPIVOTDATA("User Id",$A$3,"App Name","YouTube")</f>
        <v>26</v>
      </c>
    </row>
    <row r="16" spans="1:5" x14ac:dyDescent="0.25">
      <c r="A16" s="4" t="s">
        <v>17</v>
      </c>
      <c r="B16">
        <v>26</v>
      </c>
      <c r="D16" s="4" t="s">
        <v>17</v>
      </c>
      <c r="E16">
        <f>GETPIVOTDATA("User Id",$A$3,"App Name","Google Drive")</f>
        <v>26</v>
      </c>
    </row>
    <row r="17" spans="1:5" x14ac:dyDescent="0.25">
      <c r="A17" s="4" t="s">
        <v>33</v>
      </c>
      <c r="B17">
        <v>26</v>
      </c>
      <c r="D17" s="4" t="s">
        <v>33</v>
      </c>
      <c r="E17">
        <f>GETPIVOTDATA("User Id",$A$3,"App Name","Adobe Photoshop")</f>
        <v>26</v>
      </c>
    </row>
    <row r="18" spans="1:5" x14ac:dyDescent="0.25">
      <c r="A18" s="4" t="s">
        <v>25</v>
      </c>
      <c r="B18">
        <v>25</v>
      </c>
    </row>
    <row r="19" spans="1:5" x14ac:dyDescent="0.25">
      <c r="A19" s="4" t="s">
        <v>89</v>
      </c>
      <c r="B19">
        <v>25</v>
      </c>
    </row>
    <row r="20" spans="1:5" x14ac:dyDescent="0.25">
      <c r="A20" s="4" t="s">
        <v>41</v>
      </c>
      <c r="B20">
        <v>24</v>
      </c>
    </row>
    <row r="21" spans="1:5" x14ac:dyDescent="0.25">
      <c r="A21" s="4" t="s">
        <v>30</v>
      </c>
      <c r="B21">
        <v>24</v>
      </c>
    </row>
    <row r="22" spans="1:5" x14ac:dyDescent="0.25">
      <c r="A22" s="4" t="s">
        <v>79</v>
      </c>
      <c r="B22">
        <v>24</v>
      </c>
    </row>
    <row r="23" spans="1:5" x14ac:dyDescent="0.25">
      <c r="A23" s="4" t="s">
        <v>52</v>
      </c>
      <c r="B23">
        <v>24</v>
      </c>
    </row>
    <row r="24" spans="1:5" x14ac:dyDescent="0.25">
      <c r="A24" s="4" t="s">
        <v>82</v>
      </c>
      <c r="B24">
        <v>24</v>
      </c>
    </row>
    <row r="25" spans="1:5" x14ac:dyDescent="0.25">
      <c r="A25" s="4" t="s">
        <v>23</v>
      </c>
      <c r="B25">
        <v>23</v>
      </c>
    </row>
    <row r="26" spans="1:5" x14ac:dyDescent="0.25">
      <c r="A26" s="4" t="s">
        <v>80</v>
      </c>
      <c r="B26">
        <v>23</v>
      </c>
    </row>
    <row r="27" spans="1:5" x14ac:dyDescent="0.25">
      <c r="A27" s="4" t="s">
        <v>35</v>
      </c>
      <c r="B27">
        <v>21</v>
      </c>
    </row>
    <row r="28" spans="1:5" x14ac:dyDescent="0.25">
      <c r="A28" s="4" t="s">
        <v>10</v>
      </c>
      <c r="B28">
        <v>21</v>
      </c>
    </row>
    <row r="29" spans="1:5" x14ac:dyDescent="0.25">
      <c r="A29" s="4" t="s">
        <v>51</v>
      </c>
      <c r="B29">
        <v>21</v>
      </c>
    </row>
    <row r="30" spans="1:5" x14ac:dyDescent="0.25">
      <c r="A30" s="4" t="s">
        <v>46</v>
      </c>
      <c r="B30">
        <v>20</v>
      </c>
    </row>
    <row r="31" spans="1:5" x14ac:dyDescent="0.25">
      <c r="A31" s="4" t="s">
        <v>64</v>
      </c>
      <c r="B31">
        <v>20</v>
      </c>
    </row>
    <row r="32" spans="1:5" x14ac:dyDescent="0.25">
      <c r="A32" s="4" t="s">
        <v>73</v>
      </c>
      <c r="B32">
        <v>20</v>
      </c>
    </row>
    <row r="33" spans="1:2" x14ac:dyDescent="0.25">
      <c r="A33" s="4" t="s">
        <v>70</v>
      </c>
      <c r="B33">
        <v>20</v>
      </c>
    </row>
    <row r="34" spans="1:2" x14ac:dyDescent="0.25">
      <c r="A34" s="4" t="s">
        <v>56</v>
      </c>
      <c r="B34">
        <v>20</v>
      </c>
    </row>
    <row r="35" spans="1:2" x14ac:dyDescent="0.25">
      <c r="A35" s="4" t="s">
        <v>74</v>
      </c>
      <c r="B35">
        <v>20</v>
      </c>
    </row>
    <row r="36" spans="1:2" x14ac:dyDescent="0.25">
      <c r="A36" s="4" t="s">
        <v>67</v>
      </c>
      <c r="B36">
        <v>19</v>
      </c>
    </row>
    <row r="37" spans="1:2" x14ac:dyDescent="0.25">
      <c r="A37" s="4" t="s">
        <v>49</v>
      </c>
      <c r="B37">
        <v>17</v>
      </c>
    </row>
    <row r="38" spans="1:2" x14ac:dyDescent="0.25">
      <c r="A38" s="4" t="s">
        <v>54</v>
      </c>
      <c r="B38">
        <v>17</v>
      </c>
    </row>
    <row r="39" spans="1:2" x14ac:dyDescent="0.25">
      <c r="A39" s="4" t="s">
        <v>87</v>
      </c>
      <c r="B39">
        <v>16</v>
      </c>
    </row>
    <row r="40" spans="1:2" x14ac:dyDescent="0.25">
      <c r="A40" s="4" t="s">
        <v>61</v>
      </c>
      <c r="B40">
        <v>16</v>
      </c>
    </row>
    <row r="41" spans="1:2" x14ac:dyDescent="0.25">
      <c r="A41" s="4" t="s">
        <v>83</v>
      </c>
      <c r="B41">
        <v>15</v>
      </c>
    </row>
    <row r="42" spans="1:2" x14ac:dyDescent="0.25">
      <c r="A42" s="4" t="s">
        <v>45</v>
      </c>
      <c r="B42">
        <v>15</v>
      </c>
    </row>
    <row r="43" spans="1:2" x14ac:dyDescent="0.25">
      <c r="A43" s="4" t="s">
        <v>78</v>
      </c>
      <c r="B43">
        <v>14</v>
      </c>
    </row>
    <row r="44" spans="1:2" x14ac:dyDescent="0.25">
      <c r="A44" s="4" t="s">
        <v>13</v>
      </c>
      <c r="B44">
        <v>13</v>
      </c>
    </row>
    <row r="45" spans="1:2" x14ac:dyDescent="0.25">
      <c r="A45" s="4" t="s">
        <v>106</v>
      </c>
      <c r="B45">
        <v>941</v>
      </c>
    </row>
  </sheetData>
  <mergeCells count="1">
    <mergeCell ref="D2:E2"/>
  </mergeCells>
  <conditionalFormatting pivot="1" sqref="B4:B44">
    <cfRule type="top10" dxfId="9" priority="1" rank="10"/>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C979-06A2-44EC-AE36-4970C276171D}">
  <sheetPr>
    <tabColor rgb="FFFFC000"/>
  </sheetPr>
  <dimension ref="A1:F9"/>
  <sheetViews>
    <sheetView workbookViewId="0">
      <selection sqref="A1:B9"/>
    </sheetView>
  </sheetViews>
  <sheetFormatPr defaultRowHeight="15" x14ac:dyDescent="0.25"/>
  <cols>
    <col min="1" max="1" width="14.42578125" bestFit="1" customWidth="1"/>
    <col min="2" max="2" width="18.7109375" bestFit="1" customWidth="1"/>
    <col min="4" max="4" width="15.7109375" customWidth="1"/>
    <col min="5" max="5" width="18.42578125" customWidth="1"/>
    <col min="6" max="6" width="12" customWidth="1"/>
  </cols>
  <sheetData>
    <row r="1" spans="1:6" x14ac:dyDescent="0.25">
      <c r="A1" s="3" t="s">
        <v>123</v>
      </c>
      <c r="B1" t="s">
        <v>121</v>
      </c>
      <c r="D1" s="5" t="s">
        <v>123</v>
      </c>
      <c r="E1" s="5" t="s">
        <v>122</v>
      </c>
      <c r="F1" s="5" t="s">
        <v>124</v>
      </c>
    </row>
    <row r="2" spans="1:6" x14ac:dyDescent="0.25">
      <c r="A2" s="4" t="s">
        <v>116</v>
      </c>
      <c r="B2">
        <v>164</v>
      </c>
      <c r="D2" s="4" t="s">
        <v>116</v>
      </c>
      <c r="E2">
        <f>GETPIVOTDATA("User Id",$A$1,"Review Day","Wednesday")</f>
        <v>164</v>
      </c>
      <c r="F2" s="7">
        <f>E2/$E$9</f>
        <v>0.17428267800212541</v>
      </c>
    </row>
    <row r="3" spans="1:6" x14ac:dyDescent="0.25">
      <c r="A3" s="4" t="s">
        <v>118</v>
      </c>
      <c r="B3">
        <v>139</v>
      </c>
      <c r="D3" s="4" t="s">
        <v>118</v>
      </c>
      <c r="E3">
        <f>GETPIVOTDATA("User Id",$A$1,"Review Day","Friday")</f>
        <v>139</v>
      </c>
      <c r="F3" s="7">
        <f t="shared" ref="F3:F8" si="0">E3/$E$9</f>
        <v>0.14771519659936239</v>
      </c>
    </row>
    <row r="4" spans="1:6" x14ac:dyDescent="0.25">
      <c r="A4" s="4" t="s">
        <v>114</v>
      </c>
      <c r="B4">
        <v>138</v>
      </c>
      <c r="D4" s="4" t="s">
        <v>114</v>
      </c>
      <c r="E4">
        <f>GETPIVOTDATA("User Id",$A$1,"Review Day","Monday")</f>
        <v>138</v>
      </c>
      <c r="F4" s="7">
        <f t="shared" si="0"/>
        <v>0.14665249734325186</v>
      </c>
    </row>
    <row r="5" spans="1:6" x14ac:dyDescent="0.25">
      <c r="A5" s="4" t="s">
        <v>113</v>
      </c>
      <c r="B5">
        <v>128</v>
      </c>
      <c r="D5" s="4" t="s">
        <v>113</v>
      </c>
      <c r="E5">
        <f>GETPIVOTDATA("User Id",$A$1,"Review Day","Sunday")</f>
        <v>128</v>
      </c>
      <c r="F5" s="7">
        <f t="shared" si="0"/>
        <v>0.13602550478214664</v>
      </c>
    </row>
    <row r="6" spans="1:6" x14ac:dyDescent="0.25">
      <c r="A6" s="4" t="s">
        <v>119</v>
      </c>
      <c r="B6">
        <v>127</v>
      </c>
      <c r="D6" s="4" t="s">
        <v>119</v>
      </c>
      <c r="E6">
        <f>GETPIVOTDATA("User Id",$A$1,"Review Day","Saturday")</f>
        <v>127</v>
      </c>
      <c r="F6" s="7">
        <f t="shared" si="0"/>
        <v>0.13496280552603612</v>
      </c>
    </row>
    <row r="7" spans="1:6" x14ac:dyDescent="0.25">
      <c r="A7" s="4" t="s">
        <v>117</v>
      </c>
      <c r="B7">
        <v>125</v>
      </c>
      <c r="D7" s="4" t="s">
        <v>117</v>
      </c>
      <c r="E7">
        <f>GETPIVOTDATA("User Id",$A$1,"Review Day","Thursday")</f>
        <v>125</v>
      </c>
      <c r="F7" s="7">
        <f t="shared" si="0"/>
        <v>0.13283740701381508</v>
      </c>
    </row>
    <row r="8" spans="1:6" x14ac:dyDescent="0.25">
      <c r="A8" s="4" t="s">
        <v>115</v>
      </c>
      <c r="B8">
        <v>120</v>
      </c>
      <c r="D8" s="4" t="s">
        <v>115</v>
      </c>
      <c r="E8">
        <f>GETPIVOTDATA("User Id",$A$1,"Review Day","Tuesday")</f>
        <v>120</v>
      </c>
      <c r="F8" s="7">
        <f t="shared" si="0"/>
        <v>0.1275239107332625</v>
      </c>
    </row>
    <row r="9" spans="1:6" x14ac:dyDescent="0.25">
      <c r="A9" s="4" t="s">
        <v>106</v>
      </c>
      <c r="B9">
        <v>941</v>
      </c>
      <c r="D9" s="4" t="s">
        <v>125</v>
      </c>
      <c r="E9">
        <f>SUM(E2:E8)</f>
        <v>941</v>
      </c>
      <c r="F9" s="7">
        <f>E9/$E$9</f>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3913-9E2A-4191-AA76-E925FAF7BBC5}">
  <sheetPr>
    <tabColor rgb="FF00B050"/>
  </sheetPr>
  <dimension ref="A1:F17"/>
  <sheetViews>
    <sheetView workbookViewId="0">
      <selection activeCell="E12" sqref="E12"/>
    </sheetView>
  </sheetViews>
  <sheetFormatPr defaultRowHeight="15" x14ac:dyDescent="0.25"/>
  <cols>
    <col min="1" max="1" width="17.28515625" bestFit="1" customWidth="1"/>
    <col min="2" max="2" width="18.7109375" bestFit="1" customWidth="1"/>
    <col min="4" max="4" width="15.42578125" customWidth="1"/>
    <col min="5" max="5" width="18.5703125" customWidth="1"/>
    <col min="6" max="6" width="12.5703125" customWidth="1"/>
  </cols>
  <sheetData>
    <row r="1" spans="1:6" x14ac:dyDescent="0.25">
      <c r="A1" s="3" t="s">
        <v>138</v>
      </c>
      <c r="B1" t="s">
        <v>121</v>
      </c>
      <c r="D1" s="18" t="s">
        <v>139</v>
      </c>
      <c r="E1" s="18"/>
      <c r="F1" s="18"/>
    </row>
    <row r="2" spans="1:6" x14ac:dyDescent="0.25">
      <c r="A2" s="4" t="s">
        <v>135</v>
      </c>
      <c r="B2">
        <v>88</v>
      </c>
      <c r="D2" s="6" t="s">
        <v>138</v>
      </c>
      <c r="E2" s="6" t="s">
        <v>121</v>
      </c>
      <c r="F2" s="6" t="s">
        <v>124</v>
      </c>
    </row>
    <row r="3" spans="1:6" x14ac:dyDescent="0.25">
      <c r="A3" s="4" t="s">
        <v>129</v>
      </c>
      <c r="B3">
        <v>85</v>
      </c>
      <c r="D3" s="4" t="s">
        <v>135</v>
      </c>
      <c r="E3">
        <f>GETPIVOTDATA("User Id",$A$1,"Review Month","October")</f>
        <v>88</v>
      </c>
      <c r="F3" s="8">
        <f>E3/$D$17</f>
        <v>9.3517534537725822E-2</v>
      </c>
    </row>
    <row r="4" spans="1:6" x14ac:dyDescent="0.25">
      <c r="A4" s="4" t="s">
        <v>133</v>
      </c>
      <c r="B4">
        <v>84</v>
      </c>
      <c r="D4" s="4" t="s">
        <v>129</v>
      </c>
      <c r="E4">
        <f>GETPIVOTDATA("User Id",$A$1,"Review Month","April")</f>
        <v>85</v>
      </c>
      <c r="F4" s="8">
        <f t="shared" ref="F4:F14" si="0">E4/$D$17</f>
        <v>9.0329436769394256E-2</v>
      </c>
    </row>
    <row r="5" spans="1:6" x14ac:dyDescent="0.25">
      <c r="A5" s="4" t="s">
        <v>126</v>
      </c>
      <c r="B5">
        <v>82</v>
      </c>
      <c r="D5" s="4" t="s">
        <v>133</v>
      </c>
      <c r="E5">
        <f>GETPIVOTDATA("User Id",$A$1,"Review Month","August")</f>
        <v>84</v>
      </c>
      <c r="F5" s="8">
        <f t="shared" si="0"/>
        <v>8.9266737513283748E-2</v>
      </c>
    </row>
    <row r="6" spans="1:6" x14ac:dyDescent="0.25">
      <c r="A6" s="4" t="s">
        <v>130</v>
      </c>
      <c r="B6">
        <v>81</v>
      </c>
      <c r="D6" s="4" t="s">
        <v>126</v>
      </c>
      <c r="E6">
        <v>82</v>
      </c>
      <c r="F6" s="8">
        <f t="shared" si="0"/>
        <v>8.7141339001062704E-2</v>
      </c>
    </row>
    <row r="7" spans="1:6" x14ac:dyDescent="0.25">
      <c r="A7" s="4" t="s">
        <v>128</v>
      </c>
      <c r="B7">
        <v>79</v>
      </c>
      <c r="D7" s="4" t="s">
        <v>130</v>
      </c>
      <c r="E7">
        <v>81</v>
      </c>
      <c r="F7" s="8">
        <f t="shared" si="0"/>
        <v>8.6078639744952182E-2</v>
      </c>
    </row>
    <row r="8" spans="1:6" x14ac:dyDescent="0.25">
      <c r="A8" s="4" t="s">
        <v>131</v>
      </c>
      <c r="B8">
        <v>79</v>
      </c>
      <c r="D8" s="4" t="s">
        <v>128</v>
      </c>
      <c r="E8">
        <v>79</v>
      </c>
      <c r="F8" s="8">
        <f t="shared" si="0"/>
        <v>8.3953241232731138E-2</v>
      </c>
    </row>
    <row r="9" spans="1:6" x14ac:dyDescent="0.25">
      <c r="A9" s="4" t="s">
        <v>132</v>
      </c>
      <c r="B9">
        <v>78</v>
      </c>
      <c r="D9" s="4" t="s">
        <v>131</v>
      </c>
      <c r="E9">
        <v>79</v>
      </c>
      <c r="F9" s="8">
        <f t="shared" si="0"/>
        <v>8.3953241232731138E-2</v>
      </c>
    </row>
    <row r="10" spans="1:6" x14ac:dyDescent="0.25">
      <c r="A10" s="4" t="s">
        <v>136</v>
      </c>
      <c r="B10">
        <v>75</v>
      </c>
      <c r="D10" s="4" t="s">
        <v>132</v>
      </c>
      <c r="E10">
        <v>78</v>
      </c>
      <c r="F10" s="8">
        <f t="shared" si="0"/>
        <v>8.2890541976620616E-2</v>
      </c>
    </row>
    <row r="11" spans="1:6" x14ac:dyDescent="0.25">
      <c r="A11" s="4" t="s">
        <v>127</v>
      </c>
      <c r="B11">
        <v>71</v>
      </c>
      <c r="D11" s="4" t="s">
        <v>136</v>
      </c>
      <c r="E11">
        <v>75</v>
      </c>
      <c r="F11" s="8">
        <f t="shared" si="0"/>
        <v>7.970244420828905E-2</v>
      </c>
    </row>
    <row r="12" spans="1:6" x14ac:dyDescent="0.25">
      <c r="A12" s="4" t="s">
        <v>134</v>
      </c>
      <c r="B12">
        <v>70</v>
      </c>
      <c r="D12" s="4" t="s">
        <v>127</v>
      </c>
      <c r="E12">
        <v>71</v>
      </c>
      <c r="F12" s="8">
        <f t="shared" si="0"/>
        <v>7.5451647183846976E-2</v>
      </c>
    </row>
    <row r="13" spans="1:6" x14ac:dyDescent="0.25">
      <c r="A13" s="4" t="s">
        <v>137</v>
      </c>
      <c r="B13">
        <v>69</v>
      </c>
      <c r="D13" s="4" t="s">
        <v>134</v>
      </c>
      <c r="E13">
        <v>70</v>
      </c>
      <c r="F13" s="8">
        <f t="shared" si="0"/>
        <v>7.4388947927736454E-2</v>
      </c>
    </row>
    <row r="14" spans="1:6" x14ac:dyDescent="0.25">
      <c r="A14" s="4" t="s">
        <v>106</v>
      </c>
      <c r="B14">
        <v>941</v>
      </c>
      <c r="D14" s="4" t="s">
        <v>137</v>
      </c>
      <c r="E14">
        <v>69</v>
      </c>
      <c r="F14" s="8">
        <f t="shared" si="0"/>
        <v>7.3326248671625932E-2</v>
      </c>
    </row>
    <row r="16" spans="1:6" x14ac:dyDescent="0.25">
      <c r="D16" s="4" t="s">
        <v>140</v>
      </c>
    </row>
    <row r="17" spans="4:4" x14ac:dyDescent="0.25">
      <c r="D17">
        <f>GETPIVOTDATA("User Id",$A$1)</f>
        <v>941</v>
      </c>
    </row>
  </sheetData>
  <mergeCells count="1">
    <mergeCell ref="D1:F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8C8C6-50E8-4887-AE61-646BAE925320}">
  <sheetPr>
    <tabColor rgb="FF0070C0"/>
  </sheetPr>
  <dimension ref="A1:F7"/>
  <sheetViews>
    <sheetView zoomScale="115" zoomScaleNormal="115" workbookViewId="0">
      <selection activeCell="U6" sqref="U6"/>
    </sheetView>
  </sheetViews>
  <sheetFormatPr defaultRowHeight="15" x14ac:dyDescent="0.25"/>
  <cols>
    <col min="1" max="1" width="15.140625" bestFit="1" customWidth="1"/>
    <col min="2" max="2" width="18.7109375" bestFit="1" customWidth="1"/>
    <col min="4" max="4" width="14.28515625" customWidth="1"/>
    <col min="5" max="5" width="18.5703125" customWidth="1"/>
    <col min="6" max="6" width="18.140625" customWidth="1"/>
  </cols>
  <sheetData>
    <row r="1" spans="1:6" x14ac:dyDescent="0.25">
      <c r="A1" s="3" t="s">
        <v>141</v>
      </c>
      <c r="B1" t="s">
        <v>121</v>
      </c>
      <c r="D1" s="5" t="s">
        <v>103</v>
      </c>
      <c r="E1" s="5" t="s">
        <v>122</v>
      </c>
      <c r="F1" s="5" t="s">
        <v>124</v>
      </c>
    </row>
    <row r="2" spans="1:6" x14ac:dyDescent="0.25">
      <c r="A2" s="4" t="s">
        <v>143</v>
      </c>
      <c r="B2">
        <v>467</v>
      </c>
      <c r="D2" s="4">
        <v>2024</v>
      </c>
      <c r="E2">
        <f>GETPIVOTDATA("User Id",$A$1,"Review Year","2024")</f>
        <v>467</v>
      </c>
      <c r="F2" s="8">
        <f>E2/$D$7</f>
        <v>0.4962805526036132</v>
      </c>
    </row>
    <row r="3" spans="1:6" x14ac:dyDescent="0.25">
      <c r="A3" s="4" t="s">
        <v>144</v>
      </c>
      <c r="B3">
        <v>274</v>
      </c>
      <c r="D3" s="4">
        <v>2025</v>
      </c>
      <c r="E3">
        <f>GETPIVOTDATA("User Id",$A$1,"Review Year","2025")</f>
        <v>274</v>
      </c>
      <c r="F3" s="8">
        <f t="shared" ref="F3:F4" si="0">E3/$D$7</f>
        <v>0.29117959617428268</v>
      </c>
    </row>
    <row r="4" spans="1:6" x14ac:dyDescent="0.25">
      <c r="A4" s="4" t="s">
        <v>142</v>
      </c>
      <c r="B4">
        <v>200</v>
      </c>
      <c r="D4" s="4">
        <v>2023</v>
      </c>
      <c r="E4">
        <f>GETPIVOTDATA("User Id",$A$1,"Review Year","2023")</f>
        <v>200</v>
      </c>
      <c r="F4" s="8">
        <f t="shared" si="0"/>
        <v>0.21253985122210414</v>
      </c>
    </row>
    <row r="5" spans="1:6" x14ac:dyDescent="0.25">
      <c r="A5" s="4" t="s">
        <v>106</v>
      </c>
      <c r="B5">
        <v>941</v>
      </c>
    </row>
    <row r="6" spans="1:6" x14ac:dyDescent="0.25">
      <c r="D6" s="6" t="s">
        <v>140</v>
      </c>
    </row>
    <row r="7" spans="1:6" x14ac:dyDescent="0.25">
      <c r="D7">
        <f>GETPIVOTDATA("User Id",$A$1)</f>
        <v>941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BC32D-5A8F-4148-A366-064E8B233174}">
  <sheetPr>
    <tabColor rgb="FF7030A0"/>
  </sheetPr>
  <dimension ref="A1:M45"/>
  <sheetViews>
    <sheetView topLeftCell="C1" workbookViewId="0">
      <selection activeCell="G5" sqref="G5"/>
    </sheetView>
  </sheetViews>
  <sheetFormatPr defaultRowHeight="15" x14ac:dyDescent="0.25"/>
  <cols>
    <col min="1" max="2" width="15.42578125" bestFit="1" customWidth="1"/>
    <col min="4" max="4" width="17" bestFit="1" customWidth="1"/>
    <col min="5" max="5" width="15.42578125" bestFit="1" customWidth="1"/>
    <col min="7" max="7" width="17" bestFit="1" customWidth="1"/>
    <col min="8" max="8" width="15.42578125" bestFit="1" customWidth="1"/>
    <col min="10" max="10" width="18.28515625" customWidth="1"/>
    <col min="11" max="11" width="12.28515625" customWidth="1"/>
  </cols>
  <sheetData>
    <row r="1" spans="1:13" x14ac:dyDescent="0.25">
      <c r="A1" s="3" t="s">
        <v>104</v>
      </c>
      <c r="B1" t="s">
        <v>145</v>
      </c>
      <c r="D1" s="3" t="s">
        <v>104</v>
      </c>
      <c r="E1" t="s">
        <v>146</v>
      </c>
      <c r="G1" s="3" t="s">
        <v>104</v>
      </c>
      <c r="H1" t="s">
        <v>147</v>
      </c>
    </row>
    <row r="2" spans="1:13" x14ac:dyDescent="0.25">
      <c r="J2" s="6" t="s">
        <v>104</v>
      </c>
      <c r="K2" t="s">
        <v>145</v>
      </c>
      <c r="L2" t="s">
        <v>146</v>
      </c>
      <c r="M2" t="s">
        <v>147</v>
      </c>
    </row>
    <row r="3" spans="1:13" x14ac:dyDescent="0.25">
      <c r="A3" s="3" t="s">
        <v>91</v>
      </c>
      <c r="B3" t="s">
        <v>120</v>
      </c>
      <c r="D3" s="3" t="s">
        <v>91</v>
      </c>
      <c r="E3" t="s">
        <v>120</v>
      </c>
      <c r="G3" s="3" t="s">
        <v>91</v>
      </c>
      <c r="H3" t="s">
        <v>120</v>
      </c>
      <c r="J3" s="6" t="s">
        <v>91</v>
      </c>
      <c r="K3" t="s">
        <v>25</v>
      </c>
      <c r="L3" t="s">
        <v>5</v>
      </c>
      <c r="M3" t="s">
        <v>76</v>
      </c>
    </row>
    <row r="4" spans="1:13" x14ac:dyDescent="0.25">
      <c r="A4" s="4" t="s">
        <v>25</v>
      </c>
      <c r="B4">
        <v>4</v>
      </c>
      <c r="D4" s="4" t="s">
        <v>5</v>
      </c>
      <c r="E4">
        <v>32</v>
      </c>
      <c r="G4" s="4" t="s">
        <v>76</v>
      </c>
      <c r="H4">
        <v>9</v>
      </c>
      <c r="J4" s="6" t="s">
        <v>107</v>
      </c>
      <c r="K4">
        <f>GETPIVOTDATA("User Id",$A$3,"App Name","Canva")</f>
        <v>4</v>
      </c>
      <c r="L4">
        <f>GETPIVOTDATA("User Id",$D$3,"App Name","Tinder")</f>
        <v>32</v>
      </c>
      <c r="M4">
        <f>GETPIVOTDATA("User Id",$G$3,"App Name","Pinterest")</f>
        <v>9</v>
      </c>
    </row>
    <row r="5" spans="1:13" x14ac:dyDescent="0.25">
      <c r="A5" s="4" t="s">
        <v>28</v>
      </c>
      <c r="B5">
        <v>4</v>
      </c>
      <c r="D5" s="4" t="s">
        <v>88</v>
      </c>
      <c r="E5">
        <v>23</v>
      </c>
      <c r="G5" s="4" t="s">
        <v>69</v>
      </c>
      <c r="H5">
        <v>9</v>
      </c>
    </row>
    <row r="6" spans="1:13" x14ac:dyDescent="0.25">
      <c r="A6" s="4" t="s">
        <v>88</v>
      </c>
      <c r="B6">
        <v>3</v>
      </c>
      <c r="D6" s="4" t="s">
        <v>0</v>
      </c>
      <c r="E6">
        <v>22</v>
      </c>
      <c r="G6" s="4" t="s">
        <v>82</v>
      </c>
      <c r="H6">
        <v>9</v>
      </c>
    </row>
    <row r="7" spans="1:13" x14ac:dyDescent="0.25">
      <c r="A7" s="4" t="s">
        <v>71</v>
      </c>
      <c r="B7">
        <v>3</v>
      </c>
      <c r="D7" s="4" t="s">
        <v>71</v>
      </c>
      <c r="E7">
        <v>21</v>
      </c>
      <c r="G7" s="4" t="s">
        <v>78</v>
      </c>
      <c r="H7">
        <v>9</v>
      </c>
    </row>
    <row r="8" spans="1:13" x14ac:dyDescent="0.25">
      <c r="A8" s="4" t="s">
        <v>17</v>
      </c>
      <c r="B8">
        <v>3</v>
      </c>
      <c r="D8" s="4" t="s">
        <v>60</v>
      </c>
      <c r="E8">
        <v>20</v>
      </c>
      <c r="G8" s="4" t="s">
        <v>30</v>
      </c>
      <c r="H8">
        <v>9</v>
      </c>
    </row>
    <row r="9" spans="1:13" x14ac:dyDescent="0.25">
      <c r="A9" s="4" t="s">
        <v>82</v>
      </c>
      <c r="B9">
        <v>3</v>
      </c>
      <c r="D9" s="4" t="s">
        <v>84</v>
      </c>
      <c r="E9">
        <v>20</v>
      </c>
      <c r="G9" s="4" t="s">
        <v>46</v>
      </c>
      <c r="H9">
        <v>9</v>
      </c>
    </row>
    <row r="10" spans="1:13" x14ac:dyDescent="0.25">
      <c r="A10" s="4" t="s">
        <v>70</v>
      </c>
      <c r="B10">
        <v>3</v>
      </c>
      <c r="D10" s="4" t="s">
        <v>40</v>
      </c>
      <c r="E10">
        <v>19</v>
      </c>
      <c r="G10" s="4" t="s">
        <v>33</v>
      </c>
      <c r="H10">
        <v>8</v>
      </c>
    </row>
    <row r="11" spans="1:13" x14ac:dyDescent="0.25">
      <c r="A11" s="4" t="s">
        <v>69</v>
      </c>
      <c r="B11">
        <v>3</v>
      </c>
      <c r="D11" s="4" t="s">
        <v>76</v>
      </c>
      <c r="E11">
        <v>19</v>
      </c>
      <c r="G11" s="4" t="s">
        <v>41</v>
      </c>
      <c r="H11">
        <v>8</v>
      </c>
    </row>
    <row r="12" spans="1:13" x14ac:dyDescent="0.25">
      <c r="A12" s="4" t="s">
        <v>73</v>
      </c>
      <c r="B12">
        <v>3</v>
      </c>
      <c r="D12" s="4" t="s">
        <v>89</v>
      </c>
      <c r="E12">
        <v>19</v>
      </c>
      <c r="G12" s="4" t="s">
        <v>56</v>
      </c>
      <c r="H12">
        <v>7</v>
      </c>
    </row>
    <row r="13" spans="1:13" x14ac:dyDescent="0.25">
      <c r="A13" s="4" t="s">
        <v>62</v>
      </c>
      <c r="B13">
        <v>3</v>
      </c>
      <c r="D13" s="4" t="s">
        <v>69</v>
      </c>
      <c r="E13">
        <v>19</v>
      </c>
      <c r="G13" s="4" t="s">
        <v>71</v>
      </c>
      <c r="H13">
        <v>7</v>
      </c>
    </row>
    <row r="14" spans="1:13" x14ac:dyDescent="0.25">
      <c r="A14" s="4" t="s">
        <v>80</v>
      </c>
      <c r="B14">
        <v>3</v>
      </c>
      <c r="D14" s="4" t="s">
        <v>28</v>
      </c>
      <c r="E14">
        <v>19</v>
      </c>
      <c r="G14" s="4" t="s">
        <v>40</v>
      </c>
      <c r="H14">
        <v>7</v>
      </c>
    </row>
    <row r="15" spans="1:13" x14ac:dyDescent="0.25">
      <c r="A15" s="4" t="s">
        <v>10</v>
      </c>
      <c r="B15">
        <v>3</v>
      </c>
      <c r="D15" s="4" t="s">
        <v>25</v>
      </c>
      <c r="E15">
        <v>19</v>
      </c>
      <c r="G15" s="4" t="s">
        <v>32</v>
      </c>
      <c r="H15">
        <v>7</v>
      </c>
    </row>
    <row r="16" spans="1:13" x14ac:dyDescent="0.25">
      <c r="A16" s="4" t="s">
        <v>67</v>
      </c>
      <c r="B16">
        <v>2</v>
      </c>
      <c r="D16" s="4" t="s">
        <v>33</v>
      </c>
      <c r="E16">
        <v>18</v>
      </c>
      <c r="G16" s="4" t="s">
        <v>45</v>
      </c>
      <c r="H16">
        <v>7</v>
      </c>
    </row>
    <row r="17" spans="1:8" x14ac:dyDescent="0.25">
      <c r="A17" s="4" t="s">
        <v>64</v>
      </c>
      <c r="B17">
        <v>2</v>
      </c>
      <c r="D17" s="4" t="s">
        <v>32</v>
      </c>
      <c r="E17">
        <v>18</v>
      </c>
      <c r="G17" s="4" t="s">
        <v>62</v>
      </c>
      <c r="H17">
        <v>7</v>
      </c>
    </row>
    <row r="18" spans="1:8" x14ac:dyDescent="0.25">
      <c r="A18" s="4" t="s">
        <v>35</v>
      </c>
      <c r="B18">
        <v>2</v>
      </c>
      <c r="D18" s="4" t="s">
        <v>23</v>
      </c>
      <c r="E18">
        <v>18</v>
      </c>
      <c r="G18" s="4" t="s">
        <v>10</v>
      </c>
      <c r="H18">
        <v>7</v>
      </c>
    </row>
    <row r="19" spans="1:8" x14ac:dyDescent="0.25">
      <c r="A19" s="4" t="s">
        <v>49</v>
      </c>
      <c r="B19">
        <v>2</v>
      </c>
      <c r="D19" s="4" t="s">
        <v>17</v>
      </c>
      <c r="E19">
        <v>17</v>
      </c>
      <c r="G19" s="4" t="s">
        <v>17</v>
      </c>
      <c r="H19">
        <v>6</v>
      </c>
    </row>
    <row r="20" spans="1:8" x14ac:dyDescent="0.25">
      <c r="A20" s="4" t="s">
        <v>32</v>
      </c>
      <c r="B20">
        <v>2</v>
      </c>
      <c r="D20" s="4" t="s">
        <v>79</v>
      </c>
      <c r="E20">
        <v>17</v>
      </c>
      <c r="G20" s="4" t="s">
        <v>79</v>
      </c>
      <c r="H20">
        <v>6</v>
      </c>
    </row>
    <row r="21" spans="1:8" x14ac:dyDescent="0.25">
      <c r="A21" s="4" t="s">
        <v>0</v>
      </c>
      <c r="B21">
        <v>2</v>
      </c>
      <c r="D21" s="4" t="s">
        <v>52</v>
      </c>
      <c r="E21">
        <v>17</v>
      </c>
      <c r="G21" s="4" t="s">
        <v>5</v>
      </c>
      <c r="H21">
        <v>6</v>
      </c>
    </row>
    <row r="22" spans="1:8" x14ac:dyDescent="0.25">
      <c r="A22" s="4" t="s">
        <v>89</v>
      </c>
      <c r="B22">
        <v>2</v>
      </c>
      <c r="D22" s="4" t="s">
        <v>62</v>
      </c>
      <c r="E22">
        <v>16</v>
      </c>
      <c r="G22" s="4" t="s">
        <v>52</v>
      </c>
      <c r="H22">
        <v>6</v>
      </c>
    </row>
    <row r="23" spans="1:8" x14ac:dyDescent="0.25">
      <c r="A23" s="4" t="s">
        <v>61</v>
      </c>
      <c r="B23">
        <v>2</v>
      </c>
      <c r="D23" s="4" t="s">
        <v>41</v>
      </c>
      <c r="E23">
        <v>16</v>
      </c>
      <c r="G23" s="4" t="s">
        <v>13</v>
      </c>
      <c r="H23">
        <v>6</v>
      </c>
    </row>
    <row r="24" spans="1:8" x14ac:dyDescent="0.25">
      <c r="A24" s="4" t="s">
        <v>51</v>
      </c>
      <c r="B24">
        <v>2</v>
      </c>
      <c r="D24" s="4" t="s">
        <v>64</v>
      </c>
      <c r="E24">
        <v>16</v>
      </c>
      <c r="G24" s="4" t="s">
        <v>49</v>
      </c>
      <c r="H24">
        <v>6</v>
      </c>
    </row>
    <row r="25" spans="1:8" x14ac:dyDescent="0.25">
      <c r="A25" s="4" t="s">
        <v>30</v>
      </c>
      <c r="B25">
        <v>1</v>
      </c>
      <c r="D25" s="4" t="s">
        <v>54</v>
      </c>
      <c r="E25">
        <v>16</v>
      </c>
      <c r="G25" s="4" t="s">
        <v>70</v>
      </c>
      <c r="H25">
        <v>6</v>
      </c>
    </row>
    <row r="26" spans="1:8" x14ac:dyDescent="0.25">
      <c r="A26" s="4" t="s">
        <v>5</v>
      </c>
      <c r="B26">
        <v>1</v>
      </c>
      <c r="D26" s="4" t="s">
        <v>80</v>
      </c>
      <c r="E26">
        <v>16</v>
      </c>
      <c r="G26" s="4" t="s">
        <v>28</v>
      </c>
      <c r="H26">
        <v>6</v>
      </c>
    </row>
    <row r="27" spans="1:8" x14ac:dyDescent="0.25">
      <c r="A27" s="4" t="s">
        <v>83</v>
      </c>
      <c r="B27">
        <v>1</v>
      </c>
      <c r="D27" s="4" t="s">
        <v>73</v>
      </c>
      <c r="E27">
        <v>15</v>
      </c>
      <c r="G27" s="4" t="s">
        <v>60</v>
      </c>
      <c r="H27">
        <v>5</v>
      </c>
    </row>
    <row r="28" spans="1:8" x14ac:dyDescent="0.25">
      <c r="A28" s="4" t="s">
        <v>40</v>
      </c>
      <c r="B28">
        <v>1</v>
      </c>
      <c r="D28" s="4" t="s">
        <v>87</v>
      </c>
      <c r="E28">
        <v>14</v>
      </c>
      <c r="G28" s="4" t="s">
        <v>35</v>
      </c>
      <c r="H28">
        <v>5</v>
      </c>
    </row>
    <row r="29" spans="1:8" x14ac:dyDescent="0.25">
      <c r="A29" s="4" t="s">
        <v>74</v>
      </c>
      <c r="B29">
        <v>1</v>
      </c>
      <c r="D29" s="4" t="s">
        <v>35</v>
      </c>
      <c r="E29">
        <v>14</v>
      </c>
      <c r="G29" s="4" t="s">
        <v>51</v>
      </c>
      <c r="H29">
        <v>5</v>
      </c>
    </row>
    <row r="30" spans="1:8" x14ac:dyDescent="0.25">
      <c r="A30" s="4" t="s">
        <v>79</v>
      </c>
      <c r="B30">
        <v>1</v>
      </c>
      <c r="D30" s="4" t="s">
        <v>51</v>
      </c>
      <c r="E30">
        <v>14</v>
      </c>
      <c r="G30" s="4" t="s">
        <v>67</v>
      </c>
      <c r="H30">
        <v>5</v>
      </c>
    </row>
    <row r="31" spans="1:8" x14ac:dyDescent="0.25">
      <c r="A31" s="4" t="s">
        <v>84</v>
      </c>
      <c r="B31">
        <v>1</v>
      </c>
      <c r="D31" s="4" t="s">
        <v>30</v>
      </c>
      <c r="E31">
        <v>14</v>
      </c>
      <c r="G31" s="4" t="s">
        <v>74</v>
      </c>
      <c r="H31">
        <v>5</v>
      </c>
    </row>
    <row r="32" spans="1:8" x14ac:dyDescent="0.25">
      <c r="A32" s="4" t="s">
        <v>52</v>
      </c>
      <c r="B32">
        <v>1</v>
      </c>
      <c r="D32" s="4" t="s">
        <v>74</v>
      </c>
      <c r="E32">
        <v>14</v>
      </c>
      <c r="G32" s="4" t="s">
        <v>84</v>
      </c>
      <c r="H32">
        <v>5</v>
      </c>
    </row>
    <row r="33" spans="1:8" x14ac:dyDescent="0.25">
      <c r="A33" s="4" t="s">
        <v>76</v>
      </c>
      <c r="B33">
        <v>1</v>
      </c>
      <c r="D33" s="4" t="s">
        <v>82</v>
      </c>
      <c r="E33">
        <v>12</v>
      </c>
      <c r="G33" s="4" t="s">
        <v>61</v>
      </c>
      <c r="H33">
        <v>4</v>
      </c>
    </row>
    <row r="34" spans="1:8" x14ac:dyDescent="0.25">
      <c r="A34" s="4" t="s">
        <v>87</v>
      </c>
      <c r="B34">
        <v>1</v>
      </c>
      <c r="D34" s="4" t="s">
        <v>67</v>
      </c>
      <c r="E34">
        <v>12</v>
      </c>
      <c r="G34" s="4" t="s">
        <v>80</v>
      </c>
      <c r="H34">
        <v>4</v>
      </c>
    </row>
    <row r="35" spans="1:8" x14ac:dyDescent="0.25">
      <c r="A35" s="4" t="s">
        <v>60</v>
      </c>
      <c r="B35">
        <v>1</v>
      </c>
      <c r="D35" s="4" t="s">
        <v>56</v>
      </c>
      <c r="E35">
        <v>12</v>
      </c>
      <c r="G35" s="4" t="s">
        <v>23</v>
      </c>
      <c r="H35">
        <v>4</v>
      </c>
    </row>
    <row r="36" spans="1:8" x14ac:dyDescent="0.25">
      <c r="A36" s="4" t="s">
        <v>56</v>
      </c>
      <c r="B36">
        <v>1</v>
      </c>
      <c r="D36" s="4" t="s">
        <v>70</v>
      </c>
      <c r="E36">
        <v>11</v>
      </c>
      <c r="G36" s="4" t="s">
        <v>89</v>
      </c>
      <c r="H36">
        <v>4</v>
      </c>
    </row>
    <row r="37" spans="1:8" x14ac:dyDescent="0.25">
      <c r="A37" s="4" t="s">
        <v>23</v>
      </c>
      <c r="B37">
        <v>1</v>
      </c>
      <c r="D37" s="4" t="s">
        <v>83</v>
      </c>
      <c r="E37">
        <v>11</v>
      </c>
      <c r="G37" s="4" t="s">
        <v>0</v>
      </c>
      <c r="H37">
        <v>4</v>
      </c>
    </row>
    <row r="38" spans="1:8" x14ac:dyDescent="0.25">
      <c r="A38" s="4" t="s">
        <v>46</v>
      </c>
      <c r="B38">
        <v>1</v>
      </c>
      <c r="D38" s="4" t="s">
        <v>10</v>
      </c>
      <c r="E38">
        <v>11</v>
      </c>
      <c r="G38" s="4" t="s">
        <v>88</v>
      </c>
      <c r="H38">
        <v>3</v>
      </c>
    </row>
    <row r="39" spans="1:8" x14ac:dyDescent="0.25">
      <c r="A39" s="4" t="s">
        <v>106</v>
      </c>
      <c r="B39">
        <v>70</v>
      </c>
      <c r="D39" s="4" t="s">
        <v>61</v>
      </c>
      <c r="E39">
        <v>10</v>
      </c>
      <c r="G39" s="4" t="s">
        <v>83</v>
      </c>
      <c r="H39">
        <v>3</v>
      </c>
    </row>
    <row r="40" spans="1:8" x14ac:dyDescent="0.25">
      <c r="D40" s="4" t="s">
        <v>46</v>
      </c>
      <c r="E40">
        <v>10</v>
      </c>
      <c r="G40" s="4" t="s">
        <v>25</v>
      </c>
      <c r="H40">
        <v>2</v>
      </c>
    </row>
    <row r="41" spans="1:8" x14ac:dyDescent="0.25">
      <c r="D41" s="4" t="s">
        <v>49</v>
      </c>
      <c r="E41">
        <v>9</v>
      </c>
      <c r="G41" s="4" t="s">
        <v>73</v>
      </c>
      <c r="H41">
        <v>2</v>
      </c>
    </row>
    <row r="42" spans="1:8" x14ac:dyDescent="0.25">
      <c r="D42" s="4" t="s">
        <v>45</v>
      </c>
      <c r="E42">
        <v>8</v>
      </c>
      <c r="G42" s="4" t="s">
        <v>64</v>
      </c>
      <c r="H42">
        <v>2</v>
      </c>
    </row>
    <row r="43" spans="1:8" x14ac:dyDescent="0.25">
      <c r="D43" s="4" t="s">
        <v>13</v>
      </c>
      <c r="E43">
        <v>7</v>
      </c>
      <c r="G43" s="4" t="s">
        <v>87</v>
      </c>
      <c r="H43">
        <v>1</v>
      </c>
    </row>
    <row r="44" spans="1:8" x14ac:dyDescent="0.25">
      <c r="D44" s="4" t="s">
        <v>78</v>
      </c>
      <c r="E44">
        <v>5</v>
      </c>
      <c r="G44" s="4" t="s">
        <v>54</v>
      </c>
      <c r="H44">
        <v>1</v>
      </c>
    </row>
    <row r="45" spans="1:8" x14ac:dyDescent="0.25">
      <c r="D45" s="4" t="s">
        <v>106</v>
      </c>
      <c r="E45">
        <v>640</v>
      </c>
      <c r="G45" s="4" t="s">
        <v>106</v>
      </c>
      <c r="H45">
        <v>231</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2D9D-C42A-4ACE-A7B5-C10A1D671924}">
  <sheetPr>
    <tabColor rgb="FFFFFF00"/>
  </sheetPr>
  <dimension ref="A1:Q45"/>
  <sheetViews>
    <sheetView topLeftCell="D1" zoomScale="115" zoomScaleNormal="115" workbookViewId="0">
      <selection activeCell="C9" sqref="C9"/>
    </sheetView>
  </sheetViews>
  <sheetFormatPr defaultRowHeight="15" x14ac:dyDescent="0.25"/>
  <cols>
    <col min="1" max="1" width="17" bestFit="1" customWidth="1"/>
    <col min="2" max="2" width="16.140625" bestFit="1" customWidth="1"/>
    <col min="3" max="3" width="2.85546875" customWidth="1"/>
    <col min="4" max="4" width="17" bestFit="1" customWidth="1"/>
    <col min="5" max="5" width="16.140625" bestFit="1" customWidth="1"/>
    <col min="6" max="6" width="3" customWidth="1"/>
    <col min="7" max="7" width="17" bestFit="1" customWidth="1"/>
    <col min="8" max="8" width="16.140625" bestFit="1" customWidth="1"/>
    <col min="9" max="9" width="3" customWidth="1"/>
    <col min="10" max="10" width="17" bestFit="1" customWidth="1"/>
    <col min="11" max="11" width="16.140625" bestFit="1" customWidth="1"/>
    <col min="13" max="13" width="16.5703125" customWidth="1"/>
    <col min="15" max="15" width="10.7109375" customWidth="1"/>
  </cols>
  <sheetData>
    <row r="1" spans="1:17" x14ac:dyDescent="0.25">
      <c r="A1" s="3" t="s">
        <v>105</v>
      </c>
      <c r="B1" t="s">
        <v>157</v>
      </c>
      <c r="D1" s="3" t="s">
        <v>105</v>
      </c>
      <c r="E1" t="s">
        <v>157</v>
      </c>
      <c r="G1" s="3" t="s">
        <v>105</v>
      </c>
      <c r="H1" t="s">
        <v>157</v>
      </c>
      <c r="J1" s="3" t="s">
        <v>105</v>
      </c>
      <c r="K1" t="s">
        <v>157</v>
      </c>
    </row>
    <row r="3" spans="1:17" x14ac:dyDescent="0.25">
      <c r="A3" s="3" t="s">
        <v>91</v>
      </c>
      <c r="B3" t="s">
        <v>107</v>
      </c>
      <c r="D3" s="3" t="s">
        <v>91</v>
      </c>
      <c r="E3" t="s">
        <v>107</v>
      </c>
      <c r="F3" s="3"/>
      <c r="G3" s="3" t="s">
        <v>91</v>
      </c>
      <c r="H3" t="s">
        <v>107</v>
      </c>
      <c r="I3" s="3"/>
      <c r="J3" s="3" t="s">
        <v>91</v>
      </c>
      <c r="K3" t="s">
        <v>107</v>
      </c>
      <c r="M3" s="6" t="s">
        <v>105</v>
      </c>
      <c r="N3" t="s">
        <v>109</v>
      </c>
      <c r="O3" t="s">
        <v>110</v>
      </c>
      <c r="P3" t="s">
        <v>111</v>
      </c>
      <c r="Q3" t="s">
        <v>112</v>
      </c>
    </row>
    <row r="4" spans="1:17" x14ac:dyDescent="0.25">
      <c r="A4" s="4" t="s">
        <v>5</v>
      </c>
      <c r="B4">
        <v>39</v>
      </c>
      <c r="D4" s="4" t="s">
        <v>5</v>
      </c>
      <c r="E4">
        <v>39</v>
      </c>
      <c r="G4" s="4" t="s">
        <v>5</v>
      </c>
      <c r="H4">
        <v>39</v>
      </c>
      <c r="J4" s="4" t="s">
        <v>5</v>
      </c>
      <c r="K4">
        <v>39</v>
      </c>
      <c r="M4" s="6" t="s">
        <v>91</v>
      </c>
      <c r="N4" t="s">
        <v>25</v>
      </c>
      <c r="O4" t="s">
        <v>71</v>
      </c>
      <c r="P4" t="s">
        <v>5</v>
      </c>
      <c r="Q4" t="s">
        <v>5</v>
      </c>
    </row>
    <row r="5" spans="1:17" x14ac:dyDescent="0.25">
      <c r="A5" s="4" t="s">
        <v>71</v>
      </c>
      <c r="B5">
        <v>31</v>
      </c>
      <c r="D5" s="4" t="s">
        <v>71</v>
      </c>
      <c r="E5">
        <v>31</v>
      </c>
      <c r="G5" s="4" t="s">
        <v>71</v>
      </c>
      <c r="H5">
        <v>31</v>
      </c>
      <c r="J5" s="4" t="s">
        <v>71</v>
      </c>
      <c r="K5">
        <v>31</v>
      </c>
      <c r="M5" s="6" t="s">
        <v>107</v>
      </c>
      <c r="N5">
        <f>GETPIVOTDATA("User Id",$A$3,"App Name","Canva")</f>
        <v>25</v>
      </c>
      <c r="O5">
        <f>GETPIVOTDATA("User Id",$D$3,"App Name","OneDrive")</f>
        <v>31</v>
      </c>
      <c r="P5">
        <f>GETPIVOTDATA("User Id",$G$3,"App Name","Tinder")</f>
        <v>39</v>
      </c>
      <c r="Q5">
        <f>GETPIVOTDATA("User Id",$J$3,"App Name","Tinder")</f>
        <v>39</v>
      </c>
    </row>
    <row r="6" spans="1:17" x14ac:dyDescent="0.25">
      <c r="A6" s="4" t="s">
        <v>69</v>
      </c>
      <c r="B6">
        <v>31</v>
      </c>
      <c r="D6" s="4" t="s">
        <v>69</v>
      </c>
      <c r="E6">
        <v>31</v>
      </c>
      <c r="G6" s="4" t="s">
        <v>69</v>
      </c>
      <c r="H6">
        <v>31</v>
      </c>
      <c r="J6" s="4" t="s">
        <v>69</v>
      </c>
      <c r="K6">
        <v>31</v>
      </c>
    </row>
    <row r="7" spans="1:17" x14ac:dyDescent="0.25">
      <c r="A7" s="4" t="s">
        <v>76</v>
      </c>
      <c r="B7">
        <v>29</v>
      </c>
      <c r="D7" s="4" t="s">
        <v>76</v>
      </c>
      <c r="E7">
        <v>29</v>
      </c>
      <c r="G7" s="4" t="s">
        <v>76</v>
      </c>
      <c r="H7">
        <v>29</v>
      </c>
      <c r="J7" s="4" t="s">
        <v>76</v>
      </c>
      <c r="K7">
        <v>29</v>
      </c>
    </row>
    <row r="8" spans="1:17" x14ac:dyDescent="0.25">
      <c r="A8" s="4" t="s">
        <v>88</v>
      </c>
      <c r="B8">
        <v>29</v>
      </c>
      <c r="D8" s="4" t="s">
        <v>88</v>
      </c>
      <c r="E8">
        <v>29</v>
      </c>
      <c r="G8" s="4" t="s">
        <v>88</v>
      </c>
      <c r="H8">
        <v>29</v>
      </c>
      <c r="J8" s="4" t="s">
        <v>88</v>
      </c>
      <c r="K8">
        <v>29</v>
      </c>
    </row>
    <row r="9" spans="1:17" x14ac:dyDescent="0.25">
      <c r="A9" s="4" t="s">
        <v>28</v>
      </c>
      <c r="B9">
        <v>29</v>
      </c>
      <c r="D9" s="4" t="s">
        <v>28</v>
      </c>
      <c r="E9">
        <v>29</v>
      </c>
      <c r="G9" s="4" t="s">
        <v>28</v>
      </c>
      <c r="H9">
        <v>29</v>
      </c>
      <c r="J9" s="4" t="s">
        <v>28</v>
      </c>
      <c r="K9">
        <v>29</v>
      </c>
    </row>
    <row r="10" spans="1:17" x14ac:dyDescent="0.25">
      <c r="A10" s="4" t="s">
        <v>0</v>
      </c>
      <c r="B10">
        <v>28</v>
      </c>
      <c r="D10" s="4" t="s">
        <v>0</v>
      </c>
      <c r="E10">
        <v>28</v>
      </c>
      <c r="G10" s="4" t="s">
        <v>0</v>
      </c>
      <c r="H10">
        <v>28</v>
      </c>
      <c r="J10" s="4" t="s">
        <v>0</v>
      </c>
      <c r="K10">
        <v>28</v>
      </c>
    </row>
    <row r="11" spans="1:17" x14ac:dyDescent="0.25">
      <c r="A11" s="4" t="s">
        <v>40</v>
      </c>
      <c r="B11">
        <v>27</v>
      </c>
      <c r="D11" s="4" t="s">
        <v>40</v>
      </c>
      <c r="E11">
        <v>27</v>
      </c>
      <c r="G11" s="4" t="s">
        <v>40</v>
      </c>
      <c r="H11">
        <v>27</v>
      </c>
      <c r="J11" s="4" t="s">
        <v>40</v>
      </c>
      <c r="K11">
        <v>27</v>
      </c>
    </row>
    <row r="12" spans="1:17" x14ac:dyDescent="0.25">
      <c r="A12" s="4" t="s">
        <v>32</v>
      </c>
      <c r="B12">
        <v>27</v>
      </c>
      <c r="D12" s="4" t="s">
        <v>32</v>
      </c>
      <c r="E12">
        <v>27</v>
      </c>
      <c r="G12" s="4" t="s">
        <v>32</v>
      </c>
      <c r="H12">
        <v>27</v>
      </c>
      <c r="J12" s="4" t="s">
        <v>32</v>
      </c>
      <c r="K12">
        <v>27</v>
      </c>
    </row>
    <row r="13" spans="1:17" x14ac:dyDescent="0.25">
      <c r="A13" s="4" t="s">
        <v>84</v>
      </c>
      <c r="B13">
        <v>26</v>
      </c>
      <c r="D13" s="4" t="s">
        <v>84</v>
      </c>
      <c r="E13">
        <v>26</v>
      </c>
      <c r="G13" s="4" t="s">
        <v>84</v>
      </c>
      <c r="H13">
        <v>26</v>
      </c>
      <c r="J13" s="4" t="s">
        <v>84</v>
      </c>
      <c r="K13">
        <v>26</v>
      </c>
    </row>
    <row r="14" spans="1:17" x14ac:dyDescent="0.25">
      <c r="A14" s="4" t="s">
        <v>60</v>
      </c>
      <c r="B14">
        <v>26</v>
      </c>
      <c r="D14" s="4" t="s">
        <v>60</v>
      </c>
      <c r="E14">
        <v>26</v>
      </c>
      <c r="G14" s="4" t="s">
        <v>60</v>
      </c>
      <c r="H14">
        <v>26</v>
      </c>
      <c r="J14" s="4" t="s">
        <v>60</v>
      </c>
      <c r="K14">
        <v>26</v>
      </c>
    </row>
    <row r="15" spans="1:17" x14ac:dyDescent="0.25">
      <c r="A15" s="4" t="s">
        <v>62</v>
      </c>
      <c r="B15">
        <v>26</v>
      </c>
      <c r="D15" s="4" t="s">
        <v>62</v>
      </c>
      <c r="E15">
        <v>26</v>
      </c>
      <c r="G15" s="4" t="s">
        <v>62</v>
      </c>
      <c r="H15">
        <v>26</v>
      </c>
      <c r="J15" s="4" t="s">
        <v>62</v>
      </c>
      <c r="K15">
        <v>26</v>
      </c>
    </row>
    <row r="16" spans="1:17" x14ac:dyDescent="0.25">
      <c r="A16" s="4" t="s">
        <v>17</v>
      </c>
      <c r="B16">
        <v>26</v>
      </c>
      <c r="D16" s="4" t="s">
        <v>17</v>
      </c>
      <c r="E16">
        <v>26</v>
      </c>
      <c r="G16" s="4" t="s">
        <v>17</v>
      </c>
      <c r="H16">
        <v>26</v>
      </c>
      <c r="J16" s="4" t="s">
        <v>17</v>
      </c>
      <c r="K16">
        <v>26</v>
      </c>
    </row>
    <row r="17" spans="1:11" x14ac:dyDescent="0.25">
      <c r="A17" s="4" t="s">
        <v>33</v>
      </c>
      <c r="B17">
        <v>26</v>
      </c>
      <c r="D17" s="4" t="s">
        <v>33</v>
      </c>
      <c r="E17">
        <v>26</v>
      </c>
      <c r="G17" s="4" t="s">
        <v>33</v>
      </c>
      <c r="H17">
        <v>26</v>
      </c>
      <c r="J17" s="4" t="s">
        <v>33</v>
      </c>
      <c r="K17">
        <v>26</v>
      </c>
    </row>
    <row r="18" spans="1:11" x14ac:dyDescent="0.25">
      <c r="A18" s="4" t="s">
        <v>25</v>
      </c>
      <c r="B18">
        <v>25</v>
      </c>
      <c r="D18" s="4" t="s">
        <v>25</v>
      </c>
      <c r="E18">
        <v>25</v>
      </c>
      <c r="G18" s="4" t="s">
        <v>25</v>
      </c>
      <c r="H18">
        <v>25</v>
      </c>
      <c r="J18" s="4" t="s">
        <v>25</v>
      </c>
      <c r="K18">
        <v>25</v>
      </c>
    </row>
    <row r="19" spans="1:11" x14ac:dyDescent="0.25">
      <c r="A19" s="4" t="s">
        <v>89</v>
      </c>
      <c r="B19">
        <v>25</v>
      </c>
      <c r="D19" s="4" t="s">
        <v>89</v>
      </c>
      <c r="E19">
        <v>25</v>
      </c>
      <c r="G19" s="4" t="s">
        <v>89</v>
      </c>
      <c r="H19">
        <v>25</v>
      </c>
      <c r="J19" s="4" t="s">
        <v>89</v>
      </c>
      <c r="K19">
        <v>25</v>
      </c>
    </row>
    <row r="20" spans="1:11" x14ac:dyDescent="0.25">
      <c r="A20" s="4" t="s">
        <v>41</v>
      </c>
      <c r="B20">
        <v>24</v>
      </c>
      <c r="D20" s="4" t="s">
        <v>41</v>
      </c>
      <c r="E20">
        <v>24</v>
      </c>
      <c r="G20" s="4" t="s">
        <v>41</v>
      </c>
      <c r="H20">
        <v>24</v>
      </c>
      <c r="J20" s="4" t="s">
        <v>41</v>
      </c>
      <c r="K20">
        <v>24</v>
      </c>
    </row>
    <row r="21" spans="1:11" x14ac:dyDescent="0.25">
      <c r="A21" s="4" t="s">
        <v>30</v>
      </c>
      <c r="B21">
        <v>24</v>
      </c>
      <c r="D21" s="4" t="s">
        <v>30</v>
      </c>
      <c r="E21">
        <v>24</v>
      </c>
      <c r="G21" s="4" t="s">
        <v>30</v>
      </c>
      <c r="H21">
        <v>24</v>
      </c>
      <c r="J21" s="4" t="s">
        <v>30</v>
      </c>
      <c r="K21">
        <v>24</v>
      </c>
    </row>
    <row r="22" spans="1:11" x14ac:dyDescent="0.25">
      <c r="A22" s="4" t="s">
        <v>79</v>
      </c>
      <c r="B22">
        <v>24</v>
      </c>
      <c r="D22" s="4" t="s">
        <v>79</v>
      </c>
      <c r="E22">
        <v>24</v>
      </c>
      <c r="G22" s="4" t="s">
        <v>79</v>
      </c>
      <c r="H22">
        <v>24</v>
      </c>
      <c r="J22" s="4" t="s">
        <v>79</v>
      </c>
      <c r="K22">
        <v>24</v>
      </c>
    </row>
    <row r="23" spans="1:11" x14ac:dyDescent="0.25">
      <c r="A23" s="4" t="s">
        <v>52</v>
      </c>
      <c r="B23">
        <v>24</v>
      </c>
      <c r="D23" s="4" t="s">
        <v>52</v>
      </c>
      <c r="E23">
        <v>24</v>
      </c>
      <c r="G23" s="4" t="s">
        <v>52</v>
      </c>
      <c r="H23">
        <v>24</v>
      </c>
      <c r="J23" s="4" t="s">
        <v>52</v>
      </c>
      <c r="K23">
        <v>24</v>
      </c>
    </row>
    <row r="24" spans="1:11" x14ac:dyDescent="0.25">
      <c r="A24" s="4" t="s">
        <v>82</v>
      </c>
      <c r="B24">
        <v>24</v>
      </c>
      <c r="D24" s="4" t="s">
        <v>82</v>
      </c>
      <c r="E24">
        <v>24</v>
      </c>
      <c r="G24" s="4" t="s">
        <v>82</v>
      </c>
      <c r="H24">
        <v>24</v>
      </c>
      <c r="J24" s="4" t="s">
        <v>82</v>
      </c>
      <c r="K24">
        <v>24</v>
      </c>
    </row>
    <row r="25" spans="1:11" x14ac:dyDescent="0.25">
      <c r="A25" s="4" t="s">
        <v>23</v>
      </c>
      <c r="B25">
        <v>23</v>
      </c>
      <c r="D25" s="4" t="s">
        <v>23</v>
      </c>
      <c r="E25">
        <v>23</v>
      </c>
      <c r="G25" s="4" t="s">
        <v>23</v>
      </c>
      <c r="H25">
        <v>23</v>
      </c>
      <c r="J25" s="4" t="s">
        <v>23</v>
      </c>
      <c r="K25">
        <v>23</v>
      </c>
    </row>
    <row r="26" spans="1:11" x14ac:dyDescent="0.25">
      <c r="A26" s="4" t="s">
        <v>80</v>
      </c>
      <c r="B26">
        <v>23</v>
      </c>
      <c r="D26" s="4" t="s">
        <v>80</v>
      </c>
      <c r="E26">
        <v>23</v>
      </c>
      <c r="G26" s="4" t="s">
        <v>80</v>
      </c>
      <c r="H26">
        <v>23</v>
      </c>
      <c r="J26" s="4" t="s">
        <v>80</v>
      </c>
      <c r="K26">
        <v>23</v>
      </c>
    </row>
    <row r="27" spans="1:11" x14ac:dyDescent="0.25">
      <c r="A27" s="4" t="s">
        <v>35</v>
      </c>
      <c r="B27">
        <v>21</v>
      </c>
      <c r="D27" s="4" t="s">
        <v>35</v>
      </c>
      <c r="E27">
        <v>21</v>
      </c>
      <c r="G27" s="4" t="s">
        <v>35</v>
      </c>
      <c r="H27">
        <v>21</v>
      </c>
      <c r="J27" s="4" t="s">
        <v>35</v>
      </c>
      <c r="K27">
        <v>21</v>
      </c>
    </row>
    <row r="28" spans="1:11" x14ac:dyDescent="0.25">
      <c r="A28" s="4" t="s">
        <v>10</v>
      </c>
      <c r="B28">
        <v>21</v>
      </c>
      <c r="D28" s="4" t="s">
        <v>10</v>
      </c>
      <c r="E28">
        <v>21</v>
      </c>
      <c r="G28" s="4" t="s">
        <v>10</v>
      </c>
      <c r="H28">
        <v>21</v>
      </c>
      <c r="J28" s="4" t="s">
        <v>10</v>
      </c>
      <c r="K28">
        <v>21</v>
      </c>
    </row>
    <row r="29" spans="1:11" x14ac:dyDescent="0.25">
      <c r="A29" s="4" t="s">
        <v>51</v>
      </c>
      <c r="B29">
        <v>21</v>
      </c>
      <c r="D29" s="4" t="s">
        <v>51</v>
      </c>
      <c r="E29">
        <v>21</v>
      </c>
      <c r="G29" s="4" t="s">
        <v>51</v>
      </c>
      <c r="H29">
        <v>21</v>
      </c>
      <c r="J29" s="4" t="s">
        <v>51</v>
      </c>
      <c r="K29">
        <v>21</v>
      </c>
    </row>
    <row r="30" spans="1:11" x14ac:dyDescent="0.25">
      <c r="A30" s="4" t="s">
        <v>46</v>
      </c>
      <c r="B30">
        <v>20</v>
      </c>
      <c r="D30" s="4" t="s">
        <v>46</v>
      </c>
      <c r="E30">
        <v>20</v>
      </c>
      <c r="G30" s="4" t="s">
        <v>46</v>
      </c>
      <c r="H30">
        <v>20</v>
      </c>
      <c r="J30" s="4" t="s">
        <v>46</v>
      </c>
      <c r="K30">
        <v>20</v>
      </c>
    </row>
    <row r="31" spans="1:11" x14ac:dyDescent="0.25">
      <c r="A31" s="4" t="s">
        <v>64</v>
      </c>
      <c r="B31">
        <v>20</v>
      </c>
      <c r="D31" s="4" t="s">
        <v>64</v>
      </c>
      <c r="E31">
        <v>20</v>
      </c>
      <c r="G31" s="4" t="s">
        <v>64</v>
      </c>
      <c r="H31">
        <v>20</v>
      </c>
      <c r="J31" s="4" t="s">
        <v>64</v>
      </c>
      <c r="K31">
        <v>20</v>
      </c>
    </row>
    <row r="32" spans="1:11" x14ac:dyDescent="0.25">
      <c r="A32" s="4" t="s">
        <v>73</v>
      </c>
      <c r="B32">
        <v>20</v>
      </c>
      <c r="D32" s="4" t="s">
        <v>73</v>
      </c>
      <c r="E32">
        <v>20</v>
      </c>
      <c r="G32" s="4" t="s">
        <v>73</v>
      </c>
      <c r="H32">
        <v>20</v>
      </c>
      <c r="J32" s="4" t="s">
        <v>73</v>
      </c>
      <c r="K32">
        <v>20</v>
      </c>
    </row>
    <row r="33" spans="1:11" x14ac:dyDescent="0.25">
      <c r="A33" s="4" t="s">
        <v>70</v>
      </c>
      <c r="B33">
        <v>20</v>
      </c>
      <c r="D33" s="4" t="s">
        <v>70</v>
      </c>
      <c r="E33">
        <v>20</v>
      </c>
      <c r="G33" s="4" t="s">
        <v>70</v>
      </c>
      <c r="H33">
        <v>20</v>
      </c>
      <c r="J33" s="4" t="s">
        <v>70</v>
      </c>
      <c r="K33">
        <v>20</v>
      </c>
    </row>
    <row r="34" spans="1:11" x14ac:dyDescent="0.25">
      <c r="A34" s="4" t="s">
        <v>56</v>
      </c>
      <c r="B34">
        <v>20</v>
      </c>
      <c r="D34" s="4" t="s">
        <v>56</v>
      </c>
      <c r="E34">
        <v>20</v>
      </c>
      <c r="G34" s="4" t="s">
        <v>56</v>
      </c>
      <c r="H34">
        <v>20</v>
      </c>
      <c r="J34" s="4" t="s">
        <v>56</v>
      </c>
      <c r="K34">
        <v>20</v>
      </c>
    </row>
    <row r="35" spans="1:11" x14ac:dyDescent="0.25">
      <c r="A35" s="4" t="s">
        <v>74</v>
      </c>
      <c r="B35">
        <v>20</v>
      </c>
      <c r="D35" s="4" t="s">
        <v>74</v>
      </c>
      <c r="E35">
        <v>20</v>
      </c>
      <c r="G35" s="4" t="s">
        <v>74</v>
      </c>
      <c r="H35">
        <v>20</v>
      </c>
      <c r="J35" s="4" t="s">
        <v>74</v>
      </c>
      <c r="K35">
        <v>20</v>
      </c>
    </row>
    <row r="36" spans="1:11" x14ac:dyDescent="0.25">
      <c r="A36" s="4" t="s">
        <v>67</v>
      </c>
      <c r="B36">
        <v>19</v>
      </c>
      <c r="D36" s="4" t="s">
        <v>67</v>
      </c>
      <c r="E36">
        <v>19</v>
      </c>
      <c r="G36" s="4" t="s">
        <v>67</v>
      </c>
      <c r="H36">
        <v>19</v>
      </c>
      <c r="J36" s="4" t="s">
        <v>67</v>
      </c>
      <c r="K36">
        <v>19</v>
      </c>
    </row>
    <row r="37" spans="1:11" x14ac:dyDescent="0.25">
      <c r="A37" s="4" t="s">
        <v>49</v>
      </c>
      <c r="B37">
        <v>17</v>
      </c>
      <c r="D37" s="4" t="s">
        <v>49</v>
      </c>
      <c r="E37">
        <v>17</v>
      </c>
      <c r="G37" s="4" t="s">
        <v>49</v>
      </c>
      <c r="H37">
        <v>17</v>
      </c>
      <c r="J37" s="4" t="s">
        <v>49</v>
      </c>
      <c r="K37">
        <v>17</v>
      </c>
    </row>
    <row r="38" spans="1:11" x14ac:dyDescent="0.25">
      <c r="A38" s="4" t="s">
        <v>54</v>
      </c>
      <c r="B38">
        <v>17</v>
      </c>
      <c r="D38" s="4" t="s">
        <v>54</v>
      </c>
      <c r="E38">
        <v>17</v>
      </c>
      <c r="G38" s="4" t="s">
        <v>54</v>
      </c>
      <c r="H38">
        <v>17</v>
      </c>
      <c r="J38" s="4" t="s">
        <v>54</v>
      </c>
      <c r="K38">
        <v>17</v>
      </c>
    </row>
    <row r="39" spans="1:11" x14ac:dyDescent="0.25">
      <c r="A39" s="4" t="s">
        <v>87</v>
      </c>
      <c r="B39">
        <v>16</v>
      </c>
      <c r="D39" s="4" t="s">
        <v>87</v>
      </c>
      <c r="E39">
        <v>16</v>
      </c>
      <c r="G39" s="4" t="s">
        <v>87</v>
      </c>
      <c r="H39">
        <v>16</v>
      </c>
      <c r="J39" s="4" t="s">
        <v>87</v>
      </c>
      <c r="K39">
        <v>16</v>
      </c>
    </row>
    <row r="40" spans="1:11" x14ac:dyDescent="0.25">
      <c r="A40" s="4" t="s">
        <v>61</v>
      </c>
      <c r="B40">
        <v>16</v>
      </c>
      <c r="D40" s="4" t="s">
        <v>61</v>
      </c>
      <c r="E40">
        <v>16</v>
      </c>
      <c r="G40" s="4" t="s">
        <v>61</v>
      </c>
      <c r="H40">
        <v>16</v>
      </c>
      <c r="J40" s="4" t="s">
        <v>61</v>
      </c>
      <c r="K40">
        <v>16</v>
      </c>
    </row>
    <row r="41" spans="1:11" x14ac:dyDescent="0.25">
      <c r="A41" s="4" t="s">
        <v>83</v>
      </c>
      <c r="B41">
        <v>15</v>
      </c>
      <c r="D41" s="4" t="s">
        <v>83</v>
      </c>
      <c r="E41">
        <v>15</v>
      </c>
      <c r="G41" s="4" t="s">
        <v>83</v>
      </c>
      <c r="H41">
        <v>15</v>
      </c>
      <c r="J41" s="4" t="s">
        <v>83</v>
      </c>
      <c r="K41">
        <v>15</v>
      </c>
    </row>
    <row r="42" spans="1:11" x14ac:dyDescent="0.25">
      <c r="A42" s="4" t="s">
        <v>45</v>
      </c>
      <c r="B42">
        <v>15</v>
      </c>
      <c r="D42" s="4" t="s">
        <v>45</v>
      </c>
      <c r="E42">
        <v>15</v>
      </c>
      <c r="G42" s="4" t="s">
        <v>45</v>
      </c>
      <c r="H42">
        <v>15</v>
      </c>
      <c r="J42" s="4" t="s">
        <v>45</v>
      </c>
      <c r="K42">
        <v>15</v>
      </c>
    </row>
    <row r="43" spans="1:11" x14ac:dyDescent="0.25">
      <c r="A43" s="4" t="s">
        <v>78</v>
      </c>
      <c r="B43">
        <v>14</v>
      </c>
      <c r="D43" s="4" t="s">
        <v>78</v>
      </c>
      <c r="E43">
        <v>14</v>
      </c>
      <c r="G43" s="4" t="s">
        <v>78</v>
      </c>
      <c r="H43">
        <v>14</v>
      </c>
      <c r="J43" s="4" t="s">
        <v>78</v>
      </c>
      <c r="K43">
        <v>14</v>
      </c>
    </row>
    <row r="44" spans="1:11" x14ac:dyDescent="0.25">
      <c r="A44" s="4" t="s">
        <v>13</v>
      </c>
      <c r="B44">
        <v>13</v>
      </c>
      <c r="D44" s="4" t="s">
        <v>13</v>
      </c>
      <c r="E44">
        <v>13</v>
      </c>
      <c r="G44" s="4" t="s">
        <v>13</v>
      </c>
      <c r="H44">
        <v>13</v>
      </c>
      <c r="J44" s="4" t="s">
        <v>13</v>
      </c>
      <c r="K44">
        <v>13</v>
      </c>
    </row>
    <row r="45" spans="1:11" x14ac:dyDescent="0.25">
      <c r="A45" s="4" t="s">
        <v>106</v>
      </c>
      <c r="B45">
        <v>941</v>
      </c>
      <c r="D45" s="4" t="s">
        <v>106</v>
      </c>
      <c r="E45">
        <v>941</v>
      </c>
      <c r="G45" s="4" t="s">
        <v>106</v>
      </c>
      <c r="H45">
        <v>941</v>
      </c>
      <c r="J45" s="4" t="s">
        <v>106</v>
      </c>
      <c r="K45">
        <v>941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423E-47CC-44A8-AA39-0BAC1E42F5B9}">
  <sheetPr>
    <tabColor rgb="FFFF0000"/>
  </sheetPr>
  <dimension ref="A1:K20"/>
  <sheetViews>
    <sheetView workbookViewId="0">
      <selection activeCell="G17" sqref="G17"/>
    </sheetView>
  </sheetViews>
  <sheetFormatPr defaultRowHeight="15" x14ac:dyDescent="0.25"/>
  <cols>
    <col min="1" max="1" width="22" bestFit="1" customWidth="1"/>
    <col min="2" max="2" width="18.7109375" bestFit="1" customWidth="1"/>
    <col min="4" max="4" width="14.28515625" customWidth="1"/>
    <col min="5" max="5" width="18.140625" customWidth="1"/>
    <col min="6" max="6" width="18.28515625" customWidth="1"/>
    <col min="7" max="7" width="2.85546875" customWidth="1"/>
    <col min="8" max="8" width="5.140625" customWidth="1"/>
    <col min="9" max="9" width="13.7109375" customWidth="1"/>
    <col min="10" max="10" width="15.85546875" bestFit="1" customWidth="1"/>
    <col min="11" max="11" width="11.140625" customWidth="1"/>
  </cols>
  <sheetData>
    <row r="1" spans="1:11" x14ac:dyDescent="0.25">
      <c r="A1" s="3" t="s">
        <v>92</v>
      </c>
      <c r="B1" t="s">
        <v>121</v>
      </c>
      <c r="D1" s="19" t="s">
        <v>163</v>
      </c>
      <c r="E1" s="19"/>
      <c r="F1" s="19"/>
      <c r="I1" s="19" t="s">
        <v>163</v>
      </c>
      <c r="J1" s="19"/>
      <c r="K1" s="19"/>
    </row>
    <row r="2" spans="1:11" x14ac:dyDescent="0.25">
      <c r="A2" s="4" t="s">
        <v>75</v>
      </c>
      <c r="B2">
        <v>67</v>
      </c>
      <c r="D2" s="6" t="s">
        <v>154</v>
      </c>
      <c r="E2" s="6" t="s">
        <v>107</v>
      </c>
      <c r="F2" s="6" t="s">
        <v>124</v>
      </c>
      <c r="I2" s="6" t="s">
        <v>164</v>
      </c>
      <c r="J2" s="6" t="s">
        <v>165</v>
      </c>
      <c r="K2" s="6" t="s">
        <v>124</v>
      </c>
    </row>
    <row r="3" spans="1:11" x14ac:dyDescent="0.25">
      <c r="A3" s="4" t="s">
        <v>38</v>
      </c>
      <c r="B3">
        <v>67</v>
      </c>
      <c r="D3" t="s">
        <v>155</v>
      </c>
      <c r="E3">
        <f>SUM(B2:B5)</f>
        <v>254</v>
      </c>
      <c r="F3" s="8">
        <f>E3/$E$5</f>
        <v>0.26992561105207225</v>
      </c>
      <c r="I3" s="4" t="s">
        <v>75</v>
      </c>
      <c r="J3">
        <f>GETPIVOTDATA("User Id",$A$1,"App Category","Business")</f>
        <v>67</v>
      </c>
      <c r="K3" s="10">
        <f>J3/$J$8</f>
        <v>7.1200850159404888E-2</v>
      </c>
    </row>
    <row r="4" spans="1:11" x14ac:dyDescent="0.25">
      <c r="A4" s="4" t="s">
        <v>1</v>
      </c>
      <c r="B4">
        <v>60</v>
      </c>
      <c r="D4" t="s">
        <v>156</v>
      </c>
      <c r="E4">
        <f>SUM(B6:B19)</f>
        <v>687</v>
      </c>
      <c r="F4" s="8">
        <f t="shared" ref="F4:F5" si="0">E4/$E$5</f>
        <v>0.73007438894792775</v>
      </c>
      <c r="I4" s="4" t="s">
        <v>38</v>
      </c>
      <c r="J4">
        <f>GETPIVOTDATA("User Id",$A$1,"App Category","Entertainment")</f>
        <v>67</v>
      </c>
      <c r="K4" s="8">
        <f t="shared" ref="K4:K7" si="1">J4/$J$8</f>
        <v>7.1200850159404888E-2</v>
      </c>
    </row>
    <row r="5" spans="1:11" x14ac:dyDescent="0.25">
      <c r="A5" s="4" t="s">
        <v>6</v>
      </c>
      <c r="B5">
        <v>60</v>
      </c>
      <c r="D5" s="6" t="s">
        <v>125</v>
      </c>
      <c r="E5" s="6">
        <f>SUM(E3:E4)</f>
        <v>941</v>
      </c>
      <c r="F5" s="9">
        <f t="shared" si="0"/>
        <v>1</v>
      </c>
      <c r="H5">
        <f>GETPIVOTDATA("User Id",$A$1)</f>
        <v>941</v>
      </c>
      <c r="I5" s="4" t="s">
        <v>1</v>
      </c>
      <c r="J5">
        <f>GETPIVOTDATA("User Id",$A$1,"App Category","Travel &amp; Local")</f>
        <v>60</v>
      </c>
      <c r="K5" s="10">
        <f t="shared" si="1"/>
        <v>6.3761955366631248E-2</v>
      </c>
    </row>
    <row r="6" spans="1:11" x14ac:dyDescent="0.25">
      <c r="A6" s="4" t="s">
        <v>31</v>
      </c>
      <c r="B6">
        <v>59</v>
      </c>
      <c r="I6" s="4" t="s">
        <v>6</v>
      </c>
      <c r="J6">
        <f>GETPIVOTDATA("User Id",$A$1,"App Category","Navigation")</f>
        <v>60</v>
      </c>
      <c r="K6" s="10">
        <f t="shared" si="1"/>
        <v>6.3761955366631248E-2</v>
      </c>
    </row>
    <row r="7" spans="1:11" x14ac:dyDescent="0.25">
      <c r="A7" s="4" t="s">
        <v>34</v>
      </c>
      <c r="B7">
        <v>51</v>
      </c>
      <c r="I7" s="4" t="s">
        <v>156</v>
      </c>
      <c r="J7">
        <f>SUM(B6:B19)</f>
        <v>687</v>
      </c>
      <c r="K7" s="10">
        <f t="shared" si="1"/>
        <v>0.73007438894792775</v>
      </c>
    </row>
    <row r="8" spans="1:11" x14ac:dyDescent="0.25">
      <c r="A8" s="4" t="s">
        <v>63</v>
      </c>
      <c r="B8">
        <v>51</v>
      </c>
      <c r="I8" s="16" t="s">
        <v>125</v>
      </c>
      <c r="J8" s="6">
        <f>SUM(J3:J7)</f>
        <v>941</v>
      </c>
    </row>
    <row r="9" spans="1:11" x14ac:dyDescent="0.25">
      <c r="A9" s="4" t="s">
        <v>29</v>
      </c>
      <c r="B9">
        <v>51</v>
      </c>
    </row>
    <row r="10" spans="1:11" x14ac:dyDescent="0.25">
      <c r="A10" s="4" t="s">
        <v>14</v>
      </c>
      <c r="B10">
        <v>51</v>
      </c>
    </row>
    <row r="11" spans="1:11" x14ac:dyDescent="0.25">
      <c r="A11" s="4" t="s">
        <v>20</v>
      </c>
      <c r="B11">
        <v>51</v>
      </c>
    </row>
    <row r="12" spans="1:11" x14ac:dyDescent="0.25">
      <c r="A12" s="4" t="s">
        <v>18</v>
      </c>
      <c r="B12">
        <v>50</v>
      </c>
    </row>
    <row r="13" spans="1:11" x14ac:dyDescent="0.25">
      <c r="A13" s="4" t="s">
        <v>57</v>
      </c>
      <c r="B13">
        <v>49</v>
      </c>
    </row>
    <row r="14" spans="1:11" x14ac:dyDescent="0.25">
      <c r="A14" s="4" t="s">
        <v>43</v>
      </c>
      <c r="B14">
        <v>49</v>
      </c>
    </row>
    <row r="15" spans="1:11" x14ac:dyDescent="0.25">
      <c r="A15" s="4" t="s">
        <v>36</v>
      </c>
      <c r="B15">
        <v>47</v>
      </c>
    </row>
    <row r="16" spans="1:11" x14ac:dyDescent="0.25">
      <c r="A16" s="4" t="s">
        <v>26</v>
      </c>
      <c r="B16">
        <v>47</v>
      </c>
    </row>
    <row r="17" spans="1:2" x14ac:dyDescent="0.25">
      <c r="A17" s="4" t="s">
        <v>11</v>
      </c>
      <c r="B17">
        <v>46</v>
      </c>
    </row>
    <row r="18" spans="1:2" x14ac:dyDescent="0.25">
      <c r="A18" s="4" t="s">
        <v>85</v>
      </c>
      <c r="B18">
        <v>44</v>
      </c>
    </row>
    <row r="19" spans="1:2" x14ac:dyDescent="0.25">
      <c r="A19" s="4" t="s">
        <v>47</v>
      </c>
      <c r="B19">
        <v>41</v>
      </c>
    </row>
    <row r="20" spans="1:2" x14ac:dyDescent="0.25">
      <c r="A20" s="4" t="s">
        <v>106</v>
      </c>
      <c r="B20">
        <v>941</v>
      </c>
    </row>
  </sheetData>
  <mergeCells count="2">
    <mergeCell ref="D1:F1"/>
    <mergeCell ref="I1:K1"/>
  </mergeCells>
  <conditionalFormatting pivot="1" sqref="B2:B19">
    <cfRule type="top10" dxfId="8" priority="1" rank="3"/>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A70C-CE5F-4074-BDB4-4E757D575916}">
  <sheetPr>
    <tabColor rgb="FF002060"/>
  </sheetPr>
  <dimension ref="A1:N45"/>
  <sheetViews>
    <sheetView topLeftCell="D1" workbookViewId="0">
      <selection activeCell="N8" sqref="N8:N9"/>
    </sheetView>
  </sheetViews>
  <sheetFormatPr defaultRowHeight="15" x14ac:dyDescent="0.25"/>
  <cols>
    <col min="1" max="1" width="17" bestFit="1" customWidth="1"/>
    <col min="2" max="2" width="16.140625" bestFit="1" customWidth="1"/>
    <col min="4" max="4" width="17" bestFit="1" customWidth="1"/>
    <col min="5" max="5" width="16.140625" bestFit="1" customWidth="1"/>
    <col min="7" max="7" width="16.85546875" customWidth="1"/>
    <col min="8" max="8" width="12.140625" customWidth="1"/>
    <col min="9" max="9" width="21" customWidth="1"/>
    <col min="10" max="10" width="9" customWidth="1"/>
    <col min="12" max="12" width="10.7109375" customWidth="1"/>
    <col min="14" max="14" width="10.85546875" customWidth="1"/>
  </cols>
  <sheetData>
    <row r="1" spans="1:14" x14ac:dyDescent="0.25">
      <c r="A1" s="3" t="s">
        <v>100</v>
      </c>
      <c r="B1" t="s">
        <v>9</v>
      </c>
      <c r="D1" s="3" t="s">
        <v>100</v>
      </c>
      <c r="E1" t="s">
        <v>4</v>
      </c>
    </row>
    <row r="2" spans="1:14" x14ac:dyDescent="0.25">
      <c r="G2" s="19" t="s">
        <v>150</v>
      </c>
      <c r="H2" s="19"/>
      <c r="I2" s="19"/>
      <c r="J2" s="2"/>
      <c r="L2" s="13" t="s">
        <v>9</v>
      </c>
      <c r="M2" s="13" t="s">
        <v>4</v>
      </c>
      <c r="N2" s="13" t="s">
        <v>151</v>
      </c>
    </row>
    <row r="3" spans="1:14" x14ac:dyDescent="0.25">
      <c r="A3" s="3" t="s">
        <v>91</v>
      </c>
      <c r="B3" t="s">
        <v>107</v>
      </c>
      <c r="D3" s="3" t="s">
        <v>91</v>
      </c>
      <c r="E3" t="s">
        <v>107</v>
      </c>
      <c r="G3" s="6" t="s">
        <v>148</v>
      </c>
      <c r="H3" t="s">
        <v>9</v>
      </c>
      <c r="I3" t="s">
        <v>4</v>
      </c>
      <c r="J3" t="s">
        <v>125</v>
      </c>
      <c r="L3">
        <f>SUM(B4:B44)</f>
        <v>469</v>
      </c>
      <c r="M3">
        <f>SUM(E4:E44)</f>
        <v>472</v>
      </c>
      <c r="N3">
        <f>SUM(L3:M3)</f>
        <v>941</v>
      </c>
    </row>
    <row r="4" spans="1:14" x14ac:dyDescent="0.25">
      <c r="A4" s="4" t="s">
        <v>5</v>
      </c>
      <c r="B4">
        <v>21</v>
      </c>
      <c r="D4" s="4" t="s">
        <v>5</v>
      </c>
      <c r="E4">
        <v>18</v>
      </c>
      <c r="G4" s="6" t="s">
        <v>91</v>
      </c>
      <c r="H4" t="s">
        <v>5</v>
      </c>
      <c r="I4" t="s">
        <v>149</v>
      </c>
      <c r="L4" s="10">
        <f>L3/N3</f>
        <v>0.49840595111583424</v>
      </c>
      <c r="M4" s="10">
        <f>M3/N3</f>
        <v>0.50159404888416581</v>
      </c>
    </row>
    <row r="5" spans="1:14" x14ac:dyDescent="0.25">
      <c r="A5" s="4" t="s">
        <v>71</v>
      </c>
      <c r="B5">
        <v>18</v>
      </c>
      <c r="D5" s="4" t="s">
        <v>88</v>
      </c>
      <c r="E5">
        <v>18</v>
      </c>
      <c r="G5" s="6" t="s">
        <v>107</v>
      </c>
      <c r="H5">
        <f>GETPIVOTDATA("User Id",$A$3,"App Name","Tinder")</f>
        <v>21</v>
      </c>
      <c r="I5">
        <f>SUM(E4:E5)</f>
        <v>36</v>
      </c>
      <c r="J5">
        <f>SUM(GETPIVOTDATA("User Id",$A$3,"App Name","Tinder"),GETPIVOTDATA("User Id",$D$3,"App Name","Tinder"))</f>
        <v>39</v>
      </c>
    </row>
    <row r="6" spans="1:14" x14ac:dyDescent="0.25">
      <c r="A6" s="4" t="s">
        <v>28</v>
      </c>
      <c r="B6">
        <v>17</v>
      </c>
      <c r="D6" s="4" t="s">
        <v>89</v>
      </c>
      <c r="E6">
        <v>17</v>
      </c>
      <c r="G6" s="6" t="s">
        <v>124</v>
      </c>
      <c r="H6" s="8">
        <f>H5/G10</f>
        <v>2.2316684378320937E-2</v>
      </c>
      <c r="I6" s="8">
        <f>I5/G10</f>
        <v>3.8257173219978749E-2</v>
      </c>
      <c r="J6" s="8"/>
    </row>
    <row r="7" spans="1:14" x14ac:dyDescent="0.25">
      <c r="A7" s="4" t="s">
        <v>0</v>
      </c>
      <c r="B7">
        <v>17</v>
      </c>
      <c r="D7" s="4" t="s">
        <v>84</v>
      </c>
      <c r="E7">
        <v>16</v>
      </c>
      <c r="L7" s="20" t="s">
        <v>162</v>
      </c>
      <c r="M7" s="20"/>
      <c r="N7" s="20"/>
    </row>
    <row r="8" spans="1:14" x14ac:dyDescent="0.25">
      <c r="A8" s="4" t="s">
        <v>60</v>
      </c>
      <c r="B8">
        <v>16</v>
      </c>
      <c r="D8" s="4" t="s">
        <v>25</v>
      </c>
      <c r="E8">
        <v>15</v>
      </c>
      <c r="I8" s="6" t="s">
        <v>158</v>
      </c>
      <c r="J8" s="6">
        <f>GETPIVOTDATA("User Id",$D$3,"App Name","Tinder")</f>
        <v>18</v>
      </c>
      <c r="L8" s="6" t="s">
        <v>9</v>
      </c>
      <c r="M8">
        <f>L3</f>
        <v>469</v>
      </c>
      <c r="N8" s="15">
        <f>M8/M10</f>
        <v>0.49840595111583424</v>
      </c>
    </row>
    <row r="9" spans="1:14" x14ac:dyDescent="0.25">
      <c r="A9" s="4" t="s">
        <v>76</v>
      </c>
      <c r="B9">
        <v>16</v>
      </c>
      <c r="D9" s="4" t="s">
        <v>80</v>
      </c>
      <c r="E9">
        <v>15</v>
      </c>
      <c r="G9" s="6" t="s">
        <v>151</v>
      </c>
      <c r="L9" s="6" t="s">
        <v>161</v>
      </c>
      <c r="M9">
        <f>M3</f>
        <v>472</v>
      </c>
      <c r="N9" s="15">
        <f>M9/M10</f>
        <v>0.50159404888416581</v>
      </c>
    </row>
    <row r="10" spans="1:14" x14ac:dyDescent="0.25">
      <c r="A10" s="4" t="s">
        <v>32</v>
      </c>
      <c r="B10">
        <v>16</v>
      </c>
      <c r="D10" s="4" t="s">
        <v>69</v>
      </c>
      <c r="E10">
        <v>15</v>
      </c>
      <c r="G10">
        <f>GETPIVOTDATA("User Id",$A$3)+GETPIVOTDATA("User Id",$D$3)</f>
        <v>941</v>
      </c>
      <c r="L10" s="6" t="s">
        <v>125</v>
      </c>
      <c r="M10">
        <f>SUM(M8:M9)</f>
        <v>941</v>
      </c>
    </row>
    <row r="11" spans="1:14" x14ac:dyDescent="0.25">
      <c r="A11" s="4" t="s">
        <v>69</v>
      </c>
      <c r="B11">
        <v>16</v>
      </c>
      <c r="D11" s="4" t="s">
        <v>40</v>
      </c>
      <c r="E11">
        <v>15</v>
      </c>
    </row>
    <row r="12" spans="1:14" x14ac:dyDescent="0.25">
      <c r="A12" s="4" t="s">
        <v>82</v>
      </c>
      <c r="B12">
        <v>15</v>
      </c>
      <c r="D12" s="4" t="s">
        <v>35</v>
      </c>
      <c r="E12">
        <v>15</v>
      </c>
    </row>
    <row r="13" spans="1:14" x14ac:dyDescent="0.25">
      <c r="A13" s="4" t="s">
        <v>33</v>
      </c>
      <c r="B13">
        <v>15</v>
      </c>
      <c r="D13" s="4" t="s">
        <v>17</v>
      </c>
      <c r="E13">
        <v>14</v>
      </c>
    </row>
    <row r="14" spans="1:14" x14ac:dyDescent="0.25">
      <c r="A14" s="4" t="s">
        <v>62</v>
      </c>
      <c r="B14">
        <v>13</v>
      </c>
      <c r="D14" s="4" t="s">
        <v>79</v>
      </c>
      <c r="E14">
        <v>14</v>
      </c>
    </row>
    <row r="15" spans="1:14" x14ac:dyDescent="0.25">
      <c r="A15" s="4" t="s">
        <v>54</v>
      </c>
      <c r="B15">
        <v>13</v>
      </c>
      <c r="D15" s="4" t="s">
        <v>71</v>
      </c>
      <c r="E15">
        <v>13</v>
      </c>
    </row>
    <row r="16" spans="1:14" x14ac:dyDescent="0.25">
      <c r="A16" s="4" t="s">
        <v>51</v>
      </c>
      <c r="B16">
        <v>13</v>
      </c>
      <c r="D16" s="4" t="s">
        <v>23</v>
      </c>
      <c r="E16">
        <v>13</v>
      </c>
    </row>
    <row r="17" spans="1:5" x14ac:dyDescent="0.25">
      <c r="A17" s="4" t="s">
        <v>41</v>
      </c>
      <c r="B17">
        <v>12</v>
      </c>
      <c r="D17" s="4" t="s">
        <v>76</v>
      </c>
      <c r="E17">
        <v>13</v>
      </c>
    </row>
    <row r="18" spans="1:5" x14ac:dyDescent="0.25">
      <c r="A18" s="4" t="s">
        <v>30</v>
      </c>
      <c r="B18">
        <v>12</v>
      </c>
      <c r="D18" s="4" t="s">
        <v>52</v>
      </c>
      <c r="E18">
        <v>13</v>
      </c>
    </row>
    <row r="19" spans="1:5" x14ac:dyDescent="0.25">
      <c r="A19" s="4" t="s">
        <v>17</v>
      </c>
      <c r="B19">
        <v>12</v>
      </c>
      <c r="D19" s="4" t="s">
        <v>73</v>
      </c>
      <c r="E19">
        <v>13</v>
      </c>
    </row>
    <row r="20" spans="1:5" x14ac:dyDescent="0.25">
      <c r="A20" s="4" t="s">
        <v>40</v>
      </c>
      <c r="B20">
        <v>12</v>
      </c>
      <c r="D20" s="4" t="s">
        <v>62</v>
      </c>
      <c r="E20">
        <v>13</v>
      </c>
    </row>
    <row r="21" spans="1:5" x14ac:dyDescent="0.25">
      <c r="A21" s="4" t="s">
        <v>61</v>
      </c>
      <c r="B21">
        <v>12</v>
      </c>
      <c r="D21" s="4" t="s">
        <v>41</v>
      </c>
      <c r="E21">
        <v>12</v>
      </c>
    </row>
    <row r="22" spans="1:5" x14ac:dyDescent="0.25">
      <c r="A22" s="4" t="s">
        <v>64</v>
      </c>
      <c r="B22">
        <v>11</v>
      </c>
      <c r="D22" s="4" t="s">
        <v>10</v>
      </c>
      <c r="E22">
        <v>12</v>
      </c>
    </row>
    <row r="23" spans="1:5" x14ac:dyDescent="0.25">
      <c r="A23" s="4" t="s">
        <v>88</v>
      </c>
      <c r="B23">
        <v>11</v>
      </c>
      <c r="D23" s="4" t="s">
        <v>30</v>
      </c>
      <c r="E23">
        <v>12</v>
      </c>
    </row>
    <row r="24" spans="1:5" x14ac:dyDescent="0.25">
      <c r="A24" s="4" t="s">
        <v>70</v>
      </c>
      <c r="B24">
        <v>11</v>
      </c>
      <c r="D24" s="4" t="s">
        <v>28</v>
      </c>
      <c r="E24">
        <v>12</v>
      </c>
    </row>
    <row r="25" spans="1:5" x14ac:dyDescent="0.25">
      <c r="A25" s="4" t="s">
        <v>52</v>
      </c>
      <c r="B25">
        <v>11</v>
      </c>
      <c r="D25" s="4" t="s">
        <v>67</v>
      </c>
      <c r="E25">
        <v>11</v>
      </c>
    </row>
    <row r="26" spans="1:5" x14ac:dyDescent="0.25">
      <c r="A26" s="4" t="s">
        <v>74</v>
      </c>
      <c r="B26">
        <v>11</v>
      </c>
      <c r="D26" s="4" t="s">
        <v>33</v>
      </c>
      <c r="E26">
        <v>11</v>
      </c>
    </row>
    <row r="27" spans="1:5" x14ac:dyDescent="0.25">
      <c r="A27" s="4" t="s">
        <v>45</v>
      </c>
      <c r="B27">
        <v>10</v>
      </c>
      <c r="D27" s="4" t="s">
        <v>87</v>
      </c>
      <c r="E27">
        <v>11</v>
      </c>
    </row>
    <row r="28" spans="1:5" x14ac:dyDescent="0.25">
      <c r="A28" s="4" t="s">
        <v>79</v>
      </c>
      <c r="B28">
        <v>10</v>
      </c>
      <c r="D28" s="4" t="s">
        <v>46</v>
      </c>
      <c r="E28">
        <v>11</v>
      </c>
    </row>
    <row r="29" spans="1:5" x14ac:dyDescent="0.25">
      <c r="A29" s="4" t="s">
        <v>84</v>
      </c>
      <c r="B29">
        <v>10</v>
      </c>
      <c r="D29" s="4" t="s">
        <v>32</v>
      </c>
      <c r="E29">
        <v>11</v>
      </c>
    </row>
    <row r="30" spans="1:5" x14ac:dyDescent="0.25">
      <c r="A30" s="4" t="s">
        <v>25</v>
      </c>
      <c r="B30">
        <v>10</v>
      </c>
      <c r="D30" s="4" t="s">
        <v>0</v>
      </c>
      <c r="E30">
        <v>11</v>
      </c>
    </row>
    <row r="31" spans="1:5" x14ac:dyDescent="0.25">
      <c r="A31" s="4" t="s">
        <v>23</v>
      </c>
      <c r="B31">
        <v>10</v>
      </c>
      <c r="D31" s="4" t="s">
        <v>60</v>
      </c>
      <c r="E31">
        <v>10</v>
      </c>
    </row>
    <row r="32" spans="1:5" x14ac:dyDescent="0.25">
      <c r="A32" s="4" t="s">
        <v>56</v>
      </c>
      <c r="B32">
        <v>10</v>
      </c>
      <c r="D32" s="4" t="s">
        <v>56</v>
      </c>
      <c r="E32">
        <v>10</v>
      </c>
    </row>
    <row r="33" spans="1:5" x14ac:dyDescent="0.25">
      <c r="A33" s="4" t="s">
        <v>46</v>
      </c>
      <c r="B33">
        <v>9</v>
      </c>
      <c r="D33" s="4" t="s">
        <v>13</v>
      </c>
      <c r="E33">
        <v>9</v>
      </c>
    </row>
    <row r="34" spans="1:5" x14ac:dyDescent="0.25">
      <c r="A34" s="4" t="s">
        <v>49</v>
      </c>
      <c r="B34">
        <v>9</v>
      </c>
      <c r="D34" s="4" t="s">
        <v>70</v>
      </c>
      <c r="E34">
        <v>9</v>
      </c>
    </row>
    <row r="35" spans="1:5" x14ac:dyDescent="0.25">
      <c r="A35" s="4" t="s">
        <v>10</v>
      </c>
      <c r="B35">
        <v>9</v>
      </c>
      <c r="D35" s="4" t="s">
        <v>64</v>
      </c>
      <c r="E35">
        <v>9</v>
      </c>
    </row>
    <row r="36" spans="1:5" x14ac:dyDescent="0.25">
      <c r="A36" s="4" t="s">
        <v>89</v>
      </c>
      <c r="B36">
        <v>8</v>
      </c>
      <c r="D36" s="4" t="s">
        <v>74</v>
      </c>
      <c r="E36">
        <v>9</v>
      </c>
    </row>
    <row r="37" spans="1:5" x14ac:dyDescent="0.25">
      <c r="A37" s="4" t="s">
        <v>67</v>
      </c>
      <c r="B37">
        <v>8</v>
      </c>
      <c r="D37" s="4" t="s">
        <v>82</v>
      </c>
      <c r="E37">
        <v>9</v>
      </c>
    </row>
    <row r="38" spans="1:5" x14ac:dyDescent="0.25">
      <c r="A38" s="4" t="s">
        <v>83</v>
      </c>
      <c r="B38">
        <v>8</v>
      </c>
      <c r="D38" s="4" t="s">
        <v>49</v>
      </c>
      <c r="E38">
        <v>8</v>
      </c>
    </row>
    <row r="39" spans="1:5" x14ac:dyDescent="0.25">
      <c r="A39" s="4" t="s">
        <v>80</v>
      </c>
      <c r="B39">
        <v>8</v>
      </c>
      <c r="D39" s="4" t="s">
        <v>51</v>
      </c>
      <c r="E39">
        <v>8</v>
      </c>
    </row>
    <row r="40" spans="1:5" x14ac:dyDescent="0.25">
      <c r="A40" s="4" t="s">
        <v>78</v>
      </c>
      <c r="B40">
        <v>7</v>
      </c>
      <c r="D40" s="4" t="s">
        <v>78</v>
      </c>
      <c r="E40">
        <v>7</v>
      </c>
    </row>
    <row r="41" spans="1:5" x14ac:dyDescent="0.25">
      <c r="A41" s="4" t="s">
        <v>73</v>
      </c>
      <c r="B41">
        <v>7</v>
      </c>
      <c r="D41" s="4" t="s">
        <v>83</v>
      </c>
      <c r="E41">
        <v>7</v>
      </c>
    </row>
    <row r="42" spans="1:5" x14ac:dyDescent="0.25">
      <c r="A42" s="4" t="s">
        <v>35</v>
      </c>
      <c r="B42">
        <v>6</v>
      </c>
      <c r="D42" s="4" t="s">
        <v>45</v>
      </c>
      <c r="E42">
        <v>5</v>
      </c>
    </row>
    <row r="43" spans="1:5" x14ac:dyDescent="0.25">
      <c r="A43" s="4" t="s">
        <v>87</v>
      </c>
      <c r="B43">
        <v>5</v>
      </c>
      <c r="D43" s="4" t="s">
        <v>61</v>
      </c>
      <c r="E43">
        <v>4</v>
      </c>
    </row>
    <row r="44" spans="1:5" x14ac:dyDescent="0.25">
      <c r="A44" s="4" t="s">
        <v>13</v>
      </c>
      <c r="B44">
        <v>4</v>
      </c>
      <c r="D44" s="4" t="s">
        <v>54</v>
      </c>
      <c r="E44">
        <v>4</v>
      </c>
    </row>
    <row r="45" spans="1:5" x14ac:dyDescent="0.25">
      <c r="A45" s="4" t="s">
        <v>106</v>
      </c>
      <c r="B45">
        <v>469</v>
      </c>
      <c r="D45" s="4" t="s">
        <v>106</v>
      </c>
      <c r="E45">
        <v>472</v>
      </c>
    </row>
  </sheetData>
  <mergeCells count="2">
    <mergeCell ref="G2:I2"/>
    <mergeCell ref="L7:N7"/>
  </mergeCell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13BF-3560-48B7-ADD6-85602AB84063}">
  <sheetPr>
    <tabColor rgb="FF66CCFF"/>
  </sheetPr>
  <dimension ref="A1:G26"/>
  <sheetViews>
    <sheetView workbookViewId="0">
      <selection activeCell="G3" sqref="G3:G5"/>
    </sheetView>
  </sheetViews>
  <sheetFormatPr defaultRowHeight="15" x14ac:dyDescent="0.25"/>
  <cols>
    <col min="1" max="1" width="15.42578125" bestFit="1" customWidth="1"/>
    <col min="2" max="2" width="18.7109375" customWidth="1"/>
    <col min="5" max="5" width="14.42578125" customWidth="1"/>
    <col min="6" max="6" width="18.42578125" customWidth="1"/>
    <col min="7" max="7" width="13.7109375" customWidth="1"/>
  </cols>
  <sheetData>
    <row r="1" spans="1:7" x14ac:dyDescent="0.25">
      <c r="A1" s="3" t="s">
        <v>152</v>
      </c>
      <c r="B1" t="s">
        <v>121</v>
      </c>
      <c r="E1" s="19" t="s">
        <v>153</v>
      </c>
      <c r="F1" s="19"/>
      <c r="G1" s="19"/>
    </row>
    <row r="2" spans="1:7" x14ac:dyDescent="0.25">
      <c r="A2" s="4" t="s">
        <v>24</v>
      </c>
      <c r="B2" s="14">
        <v>52</v>
      </c>
      <c r="E2" s="6" t="s">
        <v>152</v>
      </c>
      <c r="F2" s="6" t="s">
        <v>107</v>
      </c>
      <c r="G2" s="6" t="s">
        <v>124</v>
      </c>
    </row>
    <row r="3" spans="1:7" x14ac:dyDescent="0.25">
      <c r="A3" s="4" t="s">
        <v>81</v>
      </c>
      <c r="B3" s="14">
        <v>49</v>
      </c>
      <c r="E3" t="s">
        <v>24</v>
      </c>
      <c r="F3">
        <f>GETPIVOTDATA("User Id",$A$1,"User Country","Australia")</f>
        <v>52</v>
      </c>
      <c r="G3" s="10">
        <f>F3/$E$9</f>
        <v>5.526036131774708E-2</v>
      </c>
    </row>
    <row r="4" spans="1:7" x14ac:dyDescent="0.25">
      <c r="A4" s="4" t="s">
        <v>53</v>
      </c>
      <c r="B4" s="14">
        <v>48</v>
      </c>
      <c r="E4" t="s">
        <v>81</v>
      </c>
      <c r="F4">
        <f>GETPIVOTDATA("User Id",$A$1,"User Country","Indonesia")</f>
        <v>49</v>
      </c>
      <c r="G4" s="10">
        <f t="shared" ref="G4:G5" si="0">F4/$E$9</f>
        <v>5.2072263549415514E-2</v>
      </c>
    </row>
    <row r="5" spans="1:7" x14ac:dyDescent="0.25">
      <c r="A5" s="4" t="s">
        <v>50</v>
      </c>
      <c r="B5">
        <v>46</v>
      </c>
      <c r="E5" t="s">
        <v>53</v>
      </c>
      <c r="F5">
        <f>GETPIVOTDATA("User Id",$A$1,"User Country","Turkey")</f>
        <v>48</v>
      </c>
      <c r="G5" s="10">
        <f t="shared" si="0"/>
        <v>5.1009564293304992E-2</v>
      </c>
    </row>
    <row r="6" spans="1:7" x14ac:dyDescent="0.25">
      <c r="A6" s="4" t="s">
        <v>8</v>
      </c>
      <c r="B6">
        <v>46</v>
      </c>
    </row>
    <row r="7" spans="1:7" x14ac:dyDescent="0.25">
      <c r="A7" s="4" t="s">
        <v>44</v>
      </c>
      <c r="B7">
        <v>45</v>
      </c>
    </row>
    <row r="8" spans="1:7" x14ac:dyDescent="0.25">
      <c r="A8" s="4" t="s">
        <v>3</v>
      </c>
      <c r="B8">
        <v>44</v>
      </c>
      <c r="E8" s="6" t="s">
        <v>151</v>
      </c>
    </row>
    <row r="9" spans="1:7" x14ac:dyDescent="0.25">
      <c r="A9" s="4" t="s">
        <v>16</v>
      </c>
      <c r="B9">
        <v>44</v>
      </c>
      <c r="E9">
        <f>GETPIVOTDATA("User Id",$A$1)</f>
        <v>941</v>
      </c>
    </row>
    <row r="10" spans="1:7" x14ac:dyDescent="0.25">
      <c r="A10" s="4" t="s">
        <v>68</v>
      </c>
      <c r="B10">
        <v>42</v>
      </c>
    </row>
    <row r="11" spans="1:7" x14ac:dyDescent="0.25">
      <c r="A11" s="4" t="s">
        <v>12</v>
      </c>
      <c r="B11">
        <v>40</v>
      </c>
    </row>
    <row r="12" spans="1:7" x14ac:dyDescent="0.25">
      <c r="A12" s="4" t="s">
        <v>48</v>
      </c>
      <c r="B12">
        <v>40</v>
      </c>
    </row>
    <row r="13" spans="1:7" x14ac:dyDescent="0.25">
      <c r="A13" s="4" t="s">
        <v>72</v>
      </c>
      <c r="B13">
        <v>40</v>
      </c>
    </row>
    <row r="14" spans="1:7" x14ac:dyDescent="0.25">
      <c r="A14" s="4" t="s">
        <v>27</v>
      </c>
      <c r="B14">
        <v>40</v>
      </c>
    </row>
    <row r="15" spans="1:7" x14ac:dyDescent="0.25">
      <c r="A15" s="4" t="s">
        <v>86</v>
      </c>
      <c r="B15">
        <v>38</v>
      </c>
    </row>
    <row r="16" spans="1:7" x14ac:dyDescent="0.25">
      <c r="A16" s="4" t="s">
        <v>22</v>
      </c>
      <c r="B16">
        <v>38</v>
      </c>
    </row>
    <row r="17" spans="1:2" x14ac:dyDescent="0.25">
      <c r="A17" s="4" t="s">
        <v>42</v>
      </c>
      <c r="B17">
        <v>37</v>
      </c>
    </row>
    <row r="18" spans="1:2" x14ac:dyDescent="0.25">
      <c r="A18" s="4" t="s">
        <v>37</v>
      </c>
      <c r="B18">
        <v>34</v>
      </c>
    </row>
    <row r="19" spans="1:2" x14ac:dyDescent="0.25">
      <c r="A19" s="4" t="s">
        <v>39</v>
      </c>
      <c r="B19">
        <v>33</v>
      </c>
    </row>
    <row r="20" spans="1:2" x14ac:dyDescent="0.25">
      <c r="A20" s="4" t="s">
        <v>55</v>
      </c>
      <c r="B20">
        <v>33</v>
      </c>
    </row>
    <row r="21" spans="1:2" x14ac:dyDescent="0.25">
      <c r="A21" s="4" t="s">
        <v>77</v>
      </c>
      <c r="B21">
        <v>32</v>
      </c>
    </row>
    <row r="22" spans="1:2" x14ac:dyDescent="0.25">
      <c r="A22" s="4" t="s">
        <v>66</v>
      </c>
      <c r="B22">
        <v>31</v>
      </c>
    </row>
    <row r="23" spans="1:2" x14ac:dyDescent="0.25">
      <c r="A23" s="4" t="s">
        <v>65</v>
      </c>
      <c r="B23">
        <v>31</v>
      </c>
    </row>
    <row r="24" spans="1:2" x14ac:dyDescent="0.25">
      <c r="A24" s="4" t="s">
        <v>59</v>
      </c>
      <c r="B24">
        <v>30</v>
      </c>
    </row>
    <row r="25" spans="1:2" x14ac:dyDescent="0.25">
      <c r="A25" s="4" t="s">
        <v>19</v>
      </c>
      <c r="B25">
        <v>28</v>
      </c>
    </row>
    <row r="26" spans="1:2" x14ac:dyDescent="0.25">
      <c r="A26" s="4" t="s">
        <v>106</v>
      </c>
      <c r="B26">
        <v>941</v>
      </c>
    </row>
  </sheetData>
  <mergeCells count="1">
    <mergeCell ref="E1:G1"/>
  </mergeCells>
  <conditionalFormatting pivot="1" sqref="B2:B25">
    <cfRule type="top10" dxfId="7" priority="1" rank="3"/>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87A8-4950-4439-8E45-1F25AD3FDFD2}">
  <sheetPr>
    <tabColor theme="5" tint="0.39997558519241921"/>
  </sheetPr>
  <dimension ref="U6"/>
  <sheetViews>
    <sheetView showGridLines="0" tabSelected="1" topLeftCell="A10" zoomScale="90" zoomScaleNormal="90" workbookViewId="0">
      <selection activeCell="U16" sqref="U16"/>
    </sheetView>
  </sheetViews>
  <sheetFormatPr defaultRowHeight="15" x14ac:dyDescent="0.25"/>
  <cols>
    <col min="1" max="16384" width="9.140625" style="12"/>
  </cols>
  <sheetData>
    <row r="6" spans="21:21" x14ac:dyDescent="0.25">
      <c r="U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P942"/>
  <sheetViews>
    <sheetView topLeftCell="A2" zoomScaleNormal="100" workbookViewId="0">
      <selection activeCell="A14" sqref="A14"/>
    </sheetView>
  </sheetViews>
  <sheetFormatPr defaultRowHeight="15" x14ac:dyDescent="0.25"/>
  <cols>
    <col min="1" max="1" width="13.7109375" customWidth="1"/>
    <col min="2" max="2" width="17" bestFit="1" customWidth="1"/>
    <col min="3" max="3" width="22" bestFit="1" customWidth="1"/>
    <col min="4" max="4" width="14" customWidth="1"/>
    <col min="5" max="5" width="19.5703125" bestFit="1" customWidth="1"/>
    <col min="6" max="6" width="17.7109375" customWidth="1"/>
    <col min="7" max="7" width="13.42578125" customWidth="1"/>
    <col min="8" max="8" width="16.5703125" customWidth="1"/>
    <col min="9" max="9" width="14.42578125" customWidth="1"/>
    <col min="10" max="10" width="18.85546875" customWidth="1"/>
    <col min="11" max="11" width="17.28515625" customWidth="1"/>
    <col min="12" max="12" width="22.42578125" customWidth="1"/>
    <col min="13" max="13" width="13.5703125" bestFit="1" customWidth="1"/>
    <col min="14" max="14" width="13.85546875" bestFit="1" customWidth="1"/>
    <col min="15" max="15" width="14.7109375" customWidth="1"/>
    <col min="16" max="16" width="14.42578125" customWidth="1"/>
  </cols>
  <sheetData>
    <row r="1" spans="1:16" x14ac:dyDescent="0.25">
      <c r="A1" s="2" t="s">
        <v>90</v>
      </c>
      <c r="B1" s="2" t="s">
        <v>91</v>
      </c>
      <c r="C1" s="2" t="s">
        <v>92</v>
      </c>
      <c r="D1" s="2" t="s">
        <v>93</v>
      </c>
      <c r="E1" s="2" t="s">
        <v>105</v>
      </c>
      <c r="F1" s="2" t="s">
        <v>94</v>
      </c>
      <c r="G1" s="2" t="s">
        <v>101</v>
      </c>
      <c r="H1" s="2" t="s">
        <v>102</v>
      </c>
      <c r="I1" s="2" t="s">
        <v>103</v>
      </c>
      <c r="J1" s="2" t="s">
        <v>95</v>
      </c>
      <c r="K1" s="2" t="s">
        <v>96</v>
      </c>
      <c r="L1" s="2" t="s">
        <v>97</v>
      </c>
      <c r="M1" s="2" t="s">
        <v>98</v>
      </c>
      <c r="N1" s="2" t="s">
        <v>104</v>
      </c>
      <c r="O1" s="2" t="s">
        <v>99</v>
      </c>
      <c r="P1" s="2" t="s">
        <v>100</v>
      </c>
    </row>
    <row r="2" spans="1:16" x14ac:dyDescent="0.25">
      <c r="A2">
        <v>1967825</v>
      </c>
      <c r="B2" t="s">
        <v>0</v>
      </c>
      <c r="C2" t="s">
        <v>1</v>
      </c>
      <c r="D2">
        <v>1.3</v>
      </c>
      <c r="E2" t="str">
        <f t="shared" ref="E2:E65" si="0">IF(D2&lt;2,"Poor",IF(AND(D2&gt;=2,D2&lt;=3),"Good",IF(AND(D2&gt;3,D2&lt;=4),"Very Good",IF(D2&gt;4,"Excellent"))))</f>
        <v>Poor</v>
      </c>
      <c r="F2" s="1">
        <v>45574.80972222222</v>
      </c>
      <c r="G2" s="1" t="str">
        <f t="shared" ref="G2:G65" si="1">TEXT(F2,"DDDD")</f>
        <v>Wednesday</v>
      </c>
      <c r="H2" s="1" t="str">
        <f t="shared" ref="H2:H65" si="2">TEXT(F2,"MMMM")</f>
        <v>October</v>
      </c>
      <c r="I2" s="1" t="str">
        <f t="shared" ref="I2:I65" si="3">TEXT(F2,"YYYY")</f>
        <v>2024</v>
      </c>
      <c r="J2" t="b">
        <v>1</v>
      </c>
      <c r="K2" t="s">
        <v>2</v>
      </c>
      <c r="L2">
        <v>65</v>
      </c>
      <c r="M2">
        <v>14</v>
      </c>
      <c r="N2" t="str">
        <f>IF(M2&lt;=17,"Teenagers", IF(AND(M2&gt;=18,M2&lt;61),"Adults",IF(M2&gt;60,"Seniors")))</f>
        <v>Teenagers</v>
      </c>
      <c r="O2" t="s">
        <v>3</v>
      </c>
      <c r="P2" t="s">
        <v>4</v>
      </c>
    </row>
    <row r="3" spans="1:16" x14ac:dyDescent="0.25">
      <c r="A3">
        <v>9242600</v>
      </c>
      <c r="B3" t="s">
        <v>5</v>
      </c>
      <c r="C3" t="s">
        <v>6</v>
      </c>
      <c r="D3">
        <v>1.6</v>
      </c>
      <c r="E3" t="str">
        <f t="shared" si="0"/>
        <v>Poor</v>
      </c>
      <c r="F3" s="1">
        <v>45464.728472222225</v>
      </c>
      <c r="G3" s="1" t="str">
        <f t="shared" si="1"/>
        <v>Friday</v>
      </c>
      <c r="H3" s="1" t="str">
        <f t="shared" si="2"/>
        <v>June</v>
      </c>
      <c r="I3" s="1" t="str">
        <f t="shared" si="3"/>
        <v>2024</v>
      </c>
      <c r="J3" t="b">
        <v>1</v>
      </c>
      <c r="K3" t="s">
        <v>7</v>
      </c>
      <c r="L3">
        <v>209</v>
      </c>
      <c r="M3">
        <v>18</v>
      </c>
      <c r="N3" t="str">
        <f t="shared" ref="N3:N34" si="4">IF(M3&lt;=17,"Teenagers", IF(AND(M3&gt;=18,M3&lt;61),"Adults",IF(M3&gt;60,"Seniors")))</f>
        <v>Adults</v>
      </c>
      <c r="O3" t="s">
        <v>8</v>
      </c>
      <c r="P3" t="s">
        <v>9</v>
      </c>
    </row>
    <row r="4" spans="1:16" x14ac:dyDescent="0.25">
      <c r="A4">
        <v>7636477</v>
      </c>
      <c r="B4" t="s">
        <v>10</v>
      </c>
      <c r="C4" t="s">
        <v>11</v>
      </c>
      <c r="D4">
        <v>3.6</v>
      </c>
      <c r="E4" t="str">
        <f t="shared" si="0"/>
        <v>Very Good</v>
      </c>
      <c r="F4" s="1">
        <v>45596.574305555558</v>
      </c>
      <c r="G4" s="1" t="str">
        <f t="shared" si="1"/>
        <v>Thursday</v>
      </c>
      <c r="H4" s="1" t="str">
        <f t="shared" si="2"/>
        <v>October</v>
      </c>
      <c r="I4" s="1" t="str">
        <f t="shared" si="3"/>
        <v>2024</v>
      </c>
      <c r="J4" t="b">
        <v>1</v>
      </c>
      <c r="K4" t="s">
        <v>7</v>
      </c>
      <c r="L4">
        <v>163</v>
      </c>
      <c r="M4">
        <v>67</v>
      </c>
      <c r="N4" t="str">
        <f t="shared" si="4"/>
        <v>Seniors</v>
      </c>
      <c r="O4" t="s">
        <v>12</v>
      </c>
      <c r="P4" t="s">
        <v>9</v>
      </c>
    </row>
    <row r="5" spans="1:16" x14ac:dyDescent="0.25">
      <c r="A5">
        <v>209031</v>
      </c>
      <c r="B5" t="s">
        <v>13</v>
      </c>
      <c r="C5" t="s">
        <v>14</v>
      </c>
      <c r="D5">
        <v>3.8</v>
      </c>
      <c r="E5" t="str">
        <f t="shared" si="0"/>
        <v>Very Good</v>
      </c>
      <c r="F5" s="1">
        <v>45728.261111111111</v>
      </c>
      <c r="G5" s="1" t="str">
        <f t="shared" si="1"/>
        <v>Wednesday</v>
      </c>
      <c r="H5" s="1" t="str">
        <f t="shared" si="2"/>
        <v>March</v>
      </c>
      <c r="I5" s="1" t="str">
        <f t="shared" si="3"/>
        <v>2025</v>
      </c>
      <c r="J5" t="b">
        <v>1</v>
      </c>
      <c r="K5" t="s">
        <v>15</v>
      </c>
      <c r="L5">
        <v>664</v>
      </c>
      <c r="M5">
        <v>66</v>
      </c>
      <c r="N5" t="str">
        <f t="shared" si="4"/>
        <v>Seniors</v>
      </c>
      <c r="O5" t="s">
        <v>16</v>
      </c>
      <c r="P5" t="s">
        <v>4</v>
      </c>
    </row>
    <row r="6" spans="1:16" x14ac:dyDescent="0.25">
      <c r="A6">
        <v>2708513</v>
      </c>
      <c r="B6" t="s">
        <v>10</v>
      </c>
      <c r="C6" t="s">
        <v>20</v>
      </c>
      <c r="D6">
        <v>5</v>
      </c>
      <c r="E6" t="str">
        <f t="shared" si="0"/>
        <v>Excellent</v>
      </c>
      <c r="F6" s="1">
        <v>45306.117361111108</v>
      </c>
      <c r="G6" s="1" t="str">
        <f t="shared" si="1"/>
        <v>Monday</v>
      </c>
      <c r="H6" s="1" t="str">
        <f t="shared" si="2"/>
        <v>January</v>
      </c>
      <c r="I6" s="1" t="str">
        <f t="shared" si="3"/>
        <v>2024</v>
      </c>
      <c r="J6" t="b">
        <v>0</v>
      </c>
      <c r="K6" t="s">
        <v>21</v>
      </c>
      <c r="L6">
        <v>514</v>
      </c>
      <c r="M6">
        <v>75</v>
      </c>
      <c r="N6" t="str">
        <f t="shared" si="4"/>
        <v>Seniors</v>
      </c>
      <c r="O6" t="s">
        <v>22</v>
      </c>
      <c r="P6" t="s">
        <v>9</v>
      </c>
    </row>
    <row r="7" spans="1:16" x14ac:dyDescent="0.25">
      <c r="A7">
        <v>7798256</v>
      </c>
      <c r="B7" t="s">
        <v>32</v>
      </c>
      <c r="C7" t="s">
        <v>6</v>
      </c>
      <c r="D7">
        <v>2.7</v>
      </c>
      <c r="E7" t="str">
        <f t="shared" si="0"/>
        <v>Good</v>
      </c>
      <c r="F7" s="1">
        <v>45249.849305555559</v>
      </c>
      <c r="G7" s="1" t="str">
        <f t="shared" si="1"/>
        <v>Sunday</v>
      </c>
      <c r="H7" s="1" t="str">
        <f t="shared" si="2"/>
        <v>November</v>
      </c>
      <c r="I7" s="1" t="str">
        <f t="shared" si="3"/>
        <v>2023</v>
      </c>
      <c r="J7" t="b">
        <v>1</v>
      </c>
      <c r="K7" t="s">
        <v>2</v>
      </c>
      <c r="L7">
        <v>110</v>
      </c>
      <c r="M7">
        <v>56</v>
      </c>
      <c r="N7" t="str">
        <f t="shared" si="4"/>
        <v>Adults</v>
      </c>
      <c r="O7" t="s">
        <v>24</v>
      </c>
      <c r="P7" t="s">
        <v>9</v>
      </c>
    </row>
    <row r="8" spans="1:16" x14ac:dyDescent="0.25">
      <c r="A8">
        <v>9907725</v>
      </c>
      <c r="B8" t="s">
        <v>33</v>
      </c>
      <c r="C8" t="s">
        <v>38</v>
      </c>
      <c r="D8">
        <v>1.2</v>
      </c>
      <c r="E8" t="str">
        <f t="shared" si="0"/>
        <v>Poor</v>
      </c>
      <c r="F8" s="1">
        <v>45471.652083333334</v>
      </c>
      <c r="G8" s="1" t="str">
        <f t="shared" si="1"/>
        <v>Friday</v>
      </c>
      <c r="H8" s="1" t="str">
        <f t="shared" si="2"/>
        <v>June</v>
      </c>
      <c r="I8" s="1" t="str">
        <f t="shared" si="3"/>
        <v>2024</v>
      </c>
      <c r="J8" t="b">
        <v>1</v>
      </c>
      <c r="K8" t="s">
        <v>21</v>
      </c>
      <c r="L8">
        <v>164</v>
      </c>
      <c r="M8">
        <v>67</v>
      </c>
      <c r="N8" t="str">
        <f t="shared" si="4"/>
        <v>Seniors</v>
      </c>
      <c r="O8" t="s">
        <v>39</v>
      </c>
      <c r="P8" t="s">
        <v>9</v>
      </c>
    </row>
    <row r="9" spans="1:16" x14ac:dyDescent="0.25">
      <c r="A9">
        <v>6800828</v>
      </c>
      <c r="B9" t="s">
        <v>40</v>
      </c>
      <c r="C9" t="s">
        <v>38</v>
      </c>
      <c r="D9">
        <v>3.7</v>
      </c>
      <c r="E9" t="str">
        <f t="shared" si="0"/>
        <v>Very Good</v>
      </c>
      <c r="F9" s="1">
        <v>45420.048611111109</v>
      </c>
      <c r="G9" s="1" t="str">
        <f t="shared" si="1"/>
        <v>Wednesday</v>
      </c>
      <c r="H9" s="1" t="str">
        <f t="shared" si="2"/>
        <v>May</v>
      </c>
      <c r="I9" s="1" t="str">
        <f t="shared" si="3"/>
        <v>2024</v>
      </c>
      <c r="J9" t="b">
        <v>1</v>
      </c>
      <c r="K9" t="s">
        <v>7</v>
      </c>
      <c r="L9">
        <v>488</v>
      </c>
      <c r="M9">
        <v>29</v>
      </c>
      <c r="N9" t="str">
        <f t="shared" si="4"/>
        <v>Adults</v>
      </c>
      <c r="O9" t="s">
        <v>8</v>
      </c>
      <c r="P9" t="s">
        <v>4</v>
      </c>
    </row>
    <row r="10" spans="1:16" x14ac:dyDescent="0.25">
      <c r="A10">
        <v>1625206</v>
      </c>
      <c r="B10" t="s">
        <v>28</v>
      </c>
      <c r="C10" t="s">
        <v>43</v>
      </c>
      <c r="D10">
        <v>2.1</v>
      </c>
      <c r="E10" t="str">
        <f t="shared" si="0"/>
        <v>Good</v>
      </c>
      <c r="F10" s="1">
        <v>45722.102083333331</v>
      </c>
      <c r="G10" s="1" t="str">
        <f t="shared" si="1"/>
        <v>Thursday</v>
      </c>
      <c r="H10" s="1" t="str">
        <f t="shared" si="2"/>
        <v>March</v>
      </c>
      <c r="I10" s="1" t="str">
        <f t="shared" si="3"/>
        <v>2025</v>
      </c>
      <c r="J10" t="b">
        <v>1</v>
      </c>
      <c r="K10" t="s">
        <v>21</v>
      </c>
      <c r="L10">
        <v>431</v>
      </c>
      <c r="M10">
        <v>58</v>
      </c>
      <c r="N10" t="str">
        <f t="shared" si="4"/>
        <v>Adults</v>
      </c>
      <c r="O10" t="s">
        <v>44</v>
      </c>
      <c r="P10" t="s">
        <v>4</v>
      </c>
    </row>
    <row r="11" spans="1:16" x14ac:dyDescent="0.25">
      <c r="A11">
        <v>154447</v>
      </c>
      <c r="B11" t="s">
        <v>40</v>
      </c>
      <c r="C11" t="s">
        <v>29</v>
      </c>
      <c r="D11">
        <v>4.5</v>
      </c>
      <c r="E11" t="str">
        <f t="shared" si="0"/>
        <v>Excellent</v>
      </c>
      <c r="F11" s="1">
        <v>45390.657638888886</v>
      </c>
      <c r="G11" s="1" t="str">
        <f t="shared" si="1"/>
        <v>Monday</v>
      </c>
      <c r="H11" s="1" t="str">
        <f t="shared" si="2"/>
        <v>April</v>
      </c>
      <c r="I11" s="1" t="str">
        <f t="shared" si="3"/>
        <v>2024</v>
      </c>
      <c r="J11" t="b">
        <v>1</v>
      </c>
      <c r="K11" t="s">
        <v>15</v>
      </c>
      <c r="L11">
        <v>546</v>
      </c>
      <c r="M11">
        <v>23</v>
      </c>
      <c r="N11" t="str">
        <f t="shared" si="4"/>
        <v>Adults</v>
      </c>
      <c r="O11" t="s">
        <v>37</v>
      </c>
      <c r="P11" t="s">
        <v>9</v>
      </c>
    </row>
    <row r="12" spans="1:16" x14ac:dyDescent="0.25">
      <c r="A12">
        <v>1421324</v>
      </c>
      <c r="B12" t="s">
        <v>54</v>
      </c>
      <c r="C12" t="s">
        <v>43</v>
      </c>
      <c r="D12">
        <v>3.6</v>
      </c>
      <c r="E12" t="str">
        <f t="shared" si="0"/>
        <v>Very Good</v>
      </c>
      <c r="F12" s="1">
        <v>45205.406944444447</v>
      </c>
      <c r="G12" s="1" t="str">
        <f t="shared" si="1"/>
        <v>Friday</v>
      </c>
      <c r="H12" s="1" t="str">
        <f t="shared" si="2"/>
        <v>October</v>
      </c>
      <c r="I12" s="1" t="str">
        <f t="shared" si="3"/>
        <v>2023</v>
      </c>
      <c r="J12" t="b">
        <v>0</v>
      </c>
      <c r="K12" t="s">
        <v>2</v>
      </c>
      <c r="L12">
        <v>904</v>
      </c>
      <c r="M12">
        <v>41</v>
      </c>
      <c r="N12" t="str">
        <f t="shared" si="4"/>
        <v>Adults</v>
      </c>
      <c r="O12" t="s">
        <v>55</v>
      </c>
      <c r="P12" t="s">
        <v>4</v>
      </c>
    </row>
    <row r="13" spans="1:16" x14ac:dyDescent="0.25">
      <c r="A13">
        <v>7674680</v>
      </c>
      <c r="B13" t="s">
        <v>5</v>
      </c>
      <c r="C13" t="s">
        <v>63</v>
      </c>
      <c r="D13">
        <v>3.6</v>
      </c>
      <c r="E13" t="str">
        <f t="shared" si="0"/>
        <v>Very Good</v>
      </c>
      <c r="F13" s="1">
        <v>45232.864583333336</v>
      </c>
      <c r="G13" s="1" t="str">
        <f t="shared" si="1"/>
        <v>Thursday</v>
      </c>
      <c r="H13" s="1" t="str">
        <f t="shared" si="2"/>
        <v>November</v>
      </c>
      <c r="I13" s="1" t="str">
        <f t="shared" si="3"/>
        <v>2023</v>
      </c>
      <c r="J13" t="b">
        <v>1</v>
      </c>
      <c r="K13" t="s">
        <v>58</v>
      </c>
      <c r="L13">
        <v>63</v>
      </c>
      <c r="M13">
        <v>73</v>
      </c>
      <c r="N13" t="str">
        <f t="shared" si="4"/>
        <v>Seniors</v>
      </c>
      <c r="O13" t="s">
        <v>12</v>
      </c>
      <c r="P13" t="s">
        <v>4</v>
      </c>
    </row>
    <row r="14" spans="1:16" x14ac:dyDescent="0.25">
      <c r="A14">
        <v>4772073</v>
      </c>
      <c r="B14" t="s">
        <v>41</v>
      </c>
      <c r="C14" t="s">
        <v>20</v>
      </c>
      <c r="D14">
        <v>2.9</v>
      </c>
      <c r="E14" t="str">
        <f t="shared" si="0"/>
        <v>Good</v>
      </c>
      <c r="F14" s="1">
        <v>45658.488194444442</v>
      </c>
      <c r="G14" s="1" t="str">
        <f t="shared" si="1"/>
        <v>Wednesday</v>
      </c>
      <c r="H14" s="1" t="str">
        <f t="shared" si="2"/>
        <v>January</v>
      </c>
      <c r="I14" s="1" t="str">
        <f t="shared" si="3"/>
        <v>2025</v>
      </c>
      <c r="J14" t="b">
        <v>1</v>
      </c>
      <c r="K14" t="s">
        <v>21</v>
      </c>
      <c r="L14">
        <v>549</v>
      </c>
      <c r="M14">
        <v>33</v>
      </c>
      <c r="N14" t="str">
        <f t="shared" si="4"/>
        <v>Adults</v>
      </c>
      <c r="O14" t="s">
        <v>12</v>
      </c>
      <c r="P14" t="s">
        <v>9</v>
      </c>
    </row>
    <row r="15" spans="1:16" x14ac:dyDescent="0.25">
      <c r="A15">
        <v>9332926</v>
      </c>
      <c r="B15" t="s">
        <v>32</v>
      </c>
      <c r="C15" t="s">
        <v>1</v>
      </c>
      <c r="D15">
        <v>1.6</v>
      </c>
      <c r="E15" t="str">
        <f t="shared" si="0"/>
        <v>Poor</v>
      </c>
      <c r="F15" s="1">
        <v>45214.925694444442</v>
      </c>
      <c r="G15" s="1" t="str">
        <f t="shared" si="1"/>
        <v>Sunday</v>
      </c>
      <c r="H15" s="1" t="str">
        <f t="shared" si="2"/>
        <v>October</v>
      </c>
      <c r="I15" s="1" t="str">
        <f t="shared" si="3"/>
        <v>2023</v>
      </c>
      <c r="J15" t="b">
        <v>1</v>
      </c>
      <c r="K15" t="s">
        <v>21</v>
      </c>
      <c r="L15">
        <v>622</v>
      </c>
      <c r="M15">
        <v>18</v>
      </c>
      <c r="N15" t="str">
        <f t="shared" si="4"/>
        <v>Adults</v>
      </c>
      <c r="O15" t="s">
        <v>12</v>
      </c>
      <c r="P15" t="s">
        <v>9</v>
      </c>
    </row>
    <row r="16" spans="1:16" x14ac:dyDescent="0.25">
      <c r="A16">
        <v>9424245</v>
      </c>
      <c r="B16" t="s">
        <v>70</v>
      </c>
      <c r="C16" t="s">
        <v>29</v>
      </c>
      <c r="D16">
        <v>1.1000000000000001</v>
      </c>
      <c r="E16" t="str">
        <f t="shared" si="0"/>
        <v>Poor</v>
      </c>
      <c r="F16" s="1">
        <v>45652.96875</v>
      </c>
      <c r="G16" s="1" t="str">
        <f t="shared" si="1"/>
        <v>Thursday</v>
      </c>
      <c r="H16" s="1" t="str">
        <f t="shared" si="2"/>
        <v>December</v>
      </c>
      <c r="I16" s="1" t="str">
        <f t="shared" si="3"/>
        <v>2024</v>
      </c>
      <c r="J16" t="b">
        <v>0</v>
      </c>
      <c r="K16" t="s">
        <v>58</v>
      </c>
      <c r="L16">
        <v>644</v>
      </c>
      <c r="M16">
        <v>29</v>
      </c>
      <c r="N16" t="str">
        <f t="shared" si="4"/>
        <v>Adults</v>
      </c>
      <c r="O16" t="s">
        <v>44</v>
      </c>
      <c r="P16" t="s">
        <v>9</v>
      </c>
    </row>
    <row r="17" spans="1:16" x14ac:dyDescent="0.25">
      <c r="A17">
        <v>8264991</v>
      </c>
      <c r="B17" t="s">
        <v>33</v>
      </c>
      <c r="C17" t="s">
        <v>34</v>
      </c>
      <c r="D17">
        <v>2.8</v>
      </c>
      <c r="E17" t="str">
        <f t="shared" si="0"/>
        <v>Good</v>
      </c>
      <c r="F17" s="1">
        <v>45259.112500000003</v>
      </c>
      <c r="G17" s="1" t="str">
        <f t="shared" si="1"/>
        <v>Wednesday</v>
      </c>
      <c r="H17" s="1" t="str">
        <f t="shared" si="2"/>
        <v>November</v>
      </c>
      <c r="I17" s="1" t="str">
        <f t="shared" si="3"/>
        <v>2023</v>
      </c>
      <c r="J17" t="b">
        <v>1</v>
      </c>
      <c r="K17" t="s">
        <v>58</v>
      </c>
      <c r="L17">
        <v>416</v>
      </c>
      <c r="M17">
        <v>30</v>
      </c>
      <c r="N17" t="str">
        <f t="shared" si="4"/>
        <v>Adults</v>
      </c>
      <c r="O17" t="s">
        <v>22</v>
      </c>
      <c r="P17" t="s">
        <v>4</v>
      </c>
    </row>
    <row r="18" spans="1:16" x14ac:dyDescent="0.25">
      <c r="A18">
        <v>5077931</v>
      </c>
      <c r="B18" t="s">
        <v>71</v>
      </c>
      <c r="C18" t="s">
        <v>6</v>
      </c>
      <c r="D18">
        <v>5</v>
      </c>
      <c r="E18" t="str">
        <f t="shared" si="0"/>
        <v>Excellent</v>
      </c>
      <c r="F18" s="1">
        <v>45307.97152777778</v>
      </c>
      <c r="G18" s="1" t="str">
        <f t="shared" si="1"/>
        <v>Tuesday</v>
      </c>
      <c r="H18" s="1" t="str">
        <f t="shared" si="2"/>
        <v>January</v>
      </c>
      <c r="I18" s="1" t="str">
        <f t="shared" si="3"/>
        <v>2024</v>
      </c>
      <c r="J18" t="b">
        <v>1</v>
      </c>
      <c r="K18" t="s">
        <v>58</v>
      </c>
      <c r="L18">
        <v>945</v>
      </c>
      <c r="M18">
        <v>73</v>
      </c>
      <c r="N18" t="str">
        <f t="shared" si="4"/>
        <v>Seniors</v>
      </c>
      <c r="O18" t="s">
        <v>48</v>
      </c>
      <c r="P18" t="s">
        <v>4</v>
      </c>
    </row>
    <row r="19" spans="1:16" x14ac:dyDescent="0.25">
      <c r="A19">
        <v>3526900</v>
      </c>
      <c r="B19" t="s">
        <v>35</v>
      </c>
      <c r="C19" t="s">
        <v>20</v>
      </c>
      <c r="D19">
        <v>2.8</v>
      </c>
      <c r="E19" t="str">
        <f t="shared" si="0"/>
        <v>Good</v>
      </c>
      <c r="F19" s="1">
        <v>45659.069444444445</v>
      </c>
      <c r="G19" s="1" t="str">
        <f t="shared" si="1"/>
        <v>Thursday</v>
      </c>
      <c r="H19" s="1" t="str">
        <f t="shared" si="2"/>
        <v>January</v>
      </c>
      <c r="I19" s="1" t="str">
        <f t="shared" si="3"/>
        <v>2025</v>
      </c>
      <c r="J19" t="b">
        <v>0</v>
      </c>
      <c r="K19" t="s">
        <v>7</v>
      </c>
      <c r="L19">
        <v>386</v>
      </c>
      <c r="M19">
        <v>75</v>
      </c>
      <c r="N19" t="str">
        <f t="shared" si="4"/>
        <v>Seniors</v>
      </c>
      <c r="O19" t="s">
        <v>37</v>
      </c>
      <c r="P19" t="s">
        <v>4</v>
      </c>
    </row>
    <row r="20" spans="1:16" x14ac:dyDescent="0.25">
      <c r="A20">
        <v>5371130</v>
      </c>
      <c r="B20" t="s">
        <v>60</v>
      </c>
      <c r="C20" t="s">
        <v>11</v>
      </c>
      <c r="D20">
        <v>4.5</v>
      </c>
      <c r="E20" t="str">
        <f t="shared" si="0"/>
        <v>Excellent</v>
      </c>
      <c r="F20" s="1">
        <v>45324.270833333336</v>
      </c>
      <c r="G20" s="1" t="str">
        <f t="shared" si="1"/>
        <v>Friday</v>
      </c>
      <c r="H20" s="1" t="str">
        <f t="shared" si="2"/>
        <v>February</v>
      </c>
      <c r="I20" s="1" t="str">
        <f t="shared" si="3"/>
        <v>2024</v>
      </c>
      <c r="J20" t="b">
        <v>1</v>
      </c>
      <c r="K20" t="s">
        <v>2</v>
      </c>
      <c r="L20">
        <v>204</v>
      </c>
      <c r="M20">
        <v>46</v>
      </c>
      <c r="N20" t="str">
        <f t="shared" si="4"/>
        <v>Adults</v>
      </c>
      <c r="O20" t="s">
        <v>42</v>
      </c>
      <c r="P20" t="s">
        <v>9</v>
      </c>
    </row>
    <row r="21" spans="1:16" x14ac:dyDescent="0.25">
      <c r="A21">
        <v>6740184</v>
      </c>
      <c r="B21" t="s">
        <v>51</v>
      </c>
      <c r="C21" t="s">
        <v>18</v>
      </c>
      <c r="D21">
        <v>4.8</v>
      </c>
      <c r="E21" t="str">
        <f t="shared" si="0"/>
        <v>Excellent</v>
      </c>
      <c r="F21" s="1">
        <v>45786.466666666667</v>
      </c>
      <c r="G21" s="1" t="str">
        <f t="shared" si="1"/>
        <v>Friday</v>
      </c>
      <c r="H21" s="1" t="str">
        <f t="shared" si="2"/>
        <v>May</v>
      </c>
      <c r="I21" s="1" t="str">
        <f t="shared" si="3"/>
        <v>2025</v>
      </c>
      <c r="J21" t="b">
        <v>1</v>
      </c>
      <c r="K21" t="s">
        <v>2</v>
      </c>
      <c r="L21">
        <v>1108</v>
      </c>
      <c r="M21">
        <v>15</v>
      </c>
      <c r="N21" t="str">
        <f t="shared" si="4"/>
        <v>Teenagers</v>
      </c>
      <c r="O21" t="s">
        <v>72</v>
      </c>
      <c r="P21" t="s">
        <v>9</v>
      </c>
    </row>
    <row r="22" spans="1:16" x14ac:dyDescent="0.25">
      <c r="A22">
        <v>8974152</v>
      </c>
      <c r="B22" t="s">
        <v>73</v>
      </c>
      <c r="C22" t="s">
        <v>6</v>
      </c>
      <c r="D22">
        <v>3.7</v>
      </c>
      <c r="E22" t="str">
        <f t="shared" si="0"/>
        <v>Very Good</v>
      </c>
      <c r="F22" s="1">
        <v>45144.95416666667</v>
      </c>
      <c r="G22" s="1" t="str">
        <f t="shared" si="1"/>
        <v>Sunday</v>
      </c>
      <c r="H22" s="1" t="str">
        <f t="shared" si="2"/>
        <v>August</v>
      </c>
      <c r="I22" s="1" t="str">
        <f t="shared" si="3"/>
        <v>2023</v>
      </c>
      <c r="J22" t="b">
        <v>0</v>
      </c>
      <c r="K22" t="s">
        <v>2</v>
      </c>
      <c r="L22">
        <v>589</v>
      </c>
      <c r="M22">
        <v>56</v>
      </c>
      <c r="N22" t="str">
        <f t="shared" si="4"/>
        <v>Adults</v>
      </c>
      <c r="O22" t="s">
        <v>22</v>
      </c>
      <c r="P22" t="s">
        <v>4</v>
      </c>
    </row>
    <row r="23" spans="1:16" x14ac:dyDescent="0.25">
      <c r="A23">
        <v>1837893</v>
      </c>
      <c r="B23" t="s">
        <v>71</v>
      </c>
      <c r="C23" t="s">
        <v>36</v>
      </c>
      <c r="D23">
        <v>3.5</v>
      </c>
      <c r="E23" t="str">
        <f t="shared" si="0"/>
        <v>Very Good</v>
      </c>
      <c r="F23" s="1">
        <v>45240.488888888889</v>
      </c>
      <c r="G23" s="1" t="str">
        <f t="shared" si="1"/>
        <v>Friday</v>
      </c>
      <c r="H23" s="1" t="str">
        <f t="shared" si="2"/>
        <v>November</v>
      </c>
      <c r="I23" s="1" t="str">
        <f t="shared" si="3"/>
        <v>2023</v>
      </c>
      <c r="J23" t="b">
        <v>0</v>
      </c>
      <c r="K23" t="s">
        <v>15</v>
      </c>
      <c r="L23">
        <v>198</v>
      </c>
      <c r="M23">
        <v>70</v>
      </c>
      <c r="N23" t="str">
        <f t="shared" si="4"/>
        <v>Seniors</v>
      </c>
      <c r="O23" t="s">
        <v>24</v>
      </c>
      <c r="P23" t="s">
        <v>9</v>
      </c>
    </row>
    <row r="24" spans="1:16" x14ac:dyDescent="0.25">
      <c r="A24">
        <v>4286414</v>
      </c>
      <c r="B24" t="s">
        <v>73</v>
      </c>
      <c r="C24" t="s">
        <v>6</v>
      </c>
      <c r="D24">
        <v>1.2</v>
      </c>
      <c r="E24" t="str">
        <f t="shared" si="0"/>
        <v>Poor</v>
      </c>
      <c r="F24" s="1">
        <v>45656.900694444441</v>
      </c>
      <c r="G24" s="1" t="str">
        <f t="shared" si="1"/>
        <v>Monday</v>
      </c>
      <c r="H24" s="1" t="str">
        <f t="shared" si="2"/>
        <v>December</v>
      </c>
      <c r="I24" s="1" t="str">
        <f t="shared" si="3"/>
        <v>2024</v>
      </c>
      <c r="J24" t="b">
        <v>1</v>
      </c>
      <c r="K24" t="s">
        <v>58</v>
      </c>
      <c r="L24">
        <v>623</v>
      </c>
      <c r="M24">
        <v>44</v>
      </c>
      <c r="N24" t="str">
        <f t="shared" si="4"/>
        <v>Adults</v>
      </c>
      <c r="O24" t="s">
        <v>48</v>
      </c>
      <c r="P24" t="s">
        <v>9</v>
      </c>
    </row>
    <row r="25" spans="1:16" x14ac:dyDescent="0.25">
      <c r="A25">
        <v>6917881</v>
      </c>
      <c r="B25" t="s">
        <v>76</v>
      </c>
      <c r="C25" t="s">
        <v>63</v>
      </c>
      <c r="D25">
        <v>1.2</v>
      </c>
      <c r="E25" t="str">
        <f t="shared" si="0"/>
        <v>Poor</v>
      </c>
      <c r="F25" s="1">
        <v>45620.959722222222</v>
      </c>
      <c r="G25" s="1" t="str">
        <f t="shared" si="1"/>
        <v>Sunday</v>
      </c>
      <c r="H25" s="1" t="str">
        <f t="shared" si="2"/>
        <v>November</v>
      </c>
      <c r="I25" s="1" t="str">
        <f t="shared" si="3"/>
        <v>2024</v>
      </c>
      <c r="J25" t="b">
        <v>0</v>
      </c>
      <c r="K25" t="s">
        <v>7</v>
      </c>
      <c r="L25">
        <v>498</v>
      </c>
      <c r="M25">
        <v>21</v>
      </c>
      <c r="N25" t="str">
        <f t="shared" si="4"/>
        <v>Adults</v>
      </c>
      <c r="O25" t="s">
        <v>19</v>
      </c>
      <c r="P25" t="s">
        <v>4</v>
      </c>
    </row>
    <row r="26" spans="1:16" x14ac:dyDescent="0.25">
      <c r="A26">
        <v>2692974</v>
      </c>
      <c r="B26" t="s">
        <v>23</v>
      </c>
      <c r="C26" t="s">
        <v>20</v>
      </c>
      <c r="D26">
        <v>1.4</v>
      </c>
      <c r="E26" t="str">
        <f t="shared" si="0"/>
        <v>Poor</v>
      </c>
      <c r="F26" s="1">
        <v>45683.57708333333</v>
      </c>
      <c r="G26" s="1" t="str">
        <f t="shared" si="1"/>
        <v>Sunday</v>
      </c>
      <c r="H26" s="1" t="str">
        <f t="shared" si="2"/>
        <v>January</v>
      </c>
      <c r="I26" s="1" t="str">
        <f t="shared" si="3"/>
        <v>2025</v>
      </c>
      <c r="J26" t="b">
        <v>1</v>
      </c>
      <c r="K26" t="s">
        <v>58</v>
      </c>
      <c r="L26">
        <v>269</v>
      </c>
      <c r="M26">
        <v>13</v>
      </c>
      <c r="N26" t="str">
        <f t="shared" si="4"/>
        <v>Teenagers</v>
      </c>
      <c r="O26" t="s">
        <v>77</v>
      </c>
      <c r="P26" t="s">
        <v>4</v>
      </c>
    </row>
    <row r="27" spans="1:16" x14ac:dyDescent="0.25">
      <c r="A27">
        <v>128374</v>
      </c>
      <c r="B27" t="s">
        <v>13</v>
      </c>
      <c r="C27" t="s">
        <v>26</v>
      </c>
      <c r="D27">
        <v>3.3</v>
      </c>
      <c r="E27" t="str">
        <f t="shared" si="0"/>
        <v>Very Good</v>
      </c>
      <c r="F27" s="1">
        <v>45542.711805555555</v>
      </c>
      <c r="G27" s="1" t="str">
        <f t="shared" si="1"/>
        <v>Saturday</v>
      </c>
      <c r="H27" s="1" t="str">
        <f t="shared" si="2"/>
        <v>September</v>
      </c>
      <c r="I27" s="1" t="str">
        <f t="shared" si="3"/>
        <v>2024</v>
      </c>
      <c r="J27" t="b">
        <v>1</v>
      </c>
      <c r="K27" t="s">
        <v>2</v>
      </c>
      <c r="L27">
        <v>142</v>
      </c>
      <c r="M27">
        <v>22</v>
      </c>
      <c r="N27" t="str">
        <f t="shared" si="4"/>
        <v>Adults</v>
      </c>
      <c r="O27" t="s">
        <v>27</v>
      </c>
      <c r="P27" t="s">
        <v>9</v>
      </c>
    </row>
    <row r="28" spans="1:16" x14ac:dyDescent="0.25">
      <c r="A28">
        <v>1273965</v>
      </c>
      <c r="B28" t="s">
        <v>10</v>
      </c>
      <c r="C28" t="s">
        <v>43</v>
      </c>
      <c r="D28">
        <v>1.2</v>
      </c>
      <c r="E28" t="str">
        <f t="shared" si="0"/>
        <v>Poor</v>
      </c>
      <c r="F28" s="1">
        <v>45654.806250000001</v>
      </c>
      <c r="G28" s="1" t="str">
        <f t="shared" si="1"/>
        <v>Saturday</v>
      </c>
      <c r="H28" s="1" t="str">
        <f t="shared" si="2"/>
        <v>December</v>
      </c>
      <c r="I28" s="1" t="str">
        <f t="shared" si="3"/>
        <v>2024</v>
      </c>
      <c r="J28" t="b">
        <v>1</v>
      </c>
      <c r="K28" t="s">
        <v>15</v>
      </c>
      <c r="L28">
        <v>617</v>
      </c>
      <c r="M28">
        <v>73</v>
      </c>
      <c r="N28" t="str">
        <f t="shared" si="4"/>
        <v>Seniors</v>
      </c>
      <c r="O28" t="s">
        <v>68</v>
      </c>
      <c r="P28" t="s">
        <v>4</v>
      </c>
    </row>
    <row r="29" spans="1:16" x14ac:dyDescent="0.25">
      <c r="A29">
        <v>5138571</v>
      </c>
      <c r="B29" t="s">
        <v>80</v>
      </c>
      <c r="C29" t="s">
        <v>34</v>
      </c>
      <c r="D29">
        <v>3.1</v>
      </c>
      <c r="E29" t="str">
        <f t="shared" si="0"/>
        <v>Very Good</v>
      </c>
      <c r="F29" s="1">
        <v>45532.771527777775</v>
      </c>
      <c r="G29" s="1" t="str">
        <f t="shared" si="1"/>
        <v>Wednesday</v>
      </c>
      <c r="H29" s="1" t="str">
        <f t="shared" si="2"/>
        <v>August</v>
      </c>
      <c r="I29" s="1" t="str">
        <f t="shared" si="3"/>
        <v>2024</v>
      </c>
      <c r="J29" t="b">
        <v>1</v>
      </c>
      <c r="K29" t="s">
        <v>2</v>
      </c>
      <c r="L29">
        <v>635</v>
      </c>
      <c r="M29">
        <v>60</v>
      </c>
      <c r="N29" t="str">
        <f t="shared" si="4"/>
        <v>Adults</v>
      </c>
      <c r="O29" t="s">
        <v>44</v>
      </c>
      <c r="P29" t="s">
        <v>4</v>
      </c>
    </row>
    <row r="30" spans="1:16" x14ac:dyDescent="0.25">
      <c r="A30">
        <v>3318542</v>
      </c>
      <c r="B30" t="s">
        <v>62</v>
      </c>
      <c r="C30" t="s">
        <v>57</v>
      </c>
      <c r="D30">
        <v>1.8</v>
      </c>
      <c r="E30" t="str">
        <f t="shared" si="0"/>
        <v>Poor</v>
      </c>
      <c r="F30" s="1">
        <v>45465.447916666664</v>
      </c>
      <c r="G30" s="1" t="str">
        <f t="shared" si="1"/>
        <v>Saturday</v>
      </c>
      <c r="H30" s="1" t="str">
        <f t="shared" si="2"/>
        <v>June</v>
      </c>
      <c r="I30" s="1" t="str">
        <f t="shared" si="3"/>
        <v>2024</v>
      </c>
      <c r="J30" t="b">
        <v>0</v>
      </c>
      <c r="K30" t="s">
        <v>21</v>
      </c>
      <c r="L30">
        <v>974</v>
      </c>
      <c r="M30">
        <v>45</v>
      </c>
      <c r="N30" t="str">
        <f t="shared" si="4"/>
        <v>Adults</v>
      </c>
      <c r="O30" t="s">
        <v>81</v>
      </c>
      <c r="P30" t="s">
        <v>9</v>
      </c>
    </row>
    <row r="31" spans="1:16" x14ac:dyDescent="0.25">
      <c r="A31">
        <v>3019694</v>
      </c>
      <c r="B31" t="s">
        <v>60</v>
      </c>
      <c r="C31" t="s">
        <v>43</v>
      </c>
      <c r="D31">
        <v>2.2000000000000002</v>
      </c>
      <c r="E31" t="str">
        <f t="shared" si="0"/>
        <v>Good</v>
      </c>
      <c r="F31" s="1">
        <v>45616.962500000001</v>
      </c>
      <c r="G31" s="1" t="str">
        <f t="shared" si="1"/>
        <v>Wednesday</v>
      </c>
      <c r="H31" s="1" t="str">
        <f t="shared" si="2"/>
        <v>November</v>
      </c>
      <c r="I31" s="1" t="str">
        <f t="shared" si="3"/>
        <v>2024</v>
      </c>
      <c r="J31" t="b">
        <v>1</v>
      </c>
      <c r="K31" t="s">
        <v>2</v>
      </c>
      <c r="L31">
        <v>264</v>
      </c>
      <c r="M31">
        <v>51</v>
      </c>
      <c r="N31" t="str">
        <f t="shared" si="4"/>
        <v>Adults</v>
      </c>
      <c r="O31" t="s">
        <v>37</v>
      </c>
      <c r="P31" t="s">
        <v>9</v>
      </c>
    </row>
    <row r="32" spans="1:16" x14ac:dyDescent="0.25">
      <c r="A32">
        <v>5149101</v>
      </c>
      <c r="B32" t="s">
        <v>25</v>
      </c>
      <c r="C32" t="s">
        <v>14</v>
      </c>
      <c r="D32">
        <v>2.4</v>
      </c>
      <c r="E32" t="str">
        <f t="shared" si="0"/>
        <v>Good</v>
      </c>
      <c r="F32" s="1">
        <v>45454.286111111112</v>
      </c>
      <c r="G32" s="1" t="str">
        <f t="shared" si="1"/>
        <v>Tuesday</v>
      </c>
      <c r="H32" s="1" t="str">
        <f t="shared" si="2"/>
        <v>June</v>
      </c>
      <c r="I32" s="1" t="str">
        <f t="shared" si="3"/>
        <v>2024</v>
      </c>
      <c r="J32" t="b">
        <v>1</v>
      </c>
      <c r="K32" t="s">
        <v>2</v>
      </c>
      <c r="L32">
        <v>393</v>
      </c>
      <c r="M32">
        <v>27</v>
      </c>
      <c r="N32" t="str">
        <f t="shared" si="4"/>
        <v>Adults</v>
      </c>
      <c r="O32" t="s">
        <v>81</v>
      </c>
      <c r="P32" t="s">
        <v>4</v>
      </c>
    </row>
    <row r="33" spans="1:16" x14ac:dyDescent="0.25">
      <c r="A33">
        <v>106810</v>
      </c>
      <c r="B33" t="s">
        <v>25</v>
      </c>
      <c r="C33" t="s">
        <v>38</v>
      </c>
      <c r="D33">
        <v>4.3</v>
      </c>
      <c r="E33" t="str">
        <f t="shared" si="0"/>
        <v>Excellent</v>
      </c>
      <c r="F33" s="1">
        <v>45374.904861111114</v>
      </c>
      <c r="G33" s="1" t="str">
        <f t="shared" si="1"/>
        <v>Saturday</v>
      </c>
      <c r="H33" s="1" t="str">
        <f t="shared" si="2"/>
        <v>March</v>
      </c>
      <c r="I33" s="1" t="str">
        <f t="shared" si="3"/>
        <v>2024</v>
      </c>
      <c r="J33" t="b">
        <v>1</v>
      </c>
      <c r="K33" t="s">
        <v>21</v>
      </c>
      <c r="L33">
        <v>339</v>
      </c>
      <c r="M33">
        <v>59</v>
      </c>
      <c r="N33" t="str">
        <f t="shared" si="4"/>
        <v>Adults</v>
      </c>
      <c r="O33" t="s">
        <v>42</v>
      </c>
      <c r="P33" t="s">
        <v>9</v>
      </c>
    </row>
    <row r="34" spans="1:16" x14ac:dyDescent="0.25">
      <c r="A34">
        <v>5506444</v>
      </c>
      <c r="B34" t="s">
        <v>32</v>
      </c>
      <c r="C34" t="s">
        <v>47</v>
      </c>
      <c r="D34">
        <v>2.8</v>
      </c>
      <c r="E34" t="str">
        <f t="shared" si="0"/>
        <v>Good</v>
      </c>
      <c r="F34" s="1">
        <v>45500.045138888891</v>
      </c>
      <c r="G34" s="1" t="str">
        <f t="shared" si="1"/>
        <v>Saturday</v>
      </c>
      <c r="H34" s="1" t="str">
        <f t="shared" si="2"/>
        <v>July</v>
      </c>
      <c r="I34" s="1" t="str">
        <f t="shared" si="3"/>
        <v>2024</v>
      </c>
      <c r="J34" t="b">
        <v>1</v>
      </c>
      <c r="K34" t="s">
        <v>21</v>
      </c>
      <c r="L34">
        <v>301</v>
      </c>
      <c r="M34">
        <v>66</v>
      </c>
      <c r="N34" t="str">
        <f t="shared" si="4"/>
        <v>Seniors</v>
      </c>
      <c r="O34" t="s">
        <v>53</v>
      </c>
      <c r="P34" t="s">
        <v>9</v>
      </c>
    </row>
    <row r="35" spans="1:16" x14ac:dyDescent="0.25">
      <c r="A35">
        <v>8676076</v>
      </c>
      <c r="B35" t="s">
        <v>73</v>
      </c>
      <c r="C35" t="s">
        <v>26</v>
      </c>
      <c r="D35">
        <v>3.1</v>
      </c>
      <c r="E35" t="str">
        <f t="shared" si="0"/>
        <v>Very Good</v>
      </c>
      <c r="F35" s="1">
        <v>45492.61041666667</v>
      </c>
      <c r="G35" s="1" t="str">
        <f t="shared" si="1"/>
        <v>Friday</v>
      </c>
      <c r="H35" s="1" t="str">
        <f t="shared" si="2"/>
        <v>July</v>
      </c>
      <c r="I35" s="1" t="str">
        <f t="shared" si="3"/>
        <v>2024</v>
      </c>
      <c r="J35" t="b">
        <v>1</v>
      </c>
      <c r="K35" t="s">
        <v>58</v>
      </c>
      <c r="L35">
        <v>590</v>
      </c>
      <c r="M35">
        <v>28</v>
      </c>
      <c r="N35" t="str">
        <f t="shared" ref="N35:N69" si="5">IF(M35&lt;=17,"Teenagers", IF(AND(M35&gt;=18,M35&lt;61),"Adults",IF(M35&gt;60,"Seniors")))</f>
        <v>Adults</v>
      </c>
      <c r="O35" t="s">
        <v>65</v>
      </c>
      <c r="P35" t="s">
        <v>9</v>
      </c>
    </row>
    <row r="36" spans="1:16" x14ac:dyDescent="0.25">
      <c r="A36">
        <v>9758155</v>
      </c>
      <c r="B36" t="s">
        <v>35</v>
      </c>
      <c r="C36" t="s">
        <v>31</v>
      </c>
      <c r="D36">
        <v>2.4</v>
      </c>
      <c r="E36" t="str">
        <f t="shared" si="0"/>
        <v>Good</v>
      </c>
      <c r="F36" s="1">
        <v>45289.9</v>
      </c>
      <c r="G36" s="1" t="str">
        <f t="shared" si="1"/>
        <v>Friday</v>
      </c>
      <c r="H36" s="1" t="str">
        <f t="shared" si="2"/>
        <v>December</v>
      </c>
      <c r="I36" s="1" t="str">
        <f t="shared" si="3"/>
        <v>2023</v>
      </c>
      <c r="J36" t="b">
        <v>0</v>
      </c>
      <c r="K36" t="s">
        <v>21</v>
      </c>
      <c r="L36">
        <v>853</v>
      </c>
      <c r="M36">
        <v>24</v>
      </c>
      <c r="N36" t="str">
        <f t="shared" si="5"/>
        <v>Adults</v>
      </c>
      <c r="O36" t="s">
        <v>55</v>
      </c>
      <c r="P36" t="s">
        <v>9</v>
      </c>
    </row>
    <row r="37" spans="1:16" x14ac:dyDescent="0.25">
      <c r="A37">
        <v>6542089</v>
      </c>
      <c r="B37" t="s">
        <v>82</v>
      </c>
      <c r="C37" t="s">
        <v>31</v>
      </c>
      <c r="D37">
        <v>2.4</v>
      </c>
      <c r="E37" t="str">
        <f t="shared" si="0"/>
        <v>Good</v>
      </c>
      <c r="F37" s="1">
        <v>45601.379166666666</v>
      </c>
      <c r="G37" s="1" t="str">
        <f t="shared" si="1"/>
        <v>Tuesday</v>
      </c>
      <c r="H37" s="1" t="str">
        <f t="shared" si="2"/>
        <v>November</v>
      </c>
      <c r="I37" s="1" t="str">
        <f t="shared" si="3"/>
        <v>2024</v>
      </c>
      <c r="J37" t="b">
        <v>1</v>
      </c>
      <c r="K37" t="s">
        <v>58</v>
      </c>
      <c r="L37">
        <v>706</v>
      </c>
      <c r="M37">
        <v>28</v>
      </c>
      <c r="N37" t="str">
        <f t="shared" si="5"/>
        <v>Adults</v>
      </c>
      <c r="O37" t="s">
        <v>27</v>
      </c>
      <c r="P37" t="s">
        <v>9</v>
      </c>
    </row>
    <row r="38" spans="1:16" x14ac:dyDescent="0.25">
      <c r="A38">
        <v>8063715</v>
      </c>
      <c r="B38" t="s">
        <v>73</v>
      </c>
      <c r="C38" t="s">
        <v>75</v>
      </c>
      <c r="D38">
        <v>1.6</v>
      </c>
      <c r="E38" t="str">
        <f t="shared" si="0"/>
        <v>Poor</v>
      </c>
      <c r="F38" s="1">
        <v>45488.457638888889</v>
      </c>
      <c r="G38" s="1" t="str">
        <f t="shared" si="1"/>
        <v>Monday</v>
      </c>
      <c r="H38" s="1" t="str">
        <f t="shared" si="2"/>
        <v>July</v>
      </c>
      <c r="I38" s="1" t="str">
        <f t="shared" si="3"/>
        <v>2024</v>
      </c>
      <c r="J38" t="b">
        <v>1</v>
      </c>
      <c r="K38" t="s">
        <v>21</v>
      </c>
      <c r="L38">
        <v>897</v>
      </c>
      <c r="M38">
        <v>15</v>
      </c>
      <c r="N38" t="str">
        <f t="shared" si="5"/>
        <v>Teenagers</v>
      </c>
      <c r="O38" t="s">
        <v>81</v>
      </c>
      <c r="P38" t="s">
        <v>9</v>
      </c>
    </row>
    <row r="39" spans="1:16" x14ac:dyDescent="0.25">
      <c r="A39">
        <v>4247994</v>
      </c>
      <c r="B39" t="s">
        <v>83</v>
      </c>
      <c r="C39" t="s">
        <v>34</v>
      </c>
      <c r="D39">
        <v>2.2999999999999998</v>
      </c>
      <c r="E39" t="str">
        <f t="shared" si="0"/>
        <v>Good</v>
      </c>
      <c r="F39" s="1">
        <v>45791.21875</v>
      </c>
      <c r="G39" s="1" t="str">
        <f t="shared" si="1"/>
        <v>Wednesday</v>
      </c>
      <c r="H39" s="1" t="str">
        <f t="shared" si="2"/>
        <v>May</v>
      </c>
      <c r="I39" s="1" t="str">
        <f t="shared" si="3"/>
        <v>2025</v>
      </c>
      <c r="J39" t="b">
        <v>0</v>
      </c>
      <c r="K39" t="s">
        <v>7</v>
      </c>
      <c r="L39">
        <v>511</v>
      </c>
      <c r="M39">
        <v>74</v>
      </c>
      <c r="N39" t="str">
        <f t="shared" si="5"/>
        <v>Seniors</v>
      </c>
      <c r="O39" t="s">
        <v>48</v>
      </c>
      <c r="P39" t="s">
        <v>9</v>
      </c>
    </row>
    <row r="40" spans="1:16" x14ac:dyDescent="0.25">
      <c r="A40">
        <v>1177581</v>
      </c>
      <c r="B40" t="s">
        <v>62</v>
      </c>
      <c r="C40" t="s">
        <v>57</v>
      </c>
      <c r="D40">
        <v>4.5999999999999996</v>
      </c>
      <c r="E40" t="str">
        <f t="shared" si="0"/>
        <v>Excellent</v>
      </c>
      <c r="F40" s="1">
        <v>45461.115277777775</v>
      </c>
      <c r="G40" s="1" t="str">
        <f t="shared" si="1"/>
        <v>Tuesday</v>
      </c>
      <c r="H40" s="1" t="str">
        <f t="shared" si="2"/>
        <v>June</v>
      </c>
      <c r="I40" s="1" t="str">
        <f t="shared" si="3"/>
        <v>2024</v>
      </c>
      <c r="J40" t="b">
        <v>1</v>
      </c>
      <c r="K40" t="s">
        <v>7</v>
      </c>
      <c r="L40">
        <v>1154</v>
      </c>
      <c r="M40">
        <v>15</v>
      </c>
      <c r="N40" t="str">
        <f t="shared" si="5"/>
        <v>Teenagers</v>
      </c>
      <c r="O40" t="s">
        <v>66</v>
      </c>
      <c r="P40" t="s">
        <v>9</v>
      </c>
    </row>
    <row r="41" spans="1:16" x14ac:dyDescent="0.25">
      <c r="A41">
        <v>7148838</v>
      </c>
      <c r="B41" t="s">
        <v>84</v>
      </c>
      <c r="C41" t="s">
        <v>18</v>
      </c>
      <c r="D41">
        <v>1.1000000000000001</v>
      </c>
      <c r="E41" t="str">
        <f t="shared" si="0"/>
        <v>Poor</v>
      </c>
      <c r="F41" s="1">
        <v>45441.393750000003</v>
      </c>
      <c r="G41" s="1" t="str">
        <f t="shared" si="1"/>
        <v>Wednesday</v>
      </c>
      <c r="H41" s="1" t="str">
        <f t="shared" si="2"/>
        <v>May</v>
      </c>
      <c r="I41" s="1" t="str">
        <f t="shared" si="3"/>
        <v>2024</v>
      </c>
      <c r="J41" t="b">
        <v>0</v>
      </c>
      <c r="K41" t="s">
        <v>2</v>
      </c>
      <c r="L41">
        <v>1035</v>
      </c>
      <c r="M41">
        <v>42</v>
      </c>
      <c r="N41" t="str">
        <f t="shared" si="5"/>
        <v>Adults</v>
      </c>
      <c r="O41" t="s">
        <v>12</v>
      </c>
      <c r="P41" t="s">
        <v>4</v>
      </c>
    </row>
    <row r="42" spans="1:16" x14ac:dyDescent="0.25">
      <c r="A42">
        <v>9899226</v>
      </c>
      <c r="B42" t="s">
        <v>32</v>
      </c>
      <c r="C42" t="s">
        <v>43</v>
      </c>
      <c r="D42">
        <v>2.5</v>
      </c>
      <c r="E42" t="str">
        <f t="shared" si="0"/>
        <v>Good</v>
      </c>
      <c r="F42" s="1">
        <v>45831.436111111114</v>
      </c>
      <c r="G42" s="1" t="str">
        <f t="shared" si="1"/>
        <v>Monday</v>
      </c>
      <c r="H42" s="1" t="str">
        <f t="shared" si="2"/>
        <v>June</v>
      </c>
      <c r="I42" s="1" t="str">
        <f t="shared" si="3"/>
        <v>2025</v>
      </c>
      <c r="J42" t="b">
        <v>1</v>
      </c>
      <c r="K42" t="s">
        <v>2</v>
      </c>
      <c r="L42">
        <v>104</v>
      </c>
      <c r="M42">
        <v>49</v>
      </c>
      <c r="N42" t="str">
        <f t="shared" si="5"/>
        <v>Adults</v>
      </c>
      <c r="O42" t="s">
        <v>22</v>
      </c>
      <c r="P42" t="s">
        <v>4</v>
      </c>
    </row>
    <row r="43" spans="1:16" x14ac:dyDescent="0.25">
      <c r="A43">
        <v>9129842</v>
      </c>
      <c r="B43" t="s">
        <v>73</v>
      </c>
      <c r="C43" t="s">
        <v>1</v>
      </c>
      <c r="D43">
        <v>1.8</v>
      </c>
      <c r="E43" t="str">
        <f t="shared" si="0"/>
        <v>Poor</v>
      </c>
      <c r="F43" s="1">
        <v>45719.490277777775</v>
      </c>
      <c r="G43" s="1" t="str">
        <f t="shared" si="1"/>
        <v>Monday</v>
      </c>
      <c r="H43" s="1" t="str">
        <f t="shared" si="2"/>
        <v>March</v>
      </c>
      <c r="I43" s="1" t="str">
        <f t="shared" si="3"/>
        <v>2025</v>
      </c>
      <c r="J43" t="b">
        <v>0</v>
      </c>
      <c r="K43" t="s">
        <v>21</v>
      </c>
      <c r="L43">
        <v>822</v>
      </c>
      <c r="M43">
        <v>45</v>
      </c>
      <c r="N43" t="str">
        <f t="shared" si="5"/>
        <v>Adults</v>
      </c>
      <c r="O43" t="s">
        <v>16</v>
      </c>
      <c r="P43" t="s">
        <v>9</v>
      </c>
    </row>
    <row r="44" spans="1:16" x14ac:dyDescent="0.25">
      <c r="A44">
        <v>775419</v>
      </c>
      <c r="B44" t="s">
        <v>46</v>
      </c>
      <c r="C44" t="s">
        <v>1</v>
      </c>
      <c r="D44">
        <v>3</v>
      </c>
      <c r="E44" t="str">
        <f t="shared" si="0"/>
        <v>Good</v>
      </c>
      <c r="F44" s="1">
        <v>45724.708333333336</v>
      </c>
      <c r="G44" s="1" t="str">
        <f t="shared" si="1"/>
        <v>Saturday</v>
      </c>
      <c r="H44" s="1" t="str">
        <f t="shared" si="2"/>
        <v>March</v>
      </c>
      <c r="I44" s="1" t="str">
        <f t="shared" si="3"/>
        <v>2025</v>
      </c>
      <c r="J44" t="b">
        <v>1</v>
      </c>
      <c r="K44" t="s">
        <v>21</v>
      </c>
      <c r="L44">
        <v>965</v>
      </c>
      <c r="M44">
        <v>68</v>
      </c>
      <c r="N44" t="str">
        <f t="shared" si="5"/>
        <v>Seniors</v>
      </c>
      <c r="O44" t="s">
        <v>27</v>
      </c>
      <c r="P44" t="s">
        <v>9</v>
      </c>
    </row>
    <row r="45" spans="1:16" x14ac:dyDescent="0.25">
      <c r="A45">
        <v>4248725</v>
      </c>
      <c r="B45" t="s">
        <v>60</v>
      </c>
      <c r="C45" t="s">
        <v>18</v>
      </c>
      <c r="D45">
        <v>2.9</v>
      </c>
      <c r="E45" t="str">
        <f t="shared" si="0"/>
        <v>Good</v>
      </c>
      <c r="F45" s="1">
        <v>45293.725694444445</v>
      </c>
      <c r="G45" s="1" t="str">
        <f t="shared" si="1"/>
        <v>Tuesday</v>
      </c>
      <c r="H45" s="1" t="str">
        <f t="shared" si="2"/>
        <v>January</v>
      </c>
      <c r="I45" s="1" t="str">
        <f t="shared" si="3"/>
        <v>2024</v>
      </c>
      <c r="J45" t="b">
        <v>1</v>
      </c>
      <c r="K45" t="s">
        <v>15</v>
      </c>
      <c r="L45">
        <v>571</v>
      </c>
      <c r="M45">
        <v>48</v>
      </c>
      <c r="N45" t="str">
        <f t="shared" si="5"/>
        <v>Adults</v>
      </c>
      <c r="O45" t="s">
        <v>65</v>
      </c>
      <c r="P45" t="s">
        <v>4</v>
      </c>
    </row>
    <row r="46" spans="1:16" x14ac:dyDescent="0.25">
      <c r="A46">
        <v>8045036</v>
      </c>
      <c r="B46" t="s">
        <v>32</v>
      </c>
      <c r="C46" t="s">
        <v>85</v>
      </c>
      <c r="D46">
        <v>3.3</v>
      </c>
      <c r="E46" t="str">
        <f t="shared" si="0"/>
        <v>Very Good</v>
      </c>
      <c r="F46" s="1">
        <v>45658.861805555556</v>
      </c>
      <c r="G46" s="1" t="str">
        <f t="shared" si="1"/>
        <v>Wednesday</v>
      </c>
      <c r="H46" s="1" t="str">
        <f t="shared" si="2"/>
        <v>January</v>
      </c>
      <c r="I46" s="1" t="str">
        <f t="shared" si="3"/>
        <v>2025</v>
      </c>
      <c r="J46" t="b">
        <v>1</v>
      </c>
      <c r="K46" t="s">
        <v>15</v>
      </c>
      <c r="L46">
        <v>103</v>
      </c>
      <c r="M46">
        <v>55</v>
      </c>
      <c r="N46" t="str">
        <f t="shared" si="5"/>
        <v>Adults</v>
      </c>
      <c r="O46" t="s">
        <v>50</v>
      </c>
      <c r="P46" t="s">
        <v>4</v>
      </c>
    </row>
    <row r="47" spans="1:16" x14ac:dyDescent="0.25">
      <c r="A47">
        <v>9561839</v>
      </c>
      <c r="B47" t="s">
        <v>79</v>
      </c>
      <c r="C47" t="s">
        <v>26</v>
      </c>
      <c r="D47">
        <v>2.1</v>
      </c>
      <c r="E47" t="str">
        <f t="shared" si="0"/>
        <v>Good</v>
      </c>
      <c r="F47" s="1">
        <v>45308.175694444442</v>
      </c>
      <c r="G47" s="1" t="str">
        <f t="shared" si="1"/>
        <v>Wednesday</v>
      </c>
      <c r="H47" s="1" t="str">
        <f t="shared" si="2"/>
        <v>January</v>
      </c>
      <c r="I47" s="1" t="str">
        <f t="shared" si="3"/>
        <v>2024</v>
      </c>
      <c r="J47" t="b">
        <v>1</v>
      </c>
      <c r="K47" t="s">
        <v>58</v>
      </c>
      <c r="L47">
        <v>183</v>
      </c>
      <c r="M47">
        <v>54</v>
      </c>
      <c r="N47" t="str">
        <f t="shared" si="5"/>
        <v>Adults</v>
      </c>
      <c r="O47" t="s">
        <v>19</v>
      </c>
      <c r="P47" t="s">
        <v>4</v>
      </c>
    </row>
    <row r="48" spans="1:16" x14ac:dyDescent="0.25">
      <c r="A48">
        <v>2130966</v>
      </c>
      <c r="B48" t="s">
        <v>71</v>
      </c>
      <c r="C48" t="s">
        <v>14</v>
      </c>
      <c r="D48">
        <v>4.5999999999999996</v>
      </c>
      <c r="E48" t="str">
        <f t="shared" si="0"/>
        <v>Excellent</v>
      </c>
      <c r="F48" s="1">
        <v>45777.601388888892</v>
      </c>
      <c r="G48" s="1" t="str">
        <f t="shared" si="1"/>
        <v>Wednesday</v>
      </c>
      <c r="H48" s="1" t="str">
        <f t="shared" si="2"/>
        <v>April</v>
      </c>
      <c r="I48" s="1" t="str">
        <f t="shared" si="3"/>
        <v>2025</v>
      </c>
      <c r="J48" t="b">
        <v>1</v>
      </c>
      <c r="K48" t="s">
        <v>15</v>
      </c>
      <c r="L48">
        <v>1172</v>
      </c>
      <c r="M48">
        <v>47</v>
      </c>
      <c r="N48" t="str">
        <f t="shared" si="5"/>
        <v>Adults</v>
      </c>
      <c r="O48" t="s">
        <v>81</v>
      </c>
      <c r="P48" t="s">
        <v>4</v>
      </c>
    </row>
    <row r="49" spans="1:16" x14ac:dyDescent="0.25">
      <c r="A49">
        <v>1870648</v>
      </c>
      <c r="B49" t="s">
        <v>62</v>
      </c>
      <c r="C49" t="s">
        <v>57</v>
      </c>
      <c r="D49">
        <v>3.2</v>
      </c>
      <c r="E49" t="str">
        <f t="shared" si="0"/>
        <v>Very Good</v>
      </c>
      <c r="F49" s="1">
        <v>45475.605555555558</v>
      </c>
      <c r="G49" s="1" t="str">
        <f t="shared" si="1"/>
        <v>Tuesday</v>
      </c>
      <c r="H49" s="1" t="str">
        <f t="shared" si="2"/>
        <v>July</v>
      </c>
      <c r="I49" s="1" t="str">
        <f t="shared" si="3"/>
        <v>2024</v>
      </c>
      <c r="J49" t="b">
        <v>1</v>
      </c>
      <c r="K49" t="s">
        <v>7</v>
      </c>
      <c r="L49">
        <v>44</v>
      </c>
      <c r="M49">
        <v>38</v>
      </c>
      <c r="N49" t="str">
        <f t="shared" si="5"/>
        <v>Adults</v>
      </c>
      <c r="O49" t="s">
        <v>86</v>
      </c>
      <c r="P49" t="s">
        <v>9</v>
      </c>
    </row>
    <row r="50" spans="1:16" x14ac:dyDescent="0.25">
      <c r="A50">
        <v>3331028</v>
      </c>
      <c r="B50" t="s">
        <v>45</v>
      </c>
      <c r="C50" t="s">
        <v>31</v>
      </c>
      <c r="D50">
        <v>2.2999999999999998</v>
      </c>
      <c r="E50" t="str">
        <f t="shared" si="0"/>
        <v>Good</v>
      </c>
      <c r="F50" s="1">
        <v>45383.97152777778</v>
      </c>
      <c r="G50" s="1" t="str">
        <f t="shared" si="1"/>
        <v>Monday</v>
      </c>
      <c r="H50" s="1" t="str">
        <f t="shared" si="2"/>
        <v>April</v>
      </c>
      <c r="I50" s="1" t="str">
        <f t="shared" si="3"/>
        <v>2024</v>
      </c>
      <c r="J50" t="b">
        <v>1</v>
      </c>
      <c r="K50" t="s">
        <v>58</v>
      </c>
      <c r="L50">
        <v>921</v>
      </c>
      <c r="M50">
        <v>67</v>
      </c>
      <c r="N50" t="str">
        <f t="shared" si="5"/>
        <v>Seniors</v>
      </c>
      <c r="O50" t="s">
        <v>77</v>
      </c>
      <c r="P50" t="s">
        <v>9</v>
      </c>
    </row>
    <row r="51" spans="1:16" x14ac:dyDescent="0.25">
      <c r="A51">
        <v>9090305</v>
      </c>
      <c r="B51" t="s">
        <v>46</v>
      </c>
      <c r="C51" t="s">
        <v>14</v>
      </c>
      <c r="D51">
        <v>4.8</v>
      </c>
      <c r="E51" t="str">
        <f t="shared" si="0"/>
        <v>Excellent</v>
      </c>
      <c r="F51" s="1">
        <v>45730.888194444444</v>
      </c>
      <c r="G51" s="1" t="str">
        <f t="shared" si="1"/>
        <v>Friday</v>
      </c>
      <c r="H51" s="1" t="str">
        <f t="shared" si="2"/>
        <v>March</v>
      </c>
      <c r="I51" s="1" t="str">
        <f t="shared" si="3"/>
        <v>2025</v>
      </c>
      <c r="J51" t="b">
        <v>0</v>
      </c>
      <c r="K51" t="s">
        <v>58</v>
      </c>
      <c r="L51">
        <v>433</v>
      </c>
      <c r="M51">
        <v>72</v>
      </c>
      <c r="N51" t="str">
        <f t="shared" si="5"/>
        <v>Seniors</v>
      </c>
      <c r="O51" t="s">
        <v>68</v>
      </c>
      <c r="P51" t="s">
        <v>9</v>
      </c>
    </row>
    <row r="52" spans="1:16" x14ac:dyDescent="0.25">
      <c r="A52">
        <v>3916534</v>
      </c>
      <c r="B52" t="s">
        <v>35</v>
      </c>
      <c r="C52" t="s">
        <v>34</v>
      </c>
      <c r="D52">
        <v>4.8</v>
      </c>
      <c r="E52" t="str">
        <f t="shared" si="0"/>
        <v>Excellent</v>
      </c>
      <c r="F52" s="1">
        <v>45419.182638888888</v>
      </c>
      <c r="G52" s="1" t="str">
        <f t="shared" si="1"/>
        <v>Tuesday</v>
      </c>
      <c r="H52" s="1" t="str">
        <f t="shared" si="2"/>
        <v>May</v>
      </c>
      <c r="I52" s="1" t="str">
        <f t="shared" si="3"/>
        <v>2024</v>
      </c>
      <c r="J52" t="b">
        <v>1</v>
      </c>
      <c r="K52" t="s">
        <v>21</v>
      </c>
      <c r="L52">
        <v>69</v>
      </c>
      <c r="M52">
        <v>66</v>
      </c>
      <c r="N52" t="str">
        <f t="shared" si="5"/>
        <v>Seniors</v>
      </c>
      <c r="O52" t="s">
        <v>3</v>
      </c>
      <c r="P52" t="s">
        <v>9</v>
      </c>
    </row>
    <row r="53" spans="1:16" x14ac:dyDescent="0.25">
      <c r="A53">
        <v>8131491</v>
      </c>
      <c r="B53" t="s">
        <v>0</v>
      </c>
      <c r="C53" t="s">
        <v>20</v>
      </c>
      <c r="D53">
        <v>2.4</v>
      </c>
      <c r="E53" t="str">
        <f t="shared" si="0"/>
        <v>Good</v>
      </c>
      <c r="F53" s="1">
        <v>45481</v>
      </c>
      <c r="G53" s="1" t="str">
        <f t="shared" si="1"/>
        <v>Monday</v>
      </c>
      <c r="H53" s="1" t="str">
        <f t="shared" si="2"/>
        <v>July</v>
      </c>
      <c r="I53" s="1" t="str">
        <f t="shared" si="3"/>
        <v>2024</v>
      </c>
      <c r="J53" t="b">
        <v>1</v>
      </c>
      <c r="K53" t="s">
        <v>7</v>
      </c>
      <c r="L53">
        <v>209</v>
      </c>
      <c r="M53">
        <v>21</v>
      </c>
      <c r="N53" t="str">
        <f t="shared" si="5"/>
        <v>Adults</v>
      </c>
      <c r="O53" t="s">
        <v>3</v>
      </c>
      <c r="P53" t="s">
        <v>4</v>
      </c>
    </row>
    <row r="54" spans="1:16" x14ac:dyDescent="0.25">
      <c r="A54">
        <v>3193109</v>
      </c>
      <c r="B54" t="s">
        <v>28</v>
      </c>
      <c r="C54" t="s">
        <v>14</v>
      </c>
      <c r="D54">
        <v>3.9</v>
      </c>
      <c r="E54" t="str">
        <f t="shared" si="0"/>
        <v>Very Good</v>
      </c>
      <c r="F54" s="1">
        <v>45178.783333333333</v>
      </c>
      <c r="G54" s="1" t="str">
        <f t="shared" si="1"/>
        <v>Saturday</v>
      </c>
      <c r="H54" s="1" t="str">
        <f t="shared" si="2"/>
        <v>September</v>
      </c>
      <c r="I54" s="1" t="str">
        <f t="shared" si="3"/>
        <v>2023</v>
      </c>
      <c r="J54" t="b">
        <v>1</v>
      </c>
      <c r="K54" t="s">
        <v>21</v>
      </c>
      <c r="L54">
        <v>497</v>
      </c>
      <c r="M54">
        <v>49</v>
      </c>
      <c r="N54" t="str">
        <f t="shared" si="5"/>
        <v>Adults</v>
      </c>
      <c r="O54" t="s">
        <v>50</v>
      </c>
      <c r="P54" t="s">
        <v>4</v>
      </c>
    </row>
    <row r="55" spans="1:16" x14ac:dyDescent="0.25">
      <c r="A55">
        <v>8114965</v>
      </c>
      <c r="B55" t="s">
        <v>80</v>
      </c>
      <c r="C55" t="s">
        <v>75</v>
      </c>
      <c r="D55">
        <v>3.5</v>
      </c>
      <c r="E55" t="str">
        <f t="shared" si="0"/>
        <v>Very Good</v>
      </c>
      <c r="F55" s="1">
        <v>45227.492361111108</v>
      </c>
      <c r="G55" s="1" t="str">
        <f t="shared" si="1"/>
        <v>Saturday</v>
      </c>
      <c r="H55" s="1" t="str">
        <f t="shared" si="2"/>
        <v>October</v>
      </c>
      <c r="I55" s="1" t="str">
        <f t="shared" si="3"/>
        <v>2023</v>
      </c>
      <c r="J55" t="b">
        <v>1</v>
      </c>
      <c r="K55" t="s">
        <v>21</v>
      </c>
      <c r="L55">
        <v>400</v>
      </c>
      <c r="M55">
        <v>42</v>
      </c>
      <c r="N55" t="str">
        <f t="shared" si="5"/>
        <v>Adults</v>
      </c>
      <c r="O55" t="s">
        <v>48</v>
      </c>
      <c r="P55" t="s">
        <v>4</v>
      </c>
    </row>
    <row r="56" spans="1:16" x14ac:dyDescent="0.25">
      <c r="A56">
        <v>6481684</v>
      </c>
      <c r="B56" t="s">
        <v>88</v>
      </c>
      <c r="C56" t="s">
        <v>31</v>
      </c>
      <c r="D56">
        <v>3.3</v>
      </c>
      <c r="E56" t="str">
        <f t="shared" si="0"/>
        <v>Very Good</v>
      </c>
      <c r="F56" s="1">
        <v>45488.802777777775</v>
      </c>
      <c r="G56" s="1" t="str">
        <f t="shared" si="1"/>
        <v>Monday</v>
      </c>
      <c r="H56" s="1" t="str">
        <f t="shared" si="2"/>
        <v>July</v>
      </c>
      <c r="I56" s="1" t="str">
        <f t="shared" si="3"/>
        <v>2024</v>
      </c>
      <c r="J56" t="b">
        <v>1</v>
      </c>
      <c r="K56" t="s">
        <v>2</v>
      </c>
      <c r="L56">
        <v>679</v>
      </c>
      <c r="M56">
        <v>74</v>
      </c>
      <c r="N56" t="str">
        <f t="shared" si="5"/>
        <v>Seniors</v>
      </c>
      <c r="O56" t="s">
        <v>53</v>
      </c>
      <c r="P56" t="s">
        <v>9</v>
      </c>
    </row>
    <row r="57" spans="1:16" x14ac:dyDescent="0.25">
      <c r="A57">
        <v>5088757</v>
      </c>
      <c r="B57" t="s">
        <v>17</v>
      </c>
      <c r="C57" t="s">
        <v>6</v>
      </c>
      <c r="D57">
        <v>5</v>
      </c>
      <c r="E57" t="str">
        <f t="shared" si="0"/>
        <v>Excellent</v>
      </c>
      <c r="F57" s="1">
        <v>45806.988888888889</v>
      </c>
      <c r="G57" s="1" t="str">
        <f t="shared" si="1"/>
        <v>Thursday</v>
      </c>
      <c r="H57" s="1" t="str">
        <f t="shared" si="2"/>
        <v>May</v>
      </c>
      <c r="I57" s="1" t="str">
        <f t="shared" si="3"/>
        <v>2025</v>
      </c>
      <c r="J57" t="b">
        <v>1</v>
      </c>
      <c r="K57" t="s">
        <v>2</v>
      </c>
      <c r="L57">
        <v>214</v>
      </c>
      <c r="M57">
        <v>31</v>
      </c>
      <c r="N57" t="str">
        <f t="shared" si="5"/>
        <v>Adults</v>
      </c>
      <c r="O57" t="s">
        <v>53</v>
      </c>
      <c r="P57" t="s">
        <v>9</v>
      </c>
    </row>
    <row r="58" spans="1:16" x14ac:dyDescent="0.25">
      <c r="A58">
        <v>7294570</v>
      </c>
      <c r="B58" t="s">
        <v>64</v>
      </c>
      <c r="C58" t="s">
        <v>57</v>
      </c>
      <c r="D58">
        <v>2.2000000000000002</v>
      </c>
      <c r="E58" t="str">
        <f t="shared" si="0"/>
        <v>Good</v>
      </c>
      <c r="F58" s="1">
        <v>45365.105555555558</v>
      </c>
      <c r="G58" s="1" t="str">
        <f t="shared" si="1"/>
        <v>Thursday</v>
      </c>
      <c r="H58" s="1" t="str">
        <f t="shared" si="2"/>
        <v>March</v>
      </c>
      <c r="I58" s="1" t="str">
        <f t="shared" si="3"/>
        <v>2024</v>
      </c>
      <c r="J58" t="b">
        <v>1</v>
      </c>
      <c r="K58" t="s">
        <v>58</v>
      </c>
      <c r="L58">
        <v>46</v>
      </c>
      <c r="M58">
        <v>67</v>
      </c>
      <c r="N58" t="str">
        <f t="shared" si="5"/>
        <v>Seniors</v>
      </c>
      <c r="O58" t="s">
        <v>44</v>
      </c>
      <c r="P58" t="s">
        <v>9</v>
      </c>
    </row>
    <row r="59" spans="1:16" x14ac:dyDescent="0.25">
      <c r="A59">
        <v>1294198</v>
      </c>
      <c r="B59" t="s">
        <v>73</v>
      </c>
      <c r="C59" t="s">
        <v>29</v>
      </c>
      <c r="D59">
        <v>2</v>
      </c>
      <c r="E59" t="str">
        <f t="shared" si="0"/>
        <v>Good</v>
      </c>
      <c r="F59" s="1">
        <v>45672.785416666666</v>
      </c>
      <c r="G59" s="1" t="str">
        <f t="shared" si="1"/>
        <v>Wednesday</v>
      </c>
      <c r="H59" s="1" t="str">
        <f t="shared" si="2"/>
        <v>January</v>
      </c>
      <c r="I59" s="1" t="str">
        <f t="shared" si="3"/>
        <v>2025</v>
      </c>
      <c r="J59" t="b">
        <v>1</v>
      </c>
      <c r="K59" t="s">
        <v>58</v>
      </c>
      <c r="L59">
        <v>374</v>
      </c>
      <c r="M59">
        <v>36</v>
      </c>
      <c r="N59" t="str">
        <f t="shared" si="5"/>
        <v>Adults</v>
      </c>
      <c r="O59" t="s">
        <v>37</v>
      </c>
      <c r="P59" t="s">
        <v>4</v>
      </c>
    </row>
    <row r="60" spans="1:16" x14ac:dyDescent="0.25">
      <c r="A60">
        <v>4538490</v>
      </c>
      <c r="B60" t="s">
        <v>0</v>
      </c>
      <c r="C60" t="s">
        <v>31</v>
      </c>
      <c r="D60">
        <v>4.4000000000000004</v>
      </c>
      <c r="E60" t="str">
        <f t="shared" si="0"/>
        <v>Excellent</v>
      </c>
      <c r="F60" s="1">
        <v>45750.802083333336</v>
      </c>
      <c r="G60" s="1" t="str">
        <f t="shared" si="1"/>
        <v>Thursday</v>
      </c>
      <c r="H60" s="1" t="str">
        <f t="shared" si="2"/>
        <v>April</v>
      </c>
      <c r="I60" s="1" t="str">
        <f t="shared" si="3"/>
        <v>2025</v>
      </c>
      <c r="J60" t="b">
        <v>0</v>
      </c>
      <c r="K60" t="s">
        <v>21</v>
      </c>
      <c r="L60">
        <v>109</v>
      </c>
      <c r="M60">
        <v>68</v>
      </c>
      <c r="N60" t="str">
        <f t="shared" si="5"/>
        <v>Seniors</v>
      </c>
      <c r="O60" t="s">
        <v>77</v>
      </c>
      <c r="P60" t="s">
        <v>9</v>
      </c>
    </row>
    <row r="61" spans="1:16" x14ac:dyDescent="0.25">
      <c r="A61">
        <v>5507658</v>
      </c>
      <c r="B61" t="s">
        <v>0</v>
      </c>
      <c r="C61" t="s">
        <v>47</v>
      </c>
      <c r="D61">
        <v>2.1</v>
      </c>
      <c r="E61" t="str">
        <f t="shared" si="0"/>
        <v>Good</v>
      </c>
      <c r="F61" s="1">
        <v>45348.213194444441</v>
      </c>
      <c r="G61" s="1" t="str">
        <f t="shared" si="1"/>
        <v>Monday</v>
      </c>
      <c r="H61" s="1" t="str">
        <f t="shared" si="2"/>
        <v>February</v>
      </c>
      <c r="I61" s="1" t="str">
        <f t="shared" si="3"/>
        <v>2024</v>
      </c>
      <c r="J61" t="b">
        <v>1</v>
      </c>
      <c r="K61" t="s">
        <v>7</v>
      </c>
      <c r="L61">
        <v>691</v>
      </c>
      <c r="M61">
        <v>48</v>
      </c>
      <c r="N61" t="str">
        <f t="shared" si="5"/>
        <v>Adults</v>
      </c>
      <c r="O61" t="s">
        <v>19</v>
      </c>
      <c r="P61" t="s">
        <v>4</v>
      </c>
    </row>
    <row r="62" spans="1:16" x14ac:dyDescent="0.25">
      <c r="A62">
        <v>774975</v>
      </c>
      <c r="B62" t="s">
        <v>70</v>
      </c>
      <c r="C62" t="s">
        <v>34</v>
      </c>
      <c r="D62">
        <v>5</v>
      </c>
      <c r="E62" t="str">
        <f t="shared" si="0"/>
        <v>Excellent</v>
      </c>
      <c r="F62" s="1">
        <v>45731.602083333331</v>
      </c>
      <c r="G62" s="1" t="str">
        <f t="shared" si="1"/>
        <v>Saturday</v>
      </c>
      <c r="H62" s="1" t="str">
        <f t="shared" si="2"/>
        <v>March</v>
      </c>
      <c r="I62" s="1" t="str">
        <f t="shared" si="3"/>
        <v>2025</v>
      </c>
      <c r="J62" t="b">
        <v>0</v>
      </c>
      <c r="K62" t="s">
        <v>15</v>
      </c>
      <c r="L62">
        <v>618</v>
      </c>
      <c r="M62">
        <v>23</v>
      </c>
      <c r="N62" t="str">
        <f t="shared" si="5"/>
        <v>Adults</v>
      </c>
      <c r="O62" t="s">
        <v>86</v>
      </c>
      <c r="P62" t="s">
        <v>9</v>
      </c>
    </row>
    <row r="63" spans="1:16" x14ac:dyDescent="0.25">
      <c r="A63">
        <v>3039212</v>
      </c>
      <c r="B63" t="s">
        <v>76</v>
      </c>
      <c r="C63" t="s">
        <v>43</v>
      </c>
      <c r="D63">
        <v>1.5</v>
      </c>
      <c r="E63" t="str">
        <f t="shared" si="0"/>
        <v>Poor</v>
      </c>
      <c r="F63" s="1">
        <v>45504.326388888891</v>
      </c>
      <c r="G63" s="1" t="str">
        <f t="shared" si="1"/>
        <v>Wednesday</v>
      </c>
      <c r="H63" s="1" t="str">
        <f t="shared" si="2"/>
        <v>July</v>
      </c>
      <c r="I63" s="1" t="str">
        <f t="shared" si="3"/>
        <v>2024</v>
      </c>
      <c r="J63" t="b">
        <v>1</v>
      </c>
      <c r="K63" t="s">
        <v>15</v>
      </c>
      <c r="L63">
        <v>1063</v>
      </c>
      <c r="M63">
        <v>56</v>
      </c>
      <c r="N63" t="str">
        <f t="shared" si="5"/>
        <v>Adults</v>
      </c>
      <c r="O63" t="s">
        <v>42</v>
      </c>
      <c r="P63" t="s">
        <v>9</v>
      </c>
    </row>
    <row r="64" spans="1:16" x14ac:dyDescent="0.25">
      <c r="A64">
        <v>3144882</v>
      </c>
      <c r="B64" t="s">
        <v>83</v>
      </c>
      <c r="C64" t="s">
        <v>75</v>
      </c>
      <c r="D64">
        <v>3.9</v>
      </c>
      <c r="E64" t="str">
        <f t="shared" si="0"/>
        <v>Very Good</v>
      </c>
      <c r="F64" s="1">
        <v>45593.51666666667</v>
      </c>
      <c r="G64" s="1" t="str">
        <f t="shared" si="1"/>
        <v>Monday</v>
      </c>
      <c r="H64" s="1" t="str">
        <f t="shared" si="2"/>
        <v>October</v>
      </c>
      <c r="I64" s="1" t="str">
        <f t="shared" si="3"/>
        <v>2024</v>
      </c>
      <c r="J64" t="b">
        <v>1</v>
      </c>
      <c r="K64" t="s">
        <v>7</v>
      </c>
      <c r="L64">
        <v>879</v>
      </c>
      <c r="M64">
        <v>33</v>
      </c>
      <c r="N64" t="str">
        <f t="shared" si="5"/>
        <v>Adults</v>
      </c>
      <c r="O64" t="s">
        <v>81</v>
      </c>
      <c r="P64" t="s">
        <v>4</v>
      </c>
    </row>
    <row r="65" spans="1:16" x14ac:dyDescent="0.25">
      <c r="A65">
        <v>8349789</v>
      </c>
      <c r="B65" t="s">
        <v>69</v>
      </c>
      <c r="C65" t="s">
        <v>43</v>
      </c>
      <c r="D65">
        <v>4.0999999999999996</v>
      </c>
      <c r="E65" t="str">
        <f t="shared" si="0"/>
        <v>Excellent</v>
      </c>
      <c r="F65" s="1">
        <v>45139.772222222222</v>
      </c>
      <c r="G65" s="1" t="str">
        <f t="shared" si="1"/>
        <v>Tuesday</v>
      </c>
      <c r="H65" s="1" t="str">
        <f t="shared" si="2"/>
        <v>August</v>
      </c>
      <c r="I65" s="1" t="str">
        <f t="shared" si="3"/>
        <v>2023</v>
      </c>
      <c r="J65" t="b">
        <v>0</v>
      </c>
      <c r="K65" t="s">
        <v>15</v>
      </c>
      <c r="L65">
        <v>1013</v>
      </c>
      <c r="M65">
        <v>37</v>
      </c>
      <c r="N65" t="str">
        <f t="shared" si="5"/>
        <v>Adults</v>
      </c>
      <c r="O65" t="s">
        <v>48</v>
      </c>
      <c r="P65" t="s">
        <v>4</v>
      </c>
    </row>
    <row r="66" spans="1:16" x14ac:dyDescent="0.25">
      <c r="A66">
        <v>9203209</v>
      </c>
      <c r="B66" t="s">
        <v>84</v>
      </c>
      <c r="C66" t="s">
        <v>20</v>
      </c>
      <c r="D66">
        <v>1.1000000000000001</v>
      </c>
      <c r="E66" t="str">
        <f t="shared" ref="E66:E129" si="6">IF(D66&lt;2,"Poor",IF(AND(D66&gt;=2,D66&lt;=3),"Good",IF(AND(D66&gt;3,D66&lt;=4),"Very Good",IF(D66&gt;4,"Excellent"))))</f>
        <v>Poor</v>
      </c>
      <c r="F66" s="1">
        <v>45497.705555555556</v>
      </c>
      <c r="G66" s="1" t="str">
        <f t="shared" ref="G66:G129" si="7">TEXT(F66,"DDDD")</f>
        <v>Wednesday</v>
      </c>
      <c r="H66" s="1" t="str">
        <f t="shared" ref="H66:H129" si="8">TEXT(F66,"MMMM")</f>
        <v>July</v>
      </c>
      <c r="I66" s="1" t="str">
        <f t="shared" ref="I66:I129" si="9">TEXT(F66,"YYYY")</f>
        <v>2024</v>
      </c>
      <c r="J66" t="b">
        <v>1</v>
      </c>
      <c r="K66" t="s">
        <v>58</v>
      </c>
      <c r="L66">
        <v>28</v>
      </c>
      <c r="M66">
        <v>29</v>
      </c>
      <c r="N66" t="str">
        <f t="shared" si="5"/>
        <v>Adults</v>
      </c>
      <c r="O66" t="s">
        <v>68</v>
      </c>
      <c r="P66" t="s">
        <v>9</v>
      </c>
    </row>
    <row r="67" spans="1:16" x14ac:dyDescent="0.25">
      <c r="A67">
        <v>6169650</v>
      </c>
      <c r="B67" t="s">
        <v>67</v>
      </c>
      <c r="C67" t="s">
        <v>75</v>
      </c>
      <c r="D67">
        <v>3.4</v>
      </c>
      <c r="E67" t="str">
        <f t="shared" si="6"/>
        <v>Very Good</v>
      </c>
      <c r="F67" s="1">
        <v>45380.244444444441</v>
      </c>
      <c r="G67" s="1" t="str">
        <f t="shared" si="7"/>
        <v>Friday</v>
      </c>
      <c r="H67" s="1" t="str">
        <f t="shared" si="8"/>
        <v>March</v>
      </c>
      <c r="I67" s="1" t="str">
        <f t="shared" si="9"/>
        <v>2024</v>
      </c>
      <c r="J67" t="b">
        <v>1</v>
      </c>
      <c r="K67" t="s">
        <v>7</v>
      </c>
      <c r="L67">
        <v>359</v>
      </c>
      <c r="M67">
        <v>20</v>
      </c>
      <c r="N67" t="str">
        <f t="shared" si="5"/>
        <v>Adults</v>
      </c>
      <c r="O67" t="s">
        <v>66</v>
      </c>
      <c r="P67" t="s">
        <v>4</v>
      </c>
    </row>
    <row r="68" spans="1:16" x14ac:dyDescent="0.25">
      <c r="A68">
        <v>329419</v>
      </c>
      <c r="B68" t="s">
        <v>51</v>
      </c>
      <c r="C68" t="s">
        <v>29</v>
      </c>
      <c r="D68">
        <v>2.1</v>
      </c>
      <c r="E68" t="str">
        <f t="shared" si="6"/>
        <v>Good</v>
      </c>
      <c r="F68" s="1">
        <v>45567.058333333334</v>
      </c>
      <c r="G68" s="1" t="str">
        <f t="shared" si="7"/>
        <v>Wednesday</v>
      </c>
      <c r="H68" s="1" t="str">
        <f t="shared" si="8"/>
        <v>October</v>
      </c>
      <c r="I68" s="1" t="str">
        <f t="shared" si="9"/>
        <v>2024</v>
      </c>
      <c r="J68" t="b">
        <v>1</v>
      </c>
      <c r="K68" t="s">
        <v>58</v>
      </c>
      <c r="L68">
        <v>538</v>
      </c>
      <c r="M68">
        <v>58</v>
      </c>
      <c r="N68" t="str">
        <f t="shared" si="5"/>
        <v>Adults</v>
      </c>
      <c r="O68" t="s">
        <v>19</v>
      </c>
      <c r="P68" t="s">
        <v>9</v>
      </c>
    </row>
    <row r="69" spans="1:16" x14ac:dyDescent="0.25">
      <c r="A69">
        <v>6535505</v>
      </c>
      <c r="B69" t="s">
        <v>80</v>
      </c>
      <c r="C69" t="s">
        <v>63</v>
      </c>
      <c r="D69">
        <v>2</v>
      </c>
      <c r="E69" t="str">
        <f t="shared" si="6"/>
        <v>Good</v>
      </c>
      <c r="F69" s="1">
        <v>45752.493750000001</v>
      </c>
      <c r="G69" s="1" t="str">
        <f t="shared" si="7"/>
        <v>Saturday</v>
      </c>
      <c r="H69" s="1" t="str">
        <f t="shared" si="8"/>
        <v>April</v>
      </c>
      <c r="I69" s="1" t="str">
        <f t="shared" si="9"/>
        <v>2025</v>
      </c>
      <c r="J69" t="b">
        <v>1</v>
      </c>
      <c r="K69" t="s">
        <v>2</v>
      </c>
      <c r="L69">
        <v>745</v>
      </c>
      <c r="M69">
        <v>37</v>
      </c>
      <c r="N69" t="str">
        <f t="shared" si="5"/>
        <v>Adults</v>
      </c>
      <c r="O69" t="s">
        <v>81</v>
      </c>
      <c r="P69" t="s">
        <v>4</v>
      </c>
    </row>
    <row r="70" spans="1:16" x14ac:dyDescent="0.25">
      <c r="A70">
        <v>5802160</v>
      </c>
      <c r="B70" t="s">
        <v>5</v>
      </c>
      <c r="C70" t="s">
        <v>6</v>
      </c>
      <c r="D70">
        <v>3</v>
      </c>
      <c r="E70" t="str">
        <f t="shared" si="6"/>
        <v>Good</v>
      </c>
      <c r="F70" s="1">
        <v>45680.640972222223</v>
      </c>
      <c r="G70" s="1" t="str">
        <f t="shared" si="7"/>
        <v>Thursday</v>
      </c>
      <c r="H70" s="1" t="str">
        <f t="shared" si="8"/>
        <v>January</v>
      </c>
      <c r="I70" s="1" t="str">
        <f t="shared" si="9"/>
        <v>2025</v>
      </c>
      <c r="J70" t="b">
        <v>1</v>
      </c>
      <c r="K70" t="s">
        <v>58</v>
      </c>
      <c r="L70">
        <v>367</v>
      </c>
      <c r="M70">
        <v>27</v>
      </c>
      <c r="N70" t="str">
        <f t="shared" ref="N70:N99" si="10">IF(M70&lt;=17,"Teenagers", IF(AND(M70&gt;=18,M70&lt;61),"Adults",IF(M70&gt;60,"Seniors")))</f>
        <v>Adults</v>
      </c>
      <c r="O70" t="s">
        <v>50</v>
      </c>
      <c r="P70" t="s">
        <v>9</v>
      </c>
    </row>
    <row r="71" spans="1:16" x14ac:dyDescent="0.25">
      <c r="A71">
        <v>9693172</v>
      </c>
      <c r="B71" t="s">
        <v>84</v>
      </c>
      <c r="C71" t="s">
        <v>14</v>
      </c>
      <c r="D71">
        <v>3.5</v>
      </c>
      <c r="E71" t="str">
        <f t="shared" si="6"/>
        <v>Very Good</v>
      </c>
      <c r="F71" s="1">
        <v>45436.340277777781</v>
      </c>
      <c r="G71" s="1" t="str">
        <f t="shared" si="7"/>
        <v>Friday</v>
      </c>
      <c r="H71" s="1" t="str">
        <f t="shared" si="8"/>
        <v>May</v>
      </c>
      <c r="I71" s="1" t="str">
        <f t="shared" si="9"/>
        <v>2024</v>
      </c>
      <c r="J71" t="b">
        <v>1</v>
      </c>
      <c r="K71" t="s">
        <v>2</v>
      </c>
      <c r="L71">
        <v>754</v>
      </c>
      <c r="M71">
        <v>50</v>
      </c>
      <c r="N71" t="str">
        <f t="shared" si="10"/>
        <v>Adults</v>
      </c>
      <c r="O71" t="s">
        <v>59</v>
      </c>
      <c r="P71" t="s">
        <v>4</v>
      </c>
    </row>
    <row r="72" spans="1:16" x14ac:dyDescent="0.25">
      <c r="A72">
        <v>702286</v>
      </c>
      <c r="B72" t="s">
        <v>25</v>
      </c>
      <c r="C72" t="s">
        <v>6</v>
      </c>
      <c r="D72">
        <v>4.7</v>
      </c>
      <c r="E72" t="str">
        <f t="shared" si="6"/>
        <v>Excellent</v>
      </c>
      <c r="F72" s="1">
        <v>45618.472916666666</v>
      </c>
      <c r="G72" s="1" t="str">
        <f t="shared" si="7"/>
        <v>Friday</v>
      </c>
      <c r="H72" s="1" t="str">
        <f t="shared" si="8"/>
        <v>November</v>
      </c>
      <c r="I72" s="1" t="str">
        <f t="shared" si="9"/>
        <v>2024</v>
      </c>
      <c r="J72" t="b">
        <v>1</v>
      </c>
      <c r="K72" t="s">
        <v>21</v>
      </c>
      <c r="L72">
        <v>658</v>
      </c>
      <c r="M72">
        <v>37</v>
      </c>
      <c r="N72" t="str">
        <f t="shared" si="10"/>
        <v>Adults</v>
      </c>
      <c r="O72" t="s">
        <v>86</v>
      </c>
      <c r="P72" t="s">
        <v>4</v>
      </c>
    </row>
    <row r="73" spans="1:16" x14ac:dyDescent="0.25">
      <c r="A73">
        <v>257662</v>
      </c>
      <c r="B73" t="s">
        <v>17</v>
      </c>
      <c r="C73" t="s">
        <v>38</v>
      </c>
      <c r="D73">
        <v>2.2999999999999998</v>
      </c>
      <c r="E73" t="str">
        <f t="shared" si="6"/>
        <v>Good</v>
      </c>
      <c r="F73" s="1">
        <v>45837.080555555556</v>
      </c>
      <c r="G73" s="1" t="str">
        <f t="shared" si="7"/>
        <v>Sunday</v>
      </c>
      <c r="H73" s="1" t="str">
        <f t="shared" si="8"/>
        <v>June</v>
      </c>
      <c r="I73" s="1" t="str">
        <f t="shared" si="9"/>
        <v>2025</v>
      </c>
      <c r="J73" t="b">
        <v>1</v>
      </c>
      <c r="K73" t="s">
        <v>58</v>
      </c>
      <c r="L73">
        <v>487</v>
      </c>
      <c r="M73">
        <v>35</v>
      </c>
      <c r="N73" t="str">
        <f t="shared" si="10"/>
        <v>Adults</v>
      </c>
      <c r="O73" t="s">
        <v>44</v>
      </c>
      <c r="P73" t="s">
        <v>4</v>
      </c>
    </row>
    <row r="74" spans="1:16" x14ac:dyDescent="0.25">
      <c r="A74">
        <v>4925658</v>
      </c>
      <c r="B74" t="s">
        <v>23</v>
      </c>
      <c r="C74" t="s">
        <v>34</v>
      </c>
      <c r="D74">
        <v>1</v>
      </c>
      <c r="E74" t="str">
        <f t="shared" si="6"/>
        <v>Poor</v>
      </c>
      <c r="F74" s="1">
        <v>45665.193749999999</v>
      </c>
      <c r="G74" s="1" t="str">
        <f t="shared" si="7"/>
        <v>Wednesday</v>
      </c>
      <c r="H74" s="1" t="str">
        <f t="shared" si="8"/>
        <v>January</v>
      </c>
      <c r="I74" s="1" t="str">
        <f t="shared" si="9"/>
        <v>2025</v>
      </c>
      <c r="J74" t="b">
        <v>1</v>
      </c>
      <c r="K74" t="s">
        <v>2</v>
      </c>
      <c r="L74">
        <v>897</v>
      </c>
      <c r="M74">
        <v>59</v>
      </c>
      <c r="N74" t="str">
        <f t="shared" si="10"/>
        <v>Adults</v>
      </c>
      <c r="O74" t="s">
        <v>53</v>
      </c>
      <c r="P74" t="s">
        <v>4</v>
      </c>
    </row>
    <row r="75" spans="1:16" x14ac:dyDescent="0.25">
      <c r="A75">
        <v>2750391</v>
      </c>
      <c r="B75" t="s">
        <v>32</v>
      </c>
      <c r="C75" t="s">
        <v>6</v>
      </c>
      <c r="D75">
        <v>1.3</v>
      </c>
      <c r="E75" t="str">
        <f t="shared" si="6"/>
        <v>Poor</v>
      </c>
      <c r="F75" s="1">
        <v>45196.247916666667</v>
      </c>
      <c r="G75" s="1" t="str">
        <f t="shared" si="7"/>
        <v>Wednesday</v>
      </c>
      <c r="H75" s="1" t="str">
        <f t="shared" si="8"/>
        <v>September</v>
      </c>
      <c r="I75" s="1" t="str">
        <f t="shared" si="9"/>
        <v>2023</v>
      </c>
      <c r="J75" t="b">
        <v>1</v>
      </c>
      <c r="K75" t="s">
        <v>15</v>
      </c>
      <c r="L75">
        <v>768</v>
      </c>
      <c r="M75">
        <v>23</v>
      </c>
      <c r="N75" t="str">
        <f t="shared" si="10"/>
        <v>Adults</v>
      </c>
      <c r="O75" t="s">
        <v>27</v>
      </c>
      <c r="P75" t="s">
        <v>9</v>
      </c>
    </row>
    <row r="76" spans="1:16" x14ac:dyDescent="0.25">
      <c r="A76">
        <v>2394774</v>
      </c>
      <c r="B76" t="s">
        <v>25</v>
      </c>
      <c r="C76" t="s">
        <v>20</v>
      </c>
      <c r="D76">
        <v>1.3</v>
      </c>
      <c r="E76" t="str">
        <f t="shared" si="6"/>
        <v>Poor</v>
      </c>
      <c r="F76" s="1">
        <v>45392.647916666669</v>
      </c>
      <c r="G76" s="1" t="str">
        <f t="shared" si="7"/>
        <v>Wednesday</v>
      </c>
      <c r="H76" s="1" t="str">
        <f t="shared" si="8"/>
        <v>April</v>
      </c>
      <c r="I76" s="1" t="str">
        <f t="shared" si="9"/>
        <v>2024</v>
      </c>
      <c r="J76" t="b">
        <v>0</v>
      </c>
      <c r="K76" t="s">
        <v>2</v>
      </c>
      <c r="L76">
        <v>413</v>
      </c>
      <c r="M76">
        <v>65</v>
      </c>
      <c r="N76" t="str">
        <f t="shared" si="10"/>
        <v>Seniors</v>
      </c>
      <c r="O76" t="s">
        <v>24</v>
      </c>
      <c r="P76" t="s">
        <v>4</v>
      </c>
    </row>
    <row r="77" spans="1:16" x14ac:dyDescent="0.25">
      <c r="A77">
        <v>7070985</v>
      </c>
      <c r="B77" t="s">
        <v>60</v>
      </c>
      <c r="C77" t="s">
        <v>31</v>
      </c>
      <c r="D77">
        <v>3.5</v>
      </c>
      <c r="E77" t="str">
        <f t="shared" si="6"/>
        <v>Very Good</v>
      </c>
      <c r="F77" s="1">
        <v>45275.301388888889</v>
      </c>
      <c r="G77" s="1" t="str">
        <f t="shared" si="7"/>
        <v>Friday</v>
      </c>
      <c r="H77" s="1" t="str">
        <f t="shared" si="8"/>
        <v>December</v>
      </c>
      <c r="I77" s="1" t="str">
        <f t="shared" si="9"/>
        <v>2023</v>
      </c>
      <c r="J77" t="b">
        <v>1</v>
      </c>
      <c r="K77" t="s">
        <v>21</v>
      </c>
      <c r="L77">
        <v>859</v>
      </c>
      <c r="M77">
        <v>20</v>
      </c>
      <c r="N77" t="str">
        <f t="shared" si="10"/>
        <v>Adults</v>
      </c>
      <c r="O77" t="s">
        <v>53</v>
      </c>
      <c r="P77" t="s">
        <v>4</v>
      </c>
    </row>
    <row r="78" spans="1:16" x14ac:dyDescent="0.25">
      <c r="A78">
        <v>2317273</v>
      </c>
      <c r="B78" t="s">
        <v>17</v>
      </c>
      <c r="C78" t="s">
        <v>1</v>
      </c>
      <c r="D78">
        <v>3.4</v>
      </c>
      <c r="E78" t="str">
        <f t="shared" si="6"/>
        <v>Very Good</v>
      </c>
      <c r="F78" s="1">
        <v>45749.780555555553</v>
      </c>
      <c r="G78" s="1" t="str">
        <f t="shared" si="7"/>
        <v>Wednesday</v>
      </c>
      <c r="H78" s="1" t="str">
        <f t="shared" si="8"/>
        <v>April</v>
      </c>
      <c r="I78" s="1" t="str">
        <f t="shared" si="9"/>
        <v>2025</v>
      </c>
      <c r="J78" t="b">
        <v>1</v>
      </c>
      <c r="K78" t="s">
        <v>58</v>
      </c>
      <c r="L78">
        <v>352</v>
      </c>
      <c r="M78">
        <v>30</v>
      </c>
      <c r="N78" t="str">
        <f t="shared" si="10"/>
        <v>Adults</v>
      </c>
      <c r="O78" t="s">
        <v>8</v>
      </c>
      <c r="P78" t="s">
        <v>4</v>
      </c>
    </row>
    <row r="79" spans="1:16" x14ac:dyDescent="0.25">
      <c r="A79">
        <v>6238070</v>
      </c>
      <c r="B79" t="s">
        <v>40</v>
      </c>
      <c r="C79" t="s">
        <v>38</v>
      </c>
      <c r="D79">
        <v>2.1</v>
      </c>
      <c r="E79" t="str">
        <f t="shared" si="6"/>
        <v>Good</v>
      </c>
      <c r="F79" s="1">
        <v>45551.203472222223</v>
      </c>
      <c r="G79" s="1" t="str">
        <f t="shared" si="7"/>
        <v>Monday</v>
      </c>
      <c r="H79" s="1" t="str">
        <f t="shared" si="8"/>
        <v>September</v>
      </c>
      <c r="I79" s="1" t="str">
        <f t="shared" si="9"/>
        <v>2024</v>
      </c>
      <c r="J79" t="b">
        <v>1</v>
      </c>
      <c r="K79" t="s">
        <v>2</v>
      </c>
      <c r="L79">
        <v>201</v>
      </c>
      <c r="M79">
        <v>75</v>
      </c>
      <c r="N79" t="str">
        <f t="shared" si="10"/>
        <v>Seniors</v>
      </c>
      <c r="O79" t="s">
        <v>12</v>
      </c>
      <c r="P79" t="s">
        <v>4</v>
      </c>
    </row>
    <row r="80" spans="1:16" x14ac:dyDescent="0.25">
      <c r="A80">
        <v>2692464</v>
      </c>
      <c r="B80" t="s">
        <v>40</v>
      </c>
      <c r="C80" t="s">
        <v>38</v>
      </c>
      <c r="D80">
        <v>2</v>
      </c>
      <c r="E80" t="str">
        <f t="shared" si="6"/>
        <v>Good</v>
      </c>
      <c r="F80" s="1">
        <v>45561.777083333334</v>
      </c>
      <c r="G80" s="1" t="str">
        <f t="shared" si="7"/>
        <v>Thursday</v>
      </c>
      <c r="H80" s="1" t="str">
        <f t="shared" si="8"/>
        <v>September</v>
      </c>
      <c r="I80" s="1" t="str">
        <f t="shared" si="9"/>
        <v>2024</v>
      </c>
      <c r="J80" t="b">
        <v>0</v>
      </c>
      <c r="K80" t="s">
        <v>2</v>
      </c>
      <c r="L80">
        <v>828</v>
      </c>
      <c r="M80">
        <v>37</v>
      </c>
      <c r="N80" t="str">
        <f t="shared" si="10"/>
        <v>Adults</v>
      </c>
      <c r="O80" t="s">
        <v>27</v>
      </c>
      <c r="P80" t="s">
        <v>9</v>
      </c>
    </row>
    <row r="81" spans="1:16" x14ac:dyDescent="0.25">
      <c r="A81">
        <v>6117548</v>
      </c>
      <c r="B81" t="s">
        <v>33</v>
      </c>
      <c r="C81" t="s">
        <v>36</v>
      </c>
      <c r="D81">
        <v>1.4</v>
      </c>
      <c r="E81" t="str">
        <f t="shared" si="6"/>
        <v>Poor</v>
      </c>
      <c r="F81" s="1">
        <v>45492.067361111112</v>
      </c>
      <c r="G81" s="1" t="str">
        <f t="shared" si="7"/>
        <v>Friday</v>
      </c>
      <c r="H81" s="1" t="str">
        <f t="shared" si="8"/>
        <v>July</v>
      </c>
      <c r="I81" s="1" t="str">
        <f t="shared" si="9"/>
        <v>2024</v>
      </c>
      <c r="J81" t="b">
        <v>1</v>
      </c>
      <c r="K81" t="s">
        <v>15</v>
      </c>
      <c r="L81">
        <v>529</v>
      </c>
      <c r="M81">
        <v>59</v>
      </c>
      <c r="N81" t="str">
        <f t="shared" si="10"/>
        <v>Adults</v>
      </c>
      <c r="O81" t="s">
        <v>22</v>
      </c>
      <c r="P81" t="s">
        <v>4</v>
      </c>
    </row>
    <row r="82" spans="1:16" x14ac:dyDescent="0.25">
      <c r="A82">
        <v>3658545</v>
      </c>
      <c r="B82" t="s">
        <v>67</v>
      </c>
      <c r="C82" t="s">
        <v>75</v>
      </c>
      <c r="D82">
        <v>1.2</v>
      </c>
      <c r="E82" t="str">
        <f t="shared" si="6"/>
        <v>Poor</v>
      </c>
      <c r="F82" s="1">
        <v>45637.304166666669</v>
      </c>
      <c r="G82" s="1" t="str">
        <f t="shared" si="7"/>
        <v>Wednesday</v>
      </c>
      <c r="H82" s="1" t="str">
        <f t="shared" si="8"/>
        <v>December</v>
      </c>
      <c r="I82" s="1" t="str">
        <f t="shared" si="9"/>
        <v>2024</v>
      </c>
      <c r="J82" t="b">
        <v>0</v>
      </c>
      <c r="K82" t="s">
        <v>21</v>
      </c>
      <c r="L82">
        <v>1188</v>
      </c>
      <c r="M82">
        <v>73</v>
      </c>
      <c r="N82" t="str">
        <f t="shared" si="10"/>
        <v>Seniors</v>
      </c>
      <c r="O82" t="s">
        <v>72</v>
      </c>
      <c r="P82" t="s">
        <v>9</v>
      </c>
    </row>
    <row r="83" spans="1:16" x14ac:dyDescent="0.25">
      <c r="A83">
        <v>458318</v>
      </c>
      <c r="B83" t="s">
        <v>5</v>
      </c>
      <c r="C83" t="s">
        <v>38</v>
      </c>
      <c r="D83">
        <v>1.6</v>
      </c>
      <c r="E83" t="str">
        <f t="shared" si="6"/>
        <v>Poor</v>
      </c>
      <c r="F83" s="1">
        <v>45178.163194444445</v>
      </c>
      <c r="G83" s="1" t="str">
        <f t="shared" si="7"/>
        <v>Saturday</v>
      </c>
      <c r="H83" s="1" t="str">
        <f t="shared" si="8"/>
        <v>September</v>
      </c>
      <c r="I83" s="1" t="str">
        <f t="shared" si="9"/>
        <v>2023</v>
      </c>
      <c r="J83" t="b">
        <v>1</v>
      </c>
      <c r="K83" t="s">
        <v>15</v>
      </c>
      <c r="L83">
        <v>165</v>
      </c>
      <c r="M83">
        <v>44</v>
      </c>
      <c r="N83" t="str">
        <f t="shared" si="10"/>
        <v>Adults</v>
      </c>
      <c r="O83" t="s">
        <v>44</v>
      </c>
      <c r="P83" t="s">
        <v>4</v>
      </c>
    </row>
    <row r="84" spans="1:16" x14ac:dyDescent="0.25">
      <c r="A84">
        <v>6174006</v>
      </c>
      <c r="B84" t="s">
        <v>45</v>
      </c>
      <c r="C84" t="s">
        <v>29</v>
      </c>
      <c r="D84">
        <v>2.5</v>
      </c>
      <c r="E84" t="str">
        <f t="shared" si="6"/>
        <v>Good</v>
      </c>
      <c r="F84" s="1">
        <v>45537.521527777775</v>
      </c>
      <c r="G84" s="1" t="str">
        <f t="shared" si="7"/>
        <v>Monday</v>
      </c>
      <c r="H84" s="1" t="str">
        <f t="shared" si="8"/>
        <v>September</v>
      </c>
      <c r="I84" s="1" t="str">
        <f t="shared" si="9"/>
        <v>2024</v>
      </c>
      <c r="J84" t="b">
        <v>1</v>
      </c>
      <c r="K84" t="s">
        <v>7</v>
      </c>
      <c r="L84">
        <v>59</v>
      </c>
      <c r="M84">
        <v>68</v>
      </c>
      <c r="N84" t="str">
        <f t="shared" si="10"/>
        <v>Seniors</v>
      </c>
      <c r="O84" t="s">
        <v>55</v>
      </c>
      <c r="P84" t="s">
        <v>4</v>
      </c>
    </row>
    <row r="85" spans="1:16" x14ac:dyDescent="0.25">
      <c r="A85">
        <v>1929622</v>
      </c>
      <c r="B85" t="s">
        <v>84</v>
      </c>
      <c r="C85" t="s">
        <v>26</v>
      </c>
      <c r="D85">
        <v>3.1</v>
      </c>
      <c r="E85" t="str">
        <f t="shared" si="6"/>
        <v>Very Good</v>
      </c>
      <c r="F85" s="1">
        <v>45489.961111111108</v>
      </c>
      <c r="G85" s="1" t="str">
        <f t="shared" si="7"/>
        <v>Tuesday</v>
      </c>
      <c r="H85" s="1" t="str">
        <f t="shared" si="8"/>
        <v>July</v>
      </c>
      <c r="I85" s="1" t="str">
        <f t="shared" si="9"/>
        <v>2024</v>
      </c>
      <c r="J85" t="b">
        <v>1</v>
      </c>
      <c r="K85" t="s">
        <v>21</v>
      </c>
      <c r="L85">
        <v>195</v>
      </c>
      <c r="M85">
        <v>40</v>
      </c>
      <c r="N85" t="str">
        <f t="shared" si="10"/>
        <v>Adults</v>
      </c>
      <c r="O85" t="s">
        <v>55</v>
      </c>
      <c r="P85" t="s">
        <v>4</v>
      </c>
    </row>
    <row r="86" spans="1:16" x14ac:dyDescent="0.25">
      <c r="A86">
        <v>2217143</v>
      </c>
      <c r="B86" t="s">
        <v>61</v>
      </c>
      <c r="C86" t="s">
        <v>14</v>
      </c>
      <c r="D86">
        <v>1.4</v>
      </c>
      <c r="E86" t="str">
        <f t="shared" si="6"/>
        <v>Poor</v>
      </c>
      <c r="F86" s="1">
        <v>45212.73333333333</v>
      </c>
      <c r="G86" s="1" t="str">
        <f t="shared" si="7"/>
        <v>Friday</v>
      </c>
      <c r="H86" s="1" t="str">
        <f t="shared" si="8"/>
        <v>October</v>
      </c>
      <c r="I86" s="1" t="str">
        <f t="shared" si="9"/>
        <v>2023</v>
      </c>
      <c r="J86" t="b">
        <v>1</v>
      </c>
      <c r="K86" t="s">
        <v>2</v>
      </c>
      <c r="L86">
        <v>73</v>
      </c>
      <c r="M86">
        <v>48</v>
      </c>
      <c r="N86" t="str">
        <f t="shared" si="10"/>
        <v>Adults</v>
      </c>
      <c r="O86" t="s">
        <v>22</v>
      </c>
      <c r="P86" t="s">
        <v>9</v>
      </c>
    </row>
    <row r="87" spans="1:16" x14ac:dyDescent="0.25">
      <c r="A87">
        <v>9521856</v>
      </c>
      <c r="B87" t="s">
        <v>0</v>
      </c>
      <c r="C87" t="s">
        <v>43</v>
      </c>
      <c r="D87">
        <v>4</v>
      </c>
      <c r="E87" t="str">
        <f t="shared" si="6"/>
        <v>Very Good</v>
      </c>
      <c r="F87" s="1">
        <v>45362.286111111112</v>
      </c>
      <c r="G87" s="1" t="str">
        <f t="shared" si="7"/>
        <v>Monday</v>
      </c>
      <c r="H87" s="1" t="str">
        <f t="shared" si="8"/>
        <v>March</v>
      </c>
      <c r="I87" s="1" t="str">
        <f t="shared" si="9"/>
        <v>2024</v>
      </c>
      <c r="J87" t="b">
        <v>1</v>
      </c>
      <c r="K87" t="s">
        <v>2</v>
      </c>
      <c r="L87">
        <v>219</v>
      </c>
      <c r="M87">
        <v>29</v>
      </c>
      <c r="N87" t="str">
        <f t="shared" si="10"/>
        <v>Adults</v>
      </c>
      <c r="O87" t="s">
        <v>72</v>
      </c>
      <c r="P87" t="s">
        <v>4</v>
      </c>
    </row>
    <row r="88" spans="1:16" x14ac:dyDescent="0.25">
      <c r="A88">
        <v>5342022</v>
      </c>
      <c r="B88" t="s">
        <v>23</v>
      </c>
      <c r="C88" t="s">
        <v>1</v>
      </c>
      <c r="D88">
        <v>3.4</v>
      </c>
      <c r="E88" t="str">
        <f t="shared" si="6"/>
        <v>Very Good</v>
      </c>
      <c r="F88" s="1">
        <v>45615.45416666667</v>
      </c>
      <c r="G88" s="1" t="str">
        <f t="shared" si="7"/>
        <v>Tuesday</v>
      </c>
      <c r="H88" s="1" t="str">
        <f t="shared" si="8"/>
        <v>November</v>
      </c>
      <c r="I88" s="1" t="str">
        <f t="shared" si="9"/>
        <v>2024</v>
      </c>
      <c r="J88" t="b">
        <v>0</v>
      </c>
      <c r="K88" t="s">
        <v>21</v>
      </c>
      <c r="L88">
        <v>275</v>
      </c>
      <c r="M88">
        <v>74</v>
      </c>
      <c r="N88" t="str">
        <f t="shared" si="10"/>
        <v>Seniors</v>
      </c>
      <c r="O88" t="s">
        <v>59</v>
      </c>
      <c r="P88" t="s">
        <v>9</v>
      </c>
    </row>
    <row r="89" spans="1:16" x14ac:dyDescent="0.25">
      <c r="A89">
        <v>9440543</v>
      </c>
      <c r="B89" t="s">
        <v>82</v>
      </c>
      <c r="C89" t="s">
        <v>29</v>
      </c>
      <c r="D89">
        <v>4.5</v>
      </c>
      <c r="E89" t="str">
        <f t="shared" si="6"/>
        <v>Excellent</v>
      </c>
      <c r="F89" s="1">
        <v>45159.270138888889</v>
      </c>
      <c r="G89" s="1" t="str">
        <f t="shared" si="7"/>
        <v>Monday</v>
      </c>
      <c r="H89" s="1" t="str">
        <f t="shared" si="8"/>
        <v>August</v>
      </c>
      <c r="I89" s="1" t="str">
        <f t="shared" si="9"/>
        <v>2023</v>
      </c>
      <c r="J89" t="b">
        <v>1</v>
      </c>
      <c r="K89" t="s">
        <v>21</v>
      </c>
      <c r="L89">
        <v>787</v>
      </c>
      <c r="M89">
        <v>39</v>
      </c>
      <c r="N89" t="str">
        <f t="shared" si="10"/>
        <v>Adults</v>
      </c>
      <c r="O89" t="s">
        <v>72</v>
      </c>
      <c r="P89" t="s">
        <v>4</v>
      </c>
    </row>
    <row r="90" spans="1:16" x14ac:dyDescent="0.25">
      <c r="A90">
        <v>4587028</v>
      </c>
      <c r="B90" t="s">
        <v>5</v>
      </c>
      <c r="C90" t="s">
        <v>57</v>
      </c>
      <c r="D90">
        <v>2.2000000000000002</v>
      </c>
      <c r="E90" t="str">
        <f t="shared" si="6"/>
        <v>Good</v>
      </c>
      <c r="F90" s="1">
        <v>45161.366666666669</v>
      </c>
      <c r="G90" s="1" t="str">
        <f t="shared" si="7"/>
        <v>Wednesday</v>
      </c>
      <c r="H90" s="1" t="str">
        <f t="shared" si="8"/>
        <v>August</v>
      </c>
      <c r="I90" s="1" t="str">
        <f t="shared" si="9"/>
        <v>2023</v>
      </c>
      <c r="J90" t="b">
        <v>1</v>
      </c>
      <c r="K90" t="s">
        <v>7</v>
      </c>
      <c r="L90">
        <v>271</v>
      </c>
      <c r="M90">
        <v>75</v>
      </c>
      <c r="N90" t="str">
        <f t="shared" si="10"/>
        <v>Seniors</v>
      </c>
      <c r="O90" t="s">
        <v>37</v>
      </c>
      <c r="P90" t="s">
        <v>4</v>
      </c>
    </row>
    <row r="91" spans="1:16" x14ac:dyDescent="0.25">
      <c r="A91">
        <v>2740889</v>
      </c>
      <c r="B91" t="s">
        <v>51</v>
      </c>
      <c r="C91" t="s">
        <v>85</v>
      </c>
      <c r="D91">
        <v>4.0999999999999996</v>
      </c>
      <c r="E91" t="str">
        <f t="shared" si="6"/>
        <v>Excellent</v>
      </c>
      <c r="F91" s="1">
        <v>45426.306944444441</v>
      </c>
      <c r="G91" s="1" t="str">
        <f t="shared" si="7"/>
        <v>Tuesday</v>
      </c>
      <c r="H91" s="1" t="str">
        <f t="shared" si="8"/>
        <v>May</v>
      </c>
      <c r="I91" s="1" t="str">
        <f t="shared" si="9"/>
        <v>2024</v>
      </c>
      <c r="J91" t="b">
        <v>1</v>
      </c>
      <c r="K91" t="s">
        <v>15</v>
      </c>
      <c r="L91">
        <v>602</v>
      </c>
      <c r="M91">
        <v>41</v>
      </c>
      <c r="N91" t="str">
        <f t="shared" si="10"/>
        <v>Adults</v>
      </c>
      <c r="O91" t="s">
        <v>39</v>
      </c>
      <c r="P91" t="s">
        <v>9</v>
      </c>
    </row>
    <row r="92" spans="1:16" x14ac:dyDescent="0.25">
      <c r="A92">
        <v>7516270</v>
      </c>
      <c r="B92" t="s">
        <v>82</v>
      </c>
      <c r="C92" t="s">
        <v>34</v>
      </c>
      <c r="D92">
        <v>4.9000000000000004</v>
      </c>
      <c r="E92" t="str">
        <f t="shared" si="6"/>
        <v>Excellent</v>
      </c>
      <c r="F92" s="1">
        <v>45460.584027777775</v>
      </c>
      <c r="G92" s="1" t="str">
        <f t="shared" si="7"/>
        <v>Monday</v>
      </c>
      <c r="H92" s="1" t="str">
        <f t="shared" si="8"/>
        <v>June</v>
      </c>
      <c r="I92" s="1" t="str">
        <f t="shared" si="9"/>
        <v>2024</v>
      </c>
      <c r="J92" t="b">
        <v>1</v>
      </c>
      <c r="K92" t="s">
        <v>21</v>
      </c>
      <c r="L92">
        <v>1092</v>
      </c>
      <c r="M92">
        <v>13</v>
      </c>
      <c r="N92" t="str">
        <f t="shared" si="10"/>
        <v>Teenagers</v>
      </c>
      <c r="O92" t="s">
        <v>24</v>
      </c>
      <c r="P92" t="s">
        <v>9</v>
      </c>
    </row>
    <row r="93" spans="1:16" x14ac:dyDescent="0.25">
      <c r="A93">
        <v>8264342</v>
      </c>
      <c r="B93" t="s">
        <v>17</v>
      </c>
      <c r="C93" t="s">
        <v>11</v>
      </c>
      <c r="D93">
        <v>2.7</v>
      </c>
      <c r="E93" t="str">
        <f t="shared" si="6"/>
        <v>Good</v>
      </c>
      <c r="F93" s="1">
        <v>45473.37777777778</v>
      </c>
      <c r="G93" s="1" t="str">
        <f t="shared" si="7"/>
        <v>Sunday</v>
      </c>
      <c r="H93" s="1" t="str">
        <f t="shared" si="8"/>
        <v>June</v>
      </c>
      <c r="I93" s="1" t="str">
        <f t="shared" si="9"/>
        <v>2024</v>
      </c>
      <c r="J93" t="b">
        <v>1</v>
      </c>
      <c r="K93" t="s">
        <v>21</v>
      </c>
      <c r="L93">
        <v>291</v>
      </c>
      <c r="M93">
        <v>23</v>
      </c>
      <c r="N93" t="str">
        <f t="shared" si="10"/>
        <v>Adults</v>
      </c>
      <c r="O93" t="s">
        <v>39</v>
      </c>
      <c r="P93" t="s">
        <v>4</v>
      </c>
    </row>
    <row r="94" spans="1:16" x14ac:dyDescent="0.25">
      <c r="A94">
        <v>2267376</v>
      </c>
      <c r="B94" t="s">
        <v>45</v>
      </c>
      <c r="C94" t="s">
        <v>31</v>
      </c>
      <c r="D94">
        <v>3.3</v>
      </c>
      <c r="E94" t="str">
        <f t="shared" si="6"/>
        <v>Very Good</v>
      </c>
      <c r="F94" s="1">
        <v>45434.193749999999</v>
      </c>
      <c r="G94" s="1" t="str">
        <f t="shared" si="7"/>
        <v>Wednesday</v>
      </c>
      <c r="H94" s="1" t="str">
        <f t="shared" si="8"/>
        <v>May</v>
      </c>
      <c r="I94" s="1" t="str">
        <f t="shared" si="9"/>
        <v>2024</v>
      </c>
      <c r="J94" t="b">
        <v>1</v>
      </c>
      <c r="K94" t="s">
        <v>7</v>
      </c>
      <c r="L94">
        <v>731</v>
      </c>
      <c r="M94">
        <v>21</v>
      </c>
      <c r="N94" t="str">
        <f t="shared" si="10"/>
        <v>Adults</v>
      </c>
      <c r="O94" t="s">
        <v>55</v>
      </c>
      <c r="P94" t="s">
        <v>4</v>
      </c>
    </row>
    <row r="95" spans="1:16" x14ac:dyDescent="0.25">
      <c r="A95">
        <v>6041939</v>
      </c>
      <c r="B95" t="s">
        <v>61</v>
      </c>
      <c r="C95" t="s">
        <v>47</v>
      </c>
      <c r="D95">
        <v>4.4000000000000004</v>
      </c>
      <c r="E95" t="str">
        <f t="shared" si="6"/>
        <v>Excellent</v>
      </c>
      <c r="F95" s="1">
        <v>45194.86041666667</v>
      </c>
      <c r="G95" s="1" t="str">
        <f t="shared" si="7"/>
        <v>Monday</v>
      </c>
      <c r="H95" s="1" t="str">
        <f t="shared" si="8"/>
        <v>September</v>
      </c>
      <c r="I95" s="1" t="str">
        <f t="shared" si="9"/>
        <v>2023</v>
      </c>
      <c r="J95" t="b">
        <v>1</v>
      </c>
      <c r="K95" t="s">
        <v>15</v>
      </c>
      <c r="L95">
        <v>1103</v>
      </c>
      <c r="M95">
        <v>25</v>
      </c>
      <c r="N95" t="str">
        <f t="shared" si="10"/>
        <v>Adults</v>
      </c>
      <c r="O95" t="s">
        <v>86</v>
      </c>
      <c r="P95" t="s">
        <v>9</v>
      </c>
    </row>
    <row r="96" spans="1:16" x14ac:dyDescent="0.25">
      <c r="A96">
        <v>7107741</v>
      </c>
      <c r="B96" t="s">
        <v>88</v>
      </c>
      <c r="C96" t="s">
        <v>1</v>
      </c>
      <c r="D96">
        <v>1.8</v>
      </c>
      <c r="E96" t="str">
        <f t="shared" si="6"/>
        <v>Poor</v>
      </c>
      <c r="F96" s="1">
        <v>45363.750694444447</v>
      </c>
      <c r="G96" s="1" t="str">
        <f t="shared" si="7"/>
        <v>Tuesday</v>
      </c>
      <c r="H96" s="1" t="str">
        <f t="shared" si="8"/>
        <v>March</v>
      </c>
      <c r="I96" s="1" t="str">
        <f t="shared" si="9"/>
        <v>2024</v>
      </c>
      <c r="J96" t="b">
        <v>1</v>
      </c>
      <c r="K96" t="s">
        <v>15</v>
      </c>
      <c r="L96">
        <v>841</v>
      </c>
      <c r="M96">
        <v>14</v>
      </c>
      <c r="N96" t="str">
        <f t="shared" si="10"/>
        <v>Teenagers</v>
      </c>
      <c r="O96" t="s">
        <v>12</v>
      </c>
      <c r="P96" t="s">
        <v>9</v>
      </c>
    </row>
    <row r="97" spans="1:16" x14ac:dyDescent="0.25">
      <c r="A97">
        <v>2983553</v>
      </c>
      <c r="B97" t="s">
        <v>30</v>
      </c>
      <c r="C97" t="s">
        <v>29</v>
      </c>
      <c r="D97">
        <v>1.9</v>
      </c>
      <c r="E97" t="str">
        <f t="shared" si="6"/>
        <v>Poor</v>
      </c>
      <c r="F97" s="1">
        <v>45252.624305555553</v>
      </c>
      <c r="G97" s="1" t="str">
        <f t="shared" si="7"/>
        <v>Wednesday</v>
      </c>
      <c r="H97" s="1" t="str">
        <f t="shared" si="8"/>
        <v>November</v>
      </c>
      <c r="I97" s="1" t="str">
        <f t="shared" si="9"/>
        <v>2023</v>
      </c>
      <c r="J97" t="b">
        <v>1</v>
      </c>
      <c r="K97" t="s">
        <v>2</v>
      </c>
      <c r="L97">
        <v>270</v>
      </c>
      <c r="M97">
        <v>19</v>
      </c>
      <c r="N97" t="str">
        <f t="shared" si="10"/>
        <v>Adults</v>
      </c>
      <c r="O97" t="s">
        <v>66</v>
      </c>
      <c r="P97" t="s">
        <v>4</v>
      </c>
    </row>
    <row r="98" spans="1:16" x14ac:dyDescent="0.25">
      <c r="A98">
        <v>8389908</v>
      </c>
      <c r="B98" t="s">
        <v>28</v>
      </c>
      <c r="C98" t="s">
        <v>31</v>
      </c>
      <c r="D98">
        <v>2.4</v>
      </c>
      <c r="E98" t="str">
        <f t="shared" si="6"/>
        <v>Good</v>
      </c>
      <c r="F98" s="1">
        <v>45499.240972222222</v>
      </c>
      <c r="G98" s="1" t="str">
        <f t="shared" si="7"/>
        <v>Friday</v>
      </c>
      <c r="H98" s="1" t="str">
        <f t="shared" si="8"/>
        <v>July</v>
      </c>
      <c r="I98" s="1" t="str">
        <f t="shared" si="9"/>
        <v>2024</v>
      </c>
      <c r="J98" t="b">
        <v>0</v>
      </c>
      <c r="K98" t="s">
        <v>2</v>
      </c>
      <c r="L98">
        <v>282</v>
      </c>
      <c r="M98">
        <v>67</v>
      </c>
      <c r="N98" t="str">
        <f t="shared" si="10"/>
        <v>Seniors</v>
      </c>
      <c r="O98" t="s">
        <v>55</v>
      </c>
      <c r="P98" t="s">
        <v>9</v>
      </c>
    </row>
    <row r="99" spans="1:16" x14ac:dyDescent="0.25">
      <c r="A99">
        <v>9557911</v>
      </c>
      <c r="B99" t="s">
        <v>76</v>
      </c>
      <c r="C99" t="s">
        <v>18</v>
      </c>
      <c r="D99">
        <v>4.3</v>
      </c>
      <c r="E99" t="str">
        <f t="shared" si="6"/>
        <v>Excellent</v>
      </c>
      <c r="F99" s="1">
        <v>45729.091666666667</v>
      </c>
      <c r="G99" s="1" t="str">
        <f t="shared" si="7"/>
        <v>Thursday</v>
      </c>
      <c r="H99" s="1" t="str">
        <f t="shared" si="8"/>
        <v>March</v>
      </c>
      <c r="I99" s="1" t="str">
        <f t="shared" si="9"/>
        <v>2025</v>
      </c>
      <c r="J99" t="b">
        <v>1</v>
      </c>
      <c r="K99" t="s">
        <v>2</v>
      </c>
      <c r="L99">
        <v>1229</v>
      </c>
      <c r="M99">
        <v>40</v>
      </c>
      <c r="N99" t="str">
        <f t="shared" si="10"/>
        <v>Adults</v>
      </c>
      <c r="O99" t="s">
        <v>3</v>
      </c>
      <c r="P99" t="s">
        <v>9</v>
      </c>
    </row>
    <row r="100" spans="1:16" x14ac:dyDescent="0.25">
      <c r="A100">
        <v>9836311</v>
      </c>
      <c r="B100" t="s">
        <v>52</v>
      </c>
      <c r="C100" t="s">
        <v>36</v>
      </c>
      <c r="D100">
        <v>4.3</v>
      </c>
      <c r="E100" t="str">
        <f t="shared" si="6"/>
        <v>Excellent</v>
      </c>
      <c r="F100" s="1">
        <v>45569.428472222222</v>
      </c>
      <c r="G100" s="1" t="str">
        <f t="shared" si="7"/>
        <v>Friday</v>
      </c>
      <c r="H100" s="1" t="str">
        <f t="shared" si="8"/>
        <v>October</v>
      </c>
      <c r="I100" s="1" t="str">
        <f t="shared" si="9"/>
        <v>2024</v>
      </c>
      <c r="J100" t="b">
        <v>0</v>
      </c>
      <c r="K100" t="s">
        <v>7</v>
      </c>
      <c r="L100">
        <v>319</v>
      </c>
      <c r="M100">
        <v>62</v>
      </c>
      <c r="N100" t="str">
        <f t="shared" ref="N100:N129" si="11">IF(M100&lt;=17,"Teenagers", IF(AND(M100&gt;=18,M100&lt;61),"Adults",IF(M100&gt;60,"Seniors")))</f>
        <v>Seniors</v>
      </c>
      <c r="O100" t="s">
        <v>48</v>
      </c>
      <c r="P100" t="s">
        <v>9</v>
      </c>
    </row>
    <row r="101" spans="1:16" x14ac:dyDescent="0.25">
      <c r="A101">
        <v>4846166</v>
      </c>
      <c r="B101" t="s">
        <v>73</v>
      </c>
      <c r="C101" t="s">
        <v>18</v>
      </c>
      <c r="D101">
        <v>4.4000000000000004</v>
      </c>
      <c r="E101" t="str">
        <f t="shared" si="6"/>
        <v>Excellent</v>
      </c>
      <c r="F101" s="1">
        <v>45439.793055555558</v>
      </c>
      <c r="G101" s="1" t="str">
        <f t="shared" si="7"/>
        <v>Monday</v>
      </c>
      <c r="H101" s="1" t="str">
        <f t="shared" si="8"/>
        <v>May</v>
      </c>
      <c r="I101" s="1" t="str">
        <f t="shared" si="9"/>
        <v>2024</v>
      </c>
      <c r="J101" t="b">
        <v>1</v>
      </c>
      <c r="K101" t="s">
        <v>7</v>
      </c>
      <c r="L101">
        <v>923</v>
      </c>
      <c r="M101">
        <v>24</v>
      </c>
      <c r="N101" t="str">
        <f t="shared" si="11"/>
        <v>Adults</v>
      </c>
      <c r="O101" t="s">
        <v>19</v>
      </c>
      <c r="P101" t="s">
        <v>4</v>
      </c>
    </row>
    <row r="102" spans="1:16" x14ac:dyDescent="0.25">
      <c r="A102">
        <v>978547</v>
      </c>
      <c r="B102" t="s">
        <v>80</v>
      </c>
      <c r="C102" t="s">
        <v>38</v>
      </c>
      <c r="D102">
        <v>3.2</v>
      </c>
      <c r="E102" t="str">
        <f t="shared" si="6"/>
        <v>Very Good</v>
      </c>
      <c r="F102" s="1">
        <v>45648.450694444444</v>
      </c>
      <c r="G102" s="1" t="str">
        <f t="shared" si="7"/>
        <v>Sunday</v>
      </c>
      <c r="H102" s="1" t="str">
        <f t="shared" si="8"/>
        <v>December</v>
      </c>
      <c r="I102" s="1" t="str">
        <f t="shared" si="9"/>
        <v>2024</v>
      </c>
      <c r="J102" t="b">
        <v>0</v>
      </c>
      <c r="K102" t="s">
        <v>7</v>
      </c>
      <c r="L102">
        <v>704</v>
      </c>
      <c r="M102">
        <v>14</v>
      </c>
      <c r="N102" t="str">
        <f t="shared" si="11"/>
        <v>Teenagers</v>
      </c>
      <c r="O102" t="s">
        <v>53</v>
      </c>
      <c r="P102" t="s">
        <v>9</v>
      </c>
    </row>
    <row r="103" spans="1:16" x14ac:dyDescent="0.25">
      <c r="A103">
        <v>6675963</v>
      </c>
      <c r="B103" t="s">
        <v>33</v>
      </c>
      <c r="C103" t="s">
        <v>29</v>
      </c>
      <c r="D103">
        <v>2.5</v>
      </c>
      <c r="E103" t="str">
        <f t="shared" si="6"/>
        <v>Good</v>
      </c>
      <c r="F103" s="1">
        <v>45239.037499999999</v>
      </c>
      <c r="G103" s="1" t="str">
        <f t="shared" si="7"/>
        <v>Thursday</v>
      </c>
      <c r="H103" s="1" t="str">
        <f t="shared" si="8"/>
        <v>November</v>
      </c>
      <c r="I103" s="1" t="str">
        <f t="shared" si="9"/>
        <v>2023</v>
      </c>
      <c r="J103" t="b">
        <v>1</v>
      </c>
      <c r="K103" t="s">
        <v>7</v>
      </c>
      <c r="L103">
        <v>949</v>
      </c>
      <c r="M103">
        <v>53</v>
      </c>
      <c r="N103" t="str">
        <f t="shared" si="11"/>
        <v>Adults</v>
      </c>
      <c r="O103" t="s">
        <v>81</v>
      </c>
      <c r="P103" t="s">
        <v>4</v>
      </c>
    </row>
    <row r="104" spans="1:16" x14ac:dyDescent="0.25">
      <c r="A104">
        <v>6419630</v>
      </c>
      <c r="B104" t="s">
        <v>40</v>
      </c>
      <c r="C104" t="s">
        <v>63</v>
      </c>
      <c r="D104">
        <v>3.2</v>
      </c>
      <c r="E104" t="str">
        <f t="shared" si="6"/>
        <v>Very Good</v>
      </c>
      <c r="F104" s="1">
        <v>45638.693749999999</v>
      </c>
      <c r="G104" s="1" t="str">
        <f t="shared" si="7"/>
        <v>Thursday</v>
      </c>
      <c r="H104" s="1" t="str">
        <f t="shared" si="8"/>
        <v>December</v>
      </c>
      <c r="I104" s="1" t="str">
        <f t="shared" si="9"/>
        <v>2024</v>
      </c>
      <c r="J104" t="b">
        <v>1</v>
      </c>
      <c r="K104" t="s">
        <v>58</v>
      </c>
      <c r="L104">
        <v>813</v>
      </c>
      <c r="M104">
        <v>46</v>
      </c>
      <c r="N104" t="str">
        <f t="shared" si="11"/>
        <v>Adults</v>
      </c>
      <c r="O104" t="s">
        <v>3</v>
      </c>
      <c r="P104" t="s">
        <v>9</v>
      </c>
    </row>
    <row r="105" spans="1:16" x14ac:dyDescent="0.25">
      <c r="A105">
        <v>8931414</v>
      </c>
      <c r="B105" t="s">
        <v>0</v>
      </c>
      <c r="C105" t="s">
        <v>75</v>
      </c>
      <c r="D105">
        <v>2.2000000000000002</v>
      </c>
      <c r="E105" t="str">
        <f t="shared" si="6"/>
        <v>Good</v>
      </c>
      <c r="F105" s="1">
        <v>45211.465277777781</v>
      </c>
      <c r="G105" s="1" t="str">
        <f t="shared" si="7"/>
        <v>Thursday</v>
      </c>
      <c r="H105" s="1" t="str">
        <f t="shared" si="8"/>
        <v>October</v>
      </c>
      <c r="I105" s="1" t="str">
        <f t="shared" si="9"/>
        <v>2023</v>
      </c>
      <c r="J105" t="b">
        <v>0</v>
      </c>
      <c r="K105" t="s">
        <v>2</v>
      </c>
      <c r="L105">
        <v>532</v>
      </c>
      <c r="M105">
        <v>22</v>
      </c>
      <c r="N105" t="str">
        <f t="shared" si="11"/>
        <v>Adults</v>
      </c>
      <c r="O105" t="s">
        <v>65</v>
      </c>
      <c r="P105" t="s">
        <v>9</v>
      </c>
    </row>
    <row r="106" spans="1:16" x14ac:dyDescent="0.25">
      <c r="A106">
        <v>1394615</v>
      </c>
      <c r="B106" t="s">
        <v>51</v>
      </c>
      <c r="C106" t="s">
        <v>14</v>
      </c>
      <c r="D106">
        <v>2.7</v>
      </c>
      <c r="E106" t="str">
        <f t="shared" si="6"/>
        <v>Good</v>
      </c>
      <c r="F106" s="1">
        <v>45368.626388888886</v>
      </c>
      <c r="G106" s="1" t="str">
        <f t="shared" si="7"/>
        <v>Sunday</v>
      </c>
      <c r="H106" s="1" t="str">
        <f t="shared" si="8"/>
        <v>March</v>
      </c>
      <c r="I106" s="1" t="str">
        <f t="shared" si="9"/>
        <v>2024</v>
      </c>
      <c r="J106" t="b">
        <v>1</v>
      </c>
      <c r="K106" t="s">
        <v>58</v>
      </c>
      <c r="L106">
        <v>373</v>
      </c>
      <c r="M106">
        <v>21</v>
      </c>
      <c r="N106" t="str">
        <f t="shared" si="11"/>
        <v>Adults</v>
      </c>
      <c r="O106" t="s">
        <v>65</v>
      </c>
      <c r="P106" t="s">
        <v>9</v>
      </c>
    </row>
    <row r="107" spans="1:16" x14ac:dyDescent="0.25">
      <c r="A107">
        <v>8617619</v>
      </c>
      <c r="B107" t="s">
        <v>69</v>
      </c>
      <c r="C107" t="s">
        <v>20</v>
      </c>
      <c r="D107">
        <v>2.8</v>
      </c>
      <c r="E107" t="str">
        <f t="shared" si="6"/>
        <v>Good</v>
      </c>
      <c r="F107" s="1">
        <v>45737.634027777778</v>
      </c>
      <c r="G107" s="1" t="str">
        <f t="shared" si="7"/>
        <v>Friday</v>
      </c>
      <c r="H107" s="1" t="str">
        <f t="shared" si="8"/>
        <v>March</v>
      </c>
      <c r="I107" s="1" t="str">
        <f t="shared" si="9"/>
        <v>2025</v>
      </c>
      <c r="J107" t="b">
        <v>1</v>
      </c>
      <c r="K107" t="s">
        <v>58</v>
      </c>
      <c r="L107">
        <v>476</v>
      </c>
      <c r="M107">
        <v>18</v>
      </c>
      <c r="N107" t="str">
        <f t="shared" si="11"/>
        <v>Adults</v>
      </c>
      <c r="O107" t="s">
        <v>81</v>
      </c>
      <c r="P107" t="s">
        <v>9</v>
      </c>
    </row>
    <row r="108" spans="1:16" x14ac:dyDescent="0.25">
      <c r="A108">
        <v>5749968</v>
      </c>
      <c r="B108" t="s">
        <v>61</v>
      </c>
      <c r="C108" t="s">
        <v>6</v>
      </c>
      <c r="D108">
        <v>2.6</v>
      </c>
      <c r="E108" t="str">
        <f t="shared" si="6"/>
        <v>Good</v>
      </c>
      <c r="F108" s="1">
        <v>45819.592361111114</v>
      </c>
      <c r="G108" s="1" t="str">
        <f t="shared" si="7"/>
        <v>Wednesday</v>
      </c>
      <c r="H108" s="1" t="str">
        <f t="shared" si="8"/>
        <v>June</v>
      </c>
      <c r="I108" s="1" t="str">
        <f t="shared" si="9"/>
        <v>2025</v>
      </c>
      <c r="J108" t="b">
        <v>0</v>
      </c>
      <c r="K108" t="s">
        <v>7</v>
      </c>
      <c r="L108">
        <v>661</v>
      </c>
      <c r="M108">
        <v>23</v>
      </c>
      <c r="N108" t="str">
        <f t="shared" si="11"/>
        <v>Adults</v>
      </c>
      <c r="O108" t="s">
        <v>24</v>
      </c>
      <c r="P108" t="s">
        <v>9</v>
      </c>
    </row>
    <row r="109" spans="1:16" x14ac:dyDescent="0.25">
      <c r="A109">
        <v>2877286</v>
      </c>
      <c r="B109" t="s">
        <v>52</v>
      </c>
      <c r="C109" t="s">
        <v>26</v>
      </c>
      <c r="D109">
        <v>3.2</v>
      </c>
      <c r="E109" t="str">
        <f t="shared" si="6"/>
        <v>Very Good</v>
      </c>
      <c r="F109" s="1">
        <v>45761.234027777777</v>
      </c>
      <c r="G109" s="1" t="str">
        <f t="shared" si="7"/>
        <v>Monday</v>
      </c>
      <c r="H109" s="1" t="str">
        <f t="shared" si="8"/>
        <v>April</v>
      </c>
      <c r="I109" s="1" t="str">
        <f t="shared" si="9"/>
        <v>2025</v>
      </c>
      <c r="J109" t="b">
        <v>1</v>
      </c>
      <c r="K109" t="s">
        <v>21</v>
      </c>
      <c r="L109">
        <v>1003</v>
      </c>
      <c r="M109">
        <v>25</v>
      </c>
      <c r="N109" t="str">
        <f t="shared" si="11"/>
        <v>Adults</v>
      </c>
      <c r="O109" t="s">
        <v>19</v>
      </c>
      <c r="P109" t="s">
        <v>4</v>
      </c>
    </row>
    <row r="110" spans="1:16" x14ac:dyDescent="0.25">
      <c r="A110">
        <v>2421942</v>
      </c>
      <c r="B110" t="s">
        <v>28</v>
      </c>
      <c r="C110" t="s">
        <v>29</v>
      </c>
      <c r="D110">
        <v>1</v>
      </c>
      <c r="E110" t="str">
        <f t="shared" si="6"/>
        <v>Poor</v>
      </c>
      <c r="F110" s="1">
        <v>45846.088194444441</v>
      </c>
      <c r="G110" s="1" t="str">
        <f t="shared" si="7"/>
        <v>Tuesday</v>
      </c>
      <c r="H110" s="1" t="str">
        <f t="shared" si="8"/>
        <v>July</v>
      </c>
      <c r="I110" s="1" t="str">
        <f t="shared" si="9"/>
        <v>2025</v>
      </c>
      <c r="J110" t="b">
        <v>1</v>
      </c>
      <c r="K110" t="s">
        <v>21</v>
      </c>
      <c r="L110">
        <v>776</v>
      </c>
      <c r="M110">
        <v>59</v>
      </c>
      <c r="N110" t="str">
        <f t="shared" si="11"/>
        <v>Adults</v>
      </c>
      <c r="O110" t="s">
        <v>39</v>
      </c>
      <c r="P110" t="s">
        <v>9</v>
      </c>
    </row>
    <row r="111" spans="1:16" x14ac:dyDescent="0.25">
      <c r="A111">
        <v>547451</v>
      </c>
      <c r="B111" t="s">
        <v>52</v>
      </c>
      <c r="C111" t="s">
        <v>1</v>
      </c>
      <c r="D111">
        <v>1.2</v>
      </c>
      <c r="E111" t="str">
        <f t="shared" si="6"/>
        <v>Poor</v>
      </c>
      <c r="F111" s="1">
        <v>45461.138194444444</v>
      </c>
      <c r="G111" s="1" t="str">
        <f t="shared" si="7"/>
        <v>Tuesday</v>
      </c>
      <c r="H111" s="1" t="str">
        <f t="shared" si="8"/>
        <v>June</v>
      </c>
      <c r="I111" s="1" t="str">
        <f t="shared" si="9"/>
        <v>2024</v>
      </c>
      <c r="J111" t="b">
        <v>1</v>
      </c>
      <c r="K111" t="s">
        <v>15</v>
      </c>
      <c r="L111">
        <v>1240</v>
      </c>
      <c r="M111">
        <v>58</v>
      </c>
      <c r="N111" t="str">
        <f t="shared" si="11"/>
        <v>Adults</v>
      </c>
      <c r="O111" t="s">
        <v>3</v>
      </c>
      <c r="P111" t="s">
        <v>9</v>
      </c>
    </row>
    <row r="112" spans="1:16" x14ac:dyDescent="0.25">
      <c r="A112">
        <v>803065</v>
      </c>
      <c r="B112" t="s">
        <v>74</v>
      </c>
      <c r="C112" t="s">
        <v>20</v>
      </c>
      <c r="D112">
        <v>2.2000000000000002</v>
      </c>
      <c r="E112" t="str">
        <f t="shared" si="6"/>
        <v>Good</v>
      </c>
      <c r="F112" s="1">
        <v>45384.008333333331</v>
      </c>
      <c r="G112" s="1" t="str">
        <f t="shared" si="7"/>
        <v>Tuesday</v>
      </c>
      <c r="H112" s="1" t="str">
        <f t="shared" si="8"/>
        <v>April</v>
      </c>
      <c r="I112" s="1" t="str">
        <f t="shared" si="9"/>
        <v>2024</v>
      </c>
      <c r="J112" t="b">
        <v>1</v>
      </c>
      <c r="K112" t="s">
        <v>2</v>
      </c>
      <c r="L112">
        <v>303</v>
      </c>
      <c r="M112">
        <v>21</v>
      </c>
      <c r="N112" t="str">
        <f t="shared" si="11"/>
        <v>Adults</v>
      </c>
      <c r="O112" t="s">
        <v>44</v>
      </c>
      <c r="P112" t="s">
        <v>9</v>
      </c>
    </row>
    <row r="113" spans="1:16" x14ac:dyDescent="0.25">
      <c r="A113">
        <v>902018</v>
      </c>
      <c r="B113" t="s">
        <v>83</v>
      </c>
      <c r="C113" t="s">
        <v>26</v>
      </c>
      <c r="D113">
        <v>1.8</v>
      </c>
      <c r="E113" t="str">
        <f t="shared" si="6"/>
        <v>Poor</v>
      </c>
      <c r="F113" s="1">
        <v>45811.363194444442</v>
      </c>
      <c r="G113" s="1" t="str">
        <f t="shared" si="7"/>
        <v>Tuesday</v>
      </c>
      <c r="H113" s="1" t="str">
        <f t="shared" si="8"/>
        <v>June</v>
      </c>
      <c r="I113" s="1" t="str">
        <f t="shared" si="9"/>
        <v>2025</v>
      </c>
      <c r="J113" t="b">
        <v>0</v>
      </c>
      <c r="K113" t="s">
        <v>21</v>
      </c>
      <c r="L113">
        <v>555</v>
      </c>
      <c r="M113">
        <v>16</v>
      </c>
      <c r="N113" t="str">
        <f t="shared" si="11"/>
        <v>Teenagers</v>
      </c>
      <c r="O113" t="s">
        <v>42</v>
      </c>
      <c r="P113" t="s">
        <v>9</v>
      </c>
    </row>
    <row r="114" spans="1:16" x14ac:dyDescent="0.25">
      <c r="A114">
        <v>3127557</v>
      </c>
      <c r="B114" t="s">
        <v>13</v>
      </c>
      <c r="C114" t="s">
        <v>6</v>
      </c>
      <c r="D114">
        <v>4.5</v>
      </c>
      <c r="E114" t="str">
        <f t="shared" si="6"/>
        <v>Excellent</v>
      </c>
      <c r="F114" s="1">
        <v>45666.591666666667</v>
      </c>
      <c r="G114" s="1" t="str">
        <f t="shared" si="7"/>
        <v>Thursday</v>
      </c>
      <c r="H114" s="1" t="str">
        <f t="shared" si="8"/>
        <v>January</v>
      </c>
      <c r="I114" s="1" t="str">
        <f t="shared" si="9"/>
        <v>2025</v>
      </c>
      <c r="J114" t="b">
        <v>1</v>
      </c>
      <c r="K114" t="s">
        <v>15</v>
      </c>
      <c r="L114">
        <v>854</v>
      </c>
      <c r="M114">
        <v>28</v>
      </c>
      <c r="N114" t="str">
        <f t="shared" si="11"/>
        <v>Adults</v>
      </c>
      <c r="O114" t="s">
        <v>19</v>
      </c>
      <c r="P114" t="s">
        <v>4</v>
      </c>
    </row>
    <row r="115" spans="1:16" x14ac:dyDescent="0.25">
      <c r="A115">
        <v>4071774</v>
      </c>
      <c r="B115" t="s">
        <v>17</v>
      </c>
      <c r="C115" t="s">
        <v>20</v>
      </c>
      <c r="D115">
        <v>3.5</v>
      </c>
      <c r="E115" t="str">
        <f t="shared" si="6"/>
        <v>Very Good</v>
      </c>
      <c r="F115" s="1">
        <v>45752.779166666667</v>
      </c>
      <c r="G115" s="1" t="str">
        <f t="shared" si="7"/>
        <v>Saturday</v>
      </c>
      <c r="H115" s="1" t="str">
        <f t="shared" si="8"/>
        <v>April</v>
      </c>
      <c r="I115" s="1" t="str">
        <f t="shared" si="9"/>
        <v>2025</v>
      </c>
      <c r="J115" t="b">
        <v>1</v>
      </c>
      <c r="K115" t="s">
        <v>58</v>
      </c>
      <c r="L115">
        <v>269</v>
      </c>
      <c r="M115">
        <v>74</v>
      </c>
      <c r="N115" t="str">
        <f t="shared" si="11"/>
        <v>Seniors</v>
      </c>
      <c r="O115" t="s">
        <v>68</v>
      </c>
      <c r="P115" t="s">
        <v>9</v>
      </c>
    </row>
    <row r="116" spans="1:16" x14ac:dyDescent="0.25">
      <c r="A116">
        <v>5513349</v>
      </c>
      <c r="B116" t="s">
        <v>51</v>
      </c>
      <c r="C116" t="s">
        <v>14</v>
      </c>
      <c r="D116">
        <v>2.4</v>
      </c>
      <c r="E116" t="str">
        <f t="shared" si="6"/>
        <v>Good</v>
      </c>
      <c r="F116" s="1">
        <v>45576.652777777781</v>
      </c>
      <c r="G116" s="1" t="str">
        <f t="shared" si="7"/>
        <v>Friday</v>
      </c>
      <c r="H116" s="1" t="str">
        <f t="shared" si="8"/>
        <v>October</v>
      </c>
      <c r="I116" s="1" t="str">
        <f t="shared" si="9"/>
        <v>2024</v>
      </c>
      <c r="J116" t="b">
        <v>1</v>
      </c>
      <c r="K116" t="s">
        <v>21</v>
      </c>
      <c r="L116">
        <v>59</v>
      </c>
      <c r="M116">
        <v>66</v>
      </c>
      <c r="N116" t="str">
        <f t="shared" si="11"/>
        <v>Seniors</v>
      </c>
      <c r="O116" t="s">
        <v>39</v>
      </c>
      <c r="P116" t="s">
        <v>4</v>
      </c>
    </row>
    <row r="117" spans="1:16" x14ac:dyDescent="0.25">
      <c r="A117">
        <v>5457240</v>
      </c>
      <c r="B117" t="s">
        <v>67</v>
      </c>
      <c r="C117" t="s">
        <v>85</v>
      </c>
      <c r="D117">
        <v>2.8</v>
      </c>
      <c r="E117" t="str">
        <f t="shared" si="6"/>
        <v>Good</v>
      </c>
      <c r="F117" s="1">
        <v>45346.629166666666</v>
      </c>
      <c r="G117" s="1" t="str">
        <f t="shared" si="7"/>
        <v>Saturday</v>
      </c>
      <c r="H117" s="1" t="str">
        <f t="shared" si="8"/>
        <v>February</v>
      </c>
      <c r="I117" s="1" t="str">
        <f t="shared" si="9"/>
        <v>2024</v>
      </c>
      <c r="J117" t="b">
        <v>1</v>
      </c>
      <c r="K117" t="s">
        <v>58</v>
      </c>
      <c r="L117">
        <v>988</v>
      </c>
      <c r="M117">
        <v>70</v>
      </c>
      <c r="N117" t="str">
        <f t="shared" si="11"/>
        <v>Seniors</v>
      </c>
      <c r="O117" t="s">
        <v>50</v>
      </c>
      <c r="P117" t="s">
        <v>4</v>
      </c>
    </row>
    <row r="118" spans="1:16" x14ac:dyDescent="0.25">
      <c r="A118">
        <v>2773322</v>
      </c>
      <c r="B118" t="s">
        <v>67</v>
      </c>
      <c r="C118" t="s">
        <v>26</v>
      </c>
      <c r="D118">
        <v>3.1</v>
      </c>
      <c r="E118" t="str">
        <f t="shared" si="6"/>
        <v>Very Good</v>
      </c>
      <c r="F118" s="1">
        <v>45525.892361111109</v>
      </c>
      <c r="G118" s="1" t="str">
        <f t="shared" si="7"/>
        <v>Wednesday</v>
      </c>
      <c r="H118" s="1" t="str">
        <f t="shared" si="8"/>
        <v>August</v>
      </c>
      <c r="I118" s="1" t="str">
        <f t="shared" si="9"/>
        <v>2024</v>
      </c>
      <c r="J118" t="b">
        <v>1</v>
      </c>
      <c r="K118" t="s">
        <v>2</v>
      </c>
      <c r="L118">
        <v>240</v>
      </c>
      <c r="M118">
        <v>30</v>
      </c>
      <c r="N118" t="str">
        <f t="shared" si="11"/>
        <v>Adults</v>
      </c>
      <c r="O118" t="s">
        <v>81</v>
      </c>
      <c r="P118" t="s">
        <v>4</v>
      </c>
    </row>
    <row r="119" spans="1:16" x14ac:dyDescent="0.25">
      <c r="A119">
        <v>7931858</v>
      </c>
      <c r="B119" t="s">
        <v>49</v>
      </c>
      <c r="C119" t="s">
        <v>31</v>
      </c>
      <c r="D119">
        <v>3.5</v>
      </c>
      <c r="E119" t="str">
        <f t="shared" si="6"/>
        <v>Very Good</v>
      </c>
      <c r="F119" s="1">
        <v>45526.275694444441</v>
      </c>
      <c r="G119" s="1" t="str">
        <f t="shared" si="7"/>
        <v>Thursday</v>
      </c>
      <c r="H119" s="1" t="str">
        <f t="shared" si="8"/>
        <v>August</v>
      </c>
      <c r="I119" s="1" t="str">
        <f t="shared" si="9"/>
        <v>2024</v>
      </c>
      <c r="J119" t="b">
        <v>1</v>
      </c>
      <c r="K119" t="s">
        <v>7</v>
      </c>
      <c r="L119">
        <v>1107</v>
      </c>
      <c r="M119">
        <v>41</v>
      </c>
      <c r="N119" t="str">
        <f t="shared" si="11"/>
        <v>Adults</v>
      </c>
      <c r="O119" t="s">
        <v>16</v>
      </c>
      <c r="P119" t="s">
        <v>4</v>
      </c>
    </row>
    <row r="120" spans="1:16" x14ac:dyDescent="0.25">
      <c r="A120">
        <v>958283</v>
      </c>
      <c r="B120" t="s">
        <v>78</v>
      </c>
      <c r="C120" t="s">
        <v>18</v>
      </c>
      <c r="D120">
        <v>2.9</v>
      </c>
      <c r="E120" t="str">
        <f t="shared" si="6"/>
        <v>Good</v>
      </c>
      <c r="F120" s="1">
        <v>45763.336805555555</v>
      </c>
      <c r="G120" s="1" t="str">
        <f t="shared" si="7"/>
        <v>Wednesday</v>
      </c>
      <c r="H120" s="1" t="str">
        <f t="shared" si="8"/>
        <v>April</v>
      </c>
      <c r="I120" s="1" t="str">
        <f t="shared" si="9"/>
        <v>2025</v>
      </c>
      <c r="J120" t="b">
        <v>1</v>
      </c>
      <c r="K120" t="s">
        <v>21</v>
      </c>
      <c r="L120">
        <v>199</v>
      </c>
      <c r="M120">
        <v>65</v>
      </c>
      <c r="N120" t="str">
        <f t="shared" si="11"/>
        <v>Seniors</v>
      </c>
      <c r="O120" t="s">
        <v>42</v>
      </c>
      <c r="P120" t="s">
        <v>4</v>
      </c>
    </row>
    <row r="121" spans="1:16" x14ac:dyDescent="0.25">
      <c r="A121">
        <v>547065</v>
      </c>
      <c r="B121" t="s">
        <v>67</v>
      </c>
      <c r="C121" t="s">
        <v>75</v>
      </c>
      <c r="D121">
        <v>4.4000000000000004</v>
      </c>
      <c r="E121" t="str">
        <f t="shared" si="6"/>
        <v>Excellent</v>
      </c>
      <c r="F121" s="1">
        <v>45602.511111111111</v>
      </c>
      <c r="G121" s="1" t="str">
        <f t="shared" si="7"/>
        <v>Wednesday</v>
      </c>
      <c r="H121" s="1" t="str">
        <f t="shared" si="8"/>
        <v>November</v>
      </c>
      <c r="I121" s="1" t="str">
        <f t="shared" si="9"/>
        <v>2024</v>
      </c>
      <c r="J121" t="b">
        <v>1</v>
      </c>
      <c r="K121" t="s">
        <v>7</v>
      </c>
      <c r="L121">
        <v>127</v>
      </c>
      <c r="M121">
        <v>36</v>
      </c>
      <c r="N121" t="str">
        <f t="shared" si="11"/>
        <v>Adults</v>
      </c>
      <c r="O121" t="s">
        <v>22</v>
      </c>
      <c r="P121" t="s">
        <v>9</v>
      </c>
    </row>
    <row r="122" spans="1:16" x14ac:dyDescent="0.25">
      <c r="A122">
        <v>2557461</v>
      </c>
      <c r="B122" t="s">
        <v>83</v>
      </c>
      <c r="C122" t="s">
        <v>36</v>
      </c>
      <c r="D122">
        <v>3.3</v>
      </c>
      <c r="E122" t="str">
        <f t="shared" si="6"/>
        <v>Very Good</v>
      </c>
      <c r="F122" s="1">
        <v>45364.479166666664</v>
      </c>
      <c r="G122" s="1" t="str">
        <f t="shared" si="7"/>
        <v>Wednesday</v>
      </c>
      <c r="H122" s="1" t="str">
        <f t="shared" si="8"/>
        <v>March</v>
      </c>
      <c r="I122" s="1" t="str">
        <f t="shared" si="9"/>
        <v>2024</v>
      </c>
      <c r="J122" t="b">
        <v>1</v>
      </c>
      <c r="K122" t="s">
        <v>7</v>
      </c>
      <c r="L122">
        <v>111</v>
      </c>
      <c r="M122">
        <v>54</v>
      </c>
      <c r="N122" t="str">
        <f t="shared" si="11"/>
        <v>Adults</v>
      </c>
      <c r="O122" t="s">
        <v>86</v>
      </c>
      <c r="P122" t="s">
        <v>9</v>
      </c>
    </row>
    <row r="123" spans="1:16" x14ac:dyDescent="0.25">
      <c r="A123">
        <v>4402415</v>
      </c>
      <c r="B123" t="s">
        <v>89</v>
      </c>
      <c r="C123" t="s">
        <v>26</v>
      </c>
      <c r="D123">
        <v>1.8</v>
      </c>
      <c r="E123" t="str">
        <f t="shared" si="6"/>
        <v>Poor</v>
      </c>
      <c r="F123" s="1">
        <v>45719.352777777778</v>
      </c>
      <c r="G123" s="1" t="str">
        <f t="shared" si="7"/>
        <v>Monday</v>
      </c>
      <c r="H123" s="1" t="str">
        <f t="shared" si="8"/>
        <v>March</v>
      </c>
      <c r="I123" s="1" t="str">
        <f t="shared" si="9"/>
        <v>2025</v>
      </c>
      <c r="J123" t="b">
        <v>1</v>
      </c>
      <c r="K123" t="s">
        <v>58</v>
      </c>
      <c r="L123">
        <v>188</v>
      </c>
      <c r="M123">
        <v>16</v>
      </c>
      <c r="N123" t="str">
        <f t="shared" si="11"/>
        <v>Teenagers</v>
      </c>
      <c r="O123" t="s">
        <v>72</v>
      </c>
      <c r="P123" t="s">
        <v>4</v>
      </c>
    </row>
    <row r="124" spans="1:16" x14ac:dyDescent="0.25">
      <c r="A124">
        <v>3996008</v>
      </c>
      <c r="B124" t="s">
        <v>69</v>
      </c>
      <c r="C124" t="s">
        <v>6</v>
      </c>
      <c r="D124">
        <v>1.1000000000000001</v>
      </c>
      <c r="E124" t="str">
        <f t="shared" si="6"/>
        <v>Poor</v>
      </c>
      <c r="F124" s="1">
        <v>45554.543055555558</v>
      </c>
      <c r="G124" s="1" t="str">
        <f t="shared" si="7"/>
        <v>Thursday</v>
      </c>
      <c r="H124" s="1" t="str">
        <f t="shared" si="8"/>
        <v>September</v>
      </c>
      <c r="I124" s="1" t="str">
        <f t="shared" si="9"/>
        <v>2024</v>
      </c>
      <c r="J124" t="b">
        <v>0</v>
      </c>
      <c r="K124" t="s">
        <v>58</v>
      </c>
      <c r="L124">
        <v>691</v>
      </c>
      <c r="M124">
        <v>63</v>
      </c>
      <c r="N124" t="str">
        <f t="shared" si="11"/>
        <v>Seniors</v>
      </c>
      <c r="O124" t="s">
        <v>27</v>
      </c>
      <c r="P124" t="s">
        <v>9</v>
      </c>
    </row>
    <row r="125" spans="1:16" x14ac:dyDescent="0.25">
      <c r="A125">
        <v>725760</v>
      </c>
      <c r="B125" t="s">
        <v>33</v>
      </c>
      <c r="C125" t="s">
        <v>20</v>
      </c>
      <c r="D125">
        <v>2.9</v>
      </c>
      <c r="E125" t="str">
        <f t="shared" si="6"/>
        <v>Good</v>
      </c>
      <c r="F125" s="1">
        <v>45560.87222222222</v>
      </c>
      <c r="G125" s="1" t="str">
        <f t="shared" si="7"/>
        <v>Wednesday</v>
      </c>
      <c r="H125" s="1" t="str">
        <f t="shared" si="8"/>
        <v>September</v>
      </c>
      <c r="I125" s="1" t="str">
        <f t="shared" si="9"/>
        <v>2024</v>
      </c>
      <c r="J125" t="b">
        <v>1</v>
      </c>
      <c r="K125" t="s">
        <v>21</v>
      </c>
      <c r="L125">
        <v>93</v>
      </c>
      <c r="M125">
        <v>28</v>
      </c>
      <c r="N125" t="str">
        <f t="shared" si="11"/>
        <v>Adults</v>
      </c>
      <c r="O125" t="s">
        <v>37</v>
      </c>
      <c r="P125" t="s">
        <v>4</v>
      </c>
    </row>
    <row r="126" spans="1:16" x14ac:dyDescent="0.25">
      <c r="A126">
        <v>4579421</v>
      </c>
      <c r="B126" t="s">
        <v>0</v>
      </c>
      <c r="C126" t="s">
        <v>14</v>
      </c>
      <c r="D126">
        <v>4.8</v>
      </c>
      <c r="E126" t="str">
        <f t="shared" si="6"/>
        <v>Excellent</v>
      </c>
      <c r="F126" s="1">
        <v>45394.905555555553</v>
      </c>
      <c r="G126" s="1" t="str">
        <f t="shared" si="7"/>
        <v>Friday</v>
      </c>
      <c r="H126" s="1" t="str">
        <f t="shared" si="8"/>
        <v>April</v>
      </c>
      <c r="I126" s="1" t="str">
        <f t="shared" si="9"/>
        <v>2024</v>
      </c>
      <c r="J126" t="b">
        <v>1</v>
      </c>
      <c r="K126" t="s">
        <v>21</v>
      </c>
      <c r="L126">
        <v>1178</v>
      </c>
      <c r="M126">
        <v>63</v>
      </c>
      <c r="N126" t="str">
        <f t="shared" si="11"/>
        <v>Seniors</v>
      </c>
      <c r="O126" t="s">
        <v>68</v>
      </c>
      <c r="P126" t="s">
        <v>9</v>
      </c>
    </row>
    <row r="127" spans="1:16" x14ac:dyDescent="0.25">
      <c r="A127">
        <v>9872069</v>
      </c>
      <c r="B127" t="s">
        <v>88</v>
      </c>
      <c r="C127" t="s">
        <v>38</v>
      </c>
      <c r="D127">
        <v>3.6</v>
      </c>
      <c r="E127" t="str">
        <f t="shared" si="6"/>
        <v>Very Good</v>
      </c>
      <c r="F127" s="1">
        <v>45700.357638888891</v>
      </c>
      <c r="G127" s="1" t="str">
        <f t="shared" si="7"/>
        <v>Wednesday</v>
      </c>
      <c r="H127" s="1" t="str">
        <f t="shared" si="8"/>
        <v>February</v>
      </c>
      <c r="I127" s="1" t="str">
        <f t="shared" si="9"/>
        <v>2025</v>
      </c>
      <c r="J127" t="b">
        <v>1</v>
      </c>
      <c r="K127" t="s">
        <v>58</v>
      </c>
      <c r="L127">
        <v>1148</v>
      </c>
      <c r="M127">
        <v>58</v>
      </c>
      <c r="N127" t="str">
        <f t="shared" si="11"/>
        <v>Adults</v>
      </c>
      <c r="O127" t="s">
        <v>68</v>
      </c>
      <c r="P127" t="s">
        <v>4</v>
      </c>
    </row>
    <row r="128" spans="1:16" x14ac:dyDescent="0.25">
      <c r="A128">
        <v>6132283</v>
      </c>
      <c r="B128" t="s">
        <v>56</v>
      </c>
      <c r="C128" t="s">
        <v>34</v>
      </c>
      <c r="D128">
        <v>2.6</v>
      </c>
      <c r="E128" t="str">
        <f t="shared" si="6"/>
        <v>Good</v>
      </c>
      <c r="F128" s="1">
        <v>45834.136805555558</v>
      </c>
      <c r="G128" s="1" t="str">
        <f t="shared" si="7"/>
        <v>Thursday</v>
      </c>
      <c r="H128" s="1" t="str">
        <f t="shared" si="8"/>
        <v>June</v>
      </c>
      <c r="I128" s="1" t="str">
        <f t="shared" si="9"/>
        <v>2025</v>
      </c>
      <c r="J128" t="b">
        <v>0</v>
      </c>
      <c r="K128" t="s">
        <v>15</v>
      </c>
      <c r="L128">
        <v>590</v>
      </c>
      <c r="M128">
        <v>74</v>
      </c>
      <c r="N128" t="str">
        <f t="shared" si="11"/>
        <v>Seniors</v>
      </c>
      <c r="O128" t="s">
        <v>3</v>
      </c>
      <c r="P128" t="s">
        <v>9</v>
      </c>
    </row>
    <row r="129" spans="1:16" x14ac:dyDescent="0.25">
      <c r="A129">
        <v>5317344</v>
      </c>
      <c r="B129" t="s">
        <v>0</v>
      </c>
      <c r="C129" t="s">
        <v>26</v>
      </c>
      <c r="D129">
        <v>4</v>
      </c>
      <c r="E129" t="str">
        <f t="shared" si="6"/>
        <v>Very Good</v>
      </c>
      <c r="F129" s="1">
        <v>45675.042361111111</v>
      </c>
      <c r="G129" s="1" t="str">
        <f t="shared" si="7"/>
        <v>Saturday</v>
      </c>
      <c r="H129" s="1" t="str">
        <f t="shared" si="8"/>
        <v>January</v>
      </c>
      <c r="I129" s="1" t="str">
        <f t="shared" si="9"/>
        <v>2025</v>
      </c>
      <c r="J129" t="b">
        <v>1</v>
      </c>
      <c r="K129" t="s">
        <v>58</v>
      </c>
      <c r="L129">
        <v>597</v>
      </c>
      <c r="M129">
        <v>25</v>
      </c>
      <c r="N129" t="str">
        <f t="shared" si="11"/>
        <v>Adults</v>
      </c>
      <c r="O129" t="s">
        <v>3</v>
      </c>
      <c r="P129" t="s">
        <v>9</v>
      </c>
    </row>
    <row r="130" spans="1:16" x14ac:dyDescent="0.25">
      <c r="A130">
        <v>5049909</v>
      </c>
      <c r="B130" t="s">
        <v>23</v>
      </c>
      <c r="C130" t="s">
        <v>18</v>
      </c>
      <c r="D130">
        <v>1.5</v>
      </c>
      <c r="E130" t="str">
        <f t="shared" ref="E130:E193" si="12">IF(D130&lt;2,"Poor",IF(AND(D130&gt;=2,D130&lt;=3),"Good",IF(AND(D130&gt;3,D130&lt;=4),"Very Good",IF(D130&gt;4,"Excellent"))))</f>
        <v>Poor</v>
      </c>
      <c r="F130" s="1">
        <v>45424.357638888891</v>
      </c>
      <c r="G130" s="1" t="str">
        <f t="shared" ref="G130:G193" si="13">TEXT(F130,"DDDD")</f>
        <v>Sunday</v>
      </c>
      <c r="H130" s="1" t="str">
        <f t="shared" ref="H130:H193" si="14">TEXT(F130,"MMMM")</f>
        <v>May</v>
      </c>
      <c r="I130" s="1" t="str">
        <f t="shared" ref="I130:I193" si="15">TEXT(F130,"YYYY")</f>
        <v>2024</v>
      </c>
      <c r="J130" t="b">
        <v>0</v>
      </c>
      <c r="K130" t="s">
        <v>7</v>
      </c>
      <c r="L130">
        <v>351</v>
      </c>
      <c r="M130">
        <v>63</v>
      </c>
      <c r="N130" t="str">
        <f t="shared" ref="N130:N162" si="16">IF(M130&lt;=17,"Teenagers", IF(AND(M130&gt;=18,M130&lt;61),"Adults",IF(M130&gt;60,"Seniors")))</f>
        <v>Seniors</v>
      </c>
      <c r="O130" t="s">
        <v>86</v>
      </c>
      <c r="P130" t="s">
        <v>4</v>
      </c>
    </row>
    <row r="131" spans="1:16" x14ac:dyDescent="0.25">
      <c r="A131">
        <v>3805235</v>
      </c>
      <c r="B131" t="s">
        <v>41</v>
      </c>
      <c r="C131" t="s">
        <v>29</v>
      </c>
      <c r="D131">
        <v>3.8</v>
      </c>
      <c r="E131" t="str">
        <f t="shared" si="12"/>
        <v>Very Good</v>
      </c>
      <c r="F131" s="1">
        <v>45309.079861111109</v>
      </c>
      <c r="G131" s="1" t="str">
        <f t="shared" si="13"/>
        <v>Thursday</v>
      </c>
      <c r="H131" s="1" t="str">
        <f t="shared" si="14"/>
        <v>January</v>
      </c>
      <c r="I131" s="1" t="str">
        <f t="shared" si="15"/>
        <v>2024</v>
      </c>
      <c r="J131" t="b">
        <v>1</v>
      </c>
      <c r="K131" t="s">
        <v>15</v>
      </c>
      <c r="L131">
        <v>330</v>
      </c>
      <c r="M131">
        <v>28</v>
      </c>
      <c r="N131" t="str">
        <f t="shared" si="16"/>
        <v>Adults</v>
      </c>
      <c r="O131" t="s">
        <v>48</v>
      </c>
      <c r="P131" t="s">
        <v>9</v>
      </c>
    </row>
    <row r="132" spans="1:16" x14ac:dyDescent="0.25">
      <c r="A132">
        <v>8301172</v>
      </c>
      <c r="B132" t="s">
        <v>84</v>
      </c>
      <c r="C132" t="s">
        <v>38</v>
      </c>
      <c r="D132">
        <v>1.1000000000000001</v>
      </c>
      <c r="E132" t="str">
        <f t="shared" si="12"/>
        <v>Poor</v>
      </c>
      <c r="F132" s="1">
        <v>45773.036111111112</v>
      </c>
      <c r="G132" s="1" t="str">
        <f t="shared" si="13"/>
        <v>Saturday</v>
      </c>
      <c r="H132" s="1" t="str">
        <f t="shared" si="14"/>
        <v>April</v>
      </c>
      <c r="I132" s="1" t="str">
        <f t="shared" si="15"/>
        <v>2025</v>
      </c>
      <c r="J132" t="b">
        <v>1</v>
      </c>
      <c r="K132" t="s">
        <v>21</v>
      </c>
      <c r="L132">
        <v>912</v>
      </c>
      <c r="M132">
        <v>56</v>
      </c>
      <c r="N132" t="str">
        <f t="shared" si="16"/>
        <v>Adults</v>
      </c>
      <c r="O132" t="s">
        <v>55</v>
      </c>
      <c r="P132" t="s">
        <v>9</v>
      </c>
    </row>
    <row r="133" spans="1:16" x14ac:dyDescent="0.25">
      <c r="A133">
        <v>3755777</v>
      </c>
      <c r="B133" t="s">
        <v>45</v>
      </c>
      <c r="C133" t="s">
        <v>47</v>
      </c>
      <c r="D133">
        <v>2.4</v>
      </c>
      <c r="E133" t="str">
        <f t="shared" si="12"/>
        <v>Good</v>
      </c>
      <c r="F133" s="1">
        <v>45588.06527777778</v>
      </c>
      <c r="G133" s="1" t="str">
        <f t="shared" si="13"/>
        <v>Wednesday</v>
      </c>
      <c r="H133" s="1" t="str">
        <f t="shared" si="14"/>
        <v>October</v>
      </c>
      <c r="I133" s="1" t="str">
        <f t="shared" si="15"/>
        <v>2024</v>
      </c>
      <c r="J133" t="b">
        <v>1</v>
      </c>
      <c r="K133" t="s">
        <v>7</v>
      </c>
      <c r="L133">
        <v>912</v>
      </c>
      <c r="M133">
        <v>68</v>
      </c>
      <c r="N133" t="str">
        <f t="shared" si="16"/>
        <v>Seniors</v>
      </c>
      <c r="O133" t="s">
        <v>22</v>
      </c>
      <c r="P133" t="s">
        <v>9</v>
      </c>
    </row>
    <row r="134" spans="1:16" x14ac:dyDescent="0.25">
      <c r="A134">
        <v>1169713</v>
      </c>
      <c r="B134" t="s">
        <v>17</v>
      </c>
      <c r="C134" t="s">
        <v>20</v>
      </c>
      <c r="D134">
        <v>2.2000000000000002</v>
      </c>
      <c r="E134" t="str">
        <f t="shared" si="12"/>
        <v>Good</v>
      </c>
      <c r="F134" s="1">
        <v>45559.211805555555</v>
      </c>
      <c r="G134" s="1" t="str">
        <f t="shared" si="13"/>
        <v>Tuesday</v>
      </c>
      <c r="H134" s="1" t="str">
        <f t="shared" si="14"/>
        <v>September</v>
      </c>
      <c r="I134" s="1" t="str">
        <f t="shared" si="15"/>
        <v>2024</v>
      </c>
      <c r="J134" t="b">
        <v>1</v>
      </c>
      <c r="K134" t="s">
        <v>21</v>
      </c>
      <c r="L134">
        <v>949</v>
      </c>
      <c r="M134">
        <v>27</v>
      </c>
      <c r="N134" t="str">
        <f t="shared" si="16"/>
        <v>Adults</v>
      </c>
      <c r="O134" t="s">
        <v>66</v>
      </c>
      <c r="P134" t="s">
        <v>9</v>
      </c>
    </row>
    <row r="135" spans="1:16" x14ac:dyDescent="0.25">
      <c r="A135">
        <v>7625204</v>
      </c>
      <c r="B135" t="s">
        <v>79</v>
      </c>
      <c r="C135" t="s">
        <v>26</v>
      </c>
      <c r="D135">
        <v>1.7</v>
      </c>
      <c r="E135" t="str">
        <f t="shared" si="12"/>
        <v>Poor</v>
      </c>
      <c r="F135" s="1">
        <v>45697.414583333331</v>
      </c>
      <c r="G135" s="1" t="str">
        <f t="shared" si="13"/>
        <v>Sunday</v>
      </c>
      <c r="H135" s="1" t="str">
        <f t="shared" si="14"/>
        <v>February</v>
      </c>
      <c r="I135" s="1" t="str">
        <f t="shared" si="15"/>
        <v>2025</v>
      </c>
      <c r="J135" t="b">
        <v>1</v>
      </c>
      <c r="K135" t="s">
        <v>7</v>
      </c>
      <c r="L135">
        <v>58</v>
      </c>
      <c r="M135">
        <v>60</v>
      </c>
      <c r="N135" t="str">
        <f t="shared" si="16"/>
        <v>Adults</v>
      </c>
      <c r="O135" t="s">
        <v>48</v>
      </c>
      <c r="P135" t="s">
        <v>4</v>
      </c>
    </row>
    <row r="136" spans="1:16" x14ac:dyDescent="0.25">
      <c r="A136">
        <v>362492</v>
      </c>
      <c r="B136" t="s">
        <v>64</v>
      </c>
      <c r="C136" t="s">
        <v>85</v>
      </c>
      <c r="D136">
        <v>4.4000000000000004</v>
      </c>
      <c r="E136" t="str">
        <f t="shared" si="12"/>
        <v>Excellent</v>
      </c>
      <c r="F136" s="1">
        <v>45176.686111111114</v>
      </c>
      <c r="G136" s="1" t="str">
        <f t="shared" si="13"/>
        <v>Thursday</v>
      </c>
      <c r="H136" s="1" t="str">
        <f t="shared" si="14"/>
        <v>September</v>
      </c>
      <c r="I136" s="1" t="str">
        <f t="shared" si="15"/>
        <v>2023</v>
      </c>
      <c r="J136" t="b">
        <v>1</v>
      </c>
      <c r="K136" t="s">
        <v>2</v>
      </c>
      <c r="L136">
        <v>750</v>
      </c>
      <c r="M136">
        <v>57</v>
      </c>
      <c r="N136" t="str">
        <f t="shared" si="16"/>
        <v>Adults</v>
      </c>
      <c r="O136" t="s">
        <v>19</v>
      </c>
      <c r="P136" t="s">
        <v>4</v>
      </c>
    </row>
    <row r="137" spans="1:16" x14ac:dyDescent="0.25">
      <c r="A137">
        <v>842169</v>
      </c>
      <c r="B137" t="s">
        <v>64</v>
      </c>
      <c r="C137" t="s">
        <v>57</v>
      </c>
      <c r="D137">
        <v>3</v>
      </c>
      <c r="E137" t="str">
        <f t="shared" si="12"/>
        <v>Good</v>
      </c>
      <c r="F137" s="1">
        <v>45451.326388888891</v>
      </c>
      <c r="G137" s="1" t="str">
        <f t="shared" si="13"/>
        <v>Saturday</v>
      </c>
      <c r="H137" s="1" t="str">
        <f t="shared" si="14"/>
        <v>June</v>
      </c>
      <c r="I137" s="1" t="str">
        <f t="shared" si="15"/>
        <v>2024</v>
      </c>
      <c r="J137" t="b">
        <v>1</v>
      </c>
      <c r="K137" t="s">
        <v>7</v>
      </c>
      <c r="L137">
        <v>590</v>
      </c>
      <c r="M137">
        <v>48</v>
      </c>
      <c r="N137" t="str">
        <f t="shared" si="16"/>
        <v>Adults</v>
      </c>
      <c r="O137" t="s">
        <v>27</v>
      </c>
      <c r="P137" t="s">
        <v>9</v>
      </c>
    </row>
    <row r="138" spans="1:16" x14ac:dyDescent="0.25">
      <c r="A138">
        <v>1122699</v>
      </c>
      <c r="B138" t="s">
        <v>71</v>
      </c>
      <c r="C138" t="s">
        <v>11</v>
      </c>
      <c r="D138">
        <v>3</v>
      </c>
      <c r="E138" t="str">
        <f t="shared" si="12"/>
        <v>Good</v>
      </c>
      <c r="F138" s="1">
        <v>45571.293749999997</v>
      </c>
      <c r="G138" s="1" t="str">
        <f t="shared" si="13"/>
        <v>Sunday</v>
      </c>
      <c r="H138" s="1" t="str">
        <f t="shared" si="14"/>
        <v>October</v>
      </c>
      <c r="I138" s="1" t="str">
        <f t="shared" si="15"/>
        <v>2024</v>
      </c>
      <c r="J138" t="b">
        <v>1</v>
      </c>
      <c r="K138" t="s">
        <v>15</v>
      </c>
      <c r="L138">
        <v>60</v>
      </c>
      <c r="M138">
        <v>19</v>
      </c>
      <c r="N138" t="str">
        <f t="shared" si="16"/>
        <v>Adults</v>
      </c>
      <c r="O138" t="s">
        <v>27</v>
      </c>
      <c r="P138" t="s">
        <v>9</v>
      </c>
    </row>
    <row r="139" spans="1:16" x14ac:dyDescent="0.25">
      <c r="A139">
        <v>7267236</v>
      </c>
      <c r="B139" t="s">
        <v>46</v>
      </c>
      <c r="C139" t="s">
        <v>75</v>
      </c>
      <c r="D139">
        <v>1.1000000000000001</v>
      </c>
      <c r="E139" t="str">
        <f t="shared" si="12"/>
        <v>Poor</v>
      </c>
      <c r="F139" s="1">
        <v>45313.908333333333</v>
      </c>
      <c r="G139" s="1" t="str">
        <f t="shared" si="13"/>
        <v>Monday</v>
      </c>
      <c r="H139" s="1" t="str">
        <f t="shared" si="14"/>
        <v>January</v>
      </c>
      <c r="I139" s="1" t="str">
        <f t="shared" si="15"/>
        <v>2024</v>
      </c>
      <c r="J139" t="b">
        <v>1</v>
      </c>
      <c r="K139" t="s">
        <v>21</v>
      </c>
      <c r="L139">
        <v>620</v>
      </c>
      <c r="M139">
        <v>69</v>
      </c>
      <c r="N139" t="str">
        <f t="shared" si="16"/>
        <v>Seniors</v>
      </c>
      <c r="O139" t="s">
        <v>37</v>
      </c>
      <c r="P139" t="s">
        <v>4</v>
      </c>
    </row>
    <row r="140" spans="1:16" x14ac:dyDescent="0.25">
      <c r="A140">
        <v>3604577</v>
      </c>
      <c r="B140" t="s">
        <v>10</v>
      </c>
      <c r="C140" t="s">
        <v>20</v>
      </c>
      <c r="D140">
        <v>3.6</v>
      </c>
      <c r="E140" t="str">
        <f t="shared" si="12"/>
        <v>Very Good</v>
      </c>
      <c r="F140" s="1">
        <v>45814.218055555553</v>
      </c>
      <c r="G140" s="1" t="str">
        <f t="shared" si="13"/>
        <v>Friday</v>
      </c>
      <c r="H140" s="1" t="str">
        <f t="shared" si="14"/>
        <v>June</v>
      </c>
      <c r="I140" s="1" t="str">
        <f t="shared" si="15"/>
        <v>2025</v>
      </c>
      <c r="J140" t="b">
        <v>1</v>
      </c>
      <c r="K140" t="s">
        <v>58</v>
      </c>
      <c r="L140">
        <v>413</v>
      </c>
      <c r="M140">
        <v>23</v>
      </c>
      <c r="N140" t="str">
        <f t="shared" si="16"/>
        <v>Adults</v>
      </c>
      <c r="O140" t="s">
        <v>86</v>
      </c>
      <c r="P140" t="s">
        <v>4</v>
      </c>
    </row>
    <row r="141" spans="1:16" x14ac:dyDescent="0.25">
      <c r="A141">
        <v>5186650</v>
      </c>
      <c r="B141" t="s">
        <v>46</v>
      </c>
      <c r="C141" t="s">
        <v>36</v>
      </c>
      <c r="D141">
        <v>4.5999999999999996</v>
      </c>
      <c r="E141" t="str">
        <f t="shared" si="12"/>
        <v>Excellent</v>
      </c>
      <c r="F141" s="1">
        <v>45844.914583333331</v>
      </c>
      <c r="G141" s="1" t="str">
        <f t="shared" si="13"/>
        <v>Sunday</v>
      </c>
      <c r="H141" s="1" t="str">
        <f t="shared" si="14"/>
        <v>July</v>
      </c>
      <c r="I141" s="1" t="str">
        <f t="shared" si="15"/>
        <v>2025</v>
      </c>
      <c r="J141" t="b">
        <v>1</v>
      </c>
      <c r="K141" t="s">
        <v>58</v>
      </c>
      <c r="L141">
        <v>812</v>
      </c>
      <c r="M141">
        <v>73</v>
      </c>
      <c r="N141" t="str">
        <f t="shared" si="16"/>
        <v>Seniors</v>
      </c>
      <c r="O141" t="s">
        <v>27</v>
      </c>
      <c r="P141" t="s">
        <v>4</v>
      </c>
    </row>
    <row r="142" spans="1:16" x14ac:dyDescent="0.25">
      <c r="A142">
        <v>3653544</v>
      </c>
      <c r="B142" t="s">
        <v>30</v>
      </c>
      <c r="C142" t="s">
        <v>57</v>
      </c>
      <c r="D142">
        <v>4.3</v>
      </c>
      <c r="E142" t="str">
        <f t="shared" si="12"/>
        <v>Excellent</v>
      </c>
      <c r="F142" s="1">
        <v>45866.791666666664</v>
      </c>
      <c r="G142" s="1" t="str">
        <f t="shared" si="13"/>
        <v>Monday</v>
      </c>
      <c r="H142" s="1" t="str">
        <f t="shared" si="14"/>
        <v>July</v>
      </c>
      <c r="I142" s="1" t="str">
        <f t="shared" si="15"/>
        <v>2025</v>
      </c>
      <c r="J142" t="b">
        <v>1</v>
      </c>
      <c r="K142" t="s">
        <v>2</v>
      </c>
      <c r="L142">
        <v>483</v>
      </c>
      <c r="M142">
        <v>72</v>
      </c>
      <c r="N142" t="str">
        <f t="shared" si="16"/>
        <v>Seniors</v>
      </c>
      <c r="O142" t="s">
        <v>53</v>
      </c>
      <c r="P142" t="s">
        <v>4</v>
      </c>
    </row>
    <row r="143" spans="1:16" x14ac:dyDescent="0.25">
      <c r="A143">
        <v>7922384</v>
      </c>
      <c r="B143" t="s">
        <v>80</v>
      </c>
      <c r="C143" t="s">
        <v>34</v>
      </c>
      <c r="D143">
        <v>2.9</v>
      </c>
      <c r="E143" t="str">
        <f t="shared" si="12"/>
        <v>Good</v>
      </c>
      <c r="F143" s="1">
        <v>45553.376388888886</v>
      </c>
      <c r="G143" s="1" t="str">
        <f t="shared" si="13"/>
        <v>Wednesday</v>
      </c>
      <c r="H143" s="1" t="str">
        <f t="shared" si="14"/>
        <v>September</v>
      </c>
      <c r="I143" s="1" t="str">
        <f t="shared" si="15"/>
        <v>2024</v>
      </c>
      <c r="J143" t="b">
        <v>0</v>
      </c>
      <c r="K143" t="s">
        <v>2</v>
      </c>
      <c r="L143">
        <v>681</v>
      </c>
      <c r="M143">
        <v>58</v>
      </c>
      <c r="N143" t="str">
        <f t="shared" si="16"/>
        <v>Adults</v>
      </c>
      <c r="O143" t="s">
        <v>53</v>
      </c>
      <c r="P143" t="s">
        <v>9</v>
      </c>
    </row>
    <row r="144" spans="1:16" x14ac:dyDescent="0.25">
      <c r="A144">
        <v>6127375</v>
      </c>
      <c r="B144" t="s">
        <v>28</v>
      </c>
      <c r="C144" t="s">
        <v>18</v>
      </c>
      <c r="D144">
        <v>2.6</v>
      </c>
      <c r="E144" t="str">
        <f t="shared" si="12"/>
        <v>Good</v>
      </c>
      <c r="F144" s="1">
        <v>45378.436805555553</v>
      </c>
      <c r="G144" s="1" t="str">
        <f t="shared" si="13"/>
        <v>Wednesday</v>
      </c>
      <c r="H144" s="1" t="str">
        <f t="shared" si="14"/>
        <v>March</v>
      </c>
      <c r="I144" s="1" t="str">
        <f t="shared" si="15"/>
        <v>2024</v>
      </c>
      <c r="J144" t="b">
        <v>1</v>
      </c>
      <c r="K144" t="s">
        <v>7</v>
      </c>
      <c r="L144">
        <v>642</v>
      </c>
      <c r="M144">
        <v>49</v>
      </c>
      <c r="N144" t="str">
        <f t="shared" si="16"/>
        <v>Adults</v>
      </c>
      <c r="O144" t="s">
        <v>3</v>
      </c>
      <c r="P144" t="s">
        <v>9</v>
      </c>
    </row>
    <row r="145" spans="1:16" x14ac:dyDescent="0.25">
      <c r="A145">
        <v>6133835</v>
      </c>
      <c r="B145" t="s">
        <v>71</v>
      </c>
      <c r="C145" t="s">
        <v>75</v>
      </c>
      <c r="D145">
        <v>4.2</v>
      </c>
      <c r="E145" t="str">
        <f t="shared" si="12"/>
        <v>Excellent</v>
      </c>
      <c r="F145" s="1">
        <v>45537.194444444445</v>
      </c>
      <c r="G145" s="1" t="str">
        <f t="shared" si="13"/>
        <v>Monday</v>
      </c>
      <c r="H145" s="1" t="str">
        <f t="shared" si="14"/>
        <v>September</v>
      </c>
      <c r="I145" s="1" t="str">
        <f t="shared" si="15"/>
        <v>2024</v>
      </c>
      <c r="J145" t="b">
        <v>1</v>
      </c>
      <c r="K145" t="s">
        <v>15</v>
      </c>
      <c r="L145">
        <v>172</v>
      </c>
      <c r="M145">
        <v>39</v>
      </c>
      <c r="N145" t="str">
        <f t="shared" si="16"/>
        <v>Adults</v>
      </c>
      <c r="O145" t="s">
        <v>77</v>
      </c>
      <c r="P145" t="s">
        <v>4</v>
      </c>
    </row>
    <row r="146" spans="1:16" x14ac:dyDescent="0.25">
      <c r="A146">
        <v>7018793</v>
      </c>
      <c r="B146" t="s">
        <v>10</v>
      </c>
      <c r="C146" t="s">
        <v>18</v>
      </c>
      <c r="D146">
        <v>4.3</v>
      </c>
      <c r="E146" t="str">
        <f t="shared" si="12"/>
        <v>Excellent</v>
      </c>
      <c r="F146" s="1">
        <v>45552.259722222225</v>
      </c>
      <c r="G146" s="1" t="str">
        <f t="shared" si="13"/>
        <v>Tuesday</v>
      </c>
      <c r="H146" s="1" t="str">
        <f t="shared" si="14"/>
        <v>September</v>
      </c>
      <c r="I146" s="1" t="str">
        <f t="shared" si="15"/>
        <v>2024</v>
      </c>
      <c r="J146" t="b">
        <v>1</v>
      </c>
      <c r="K146" t="s">
        <v>7</v>
      </c>
      <c r="L146">
        <v>1058</v>
      </c>
      <c r="M146">
        <v>33</v>
      </c>
      <c r="N146" t="str">
        <f t="shared" si="16"/>
        <v>Adults</v>
      </c>
      <c r="O146" t="s">
        <v>53</v>
      </c>
      <c r="P146" t="s">
        <v>4</v>
      </c>
    </row>
    <row r="147" spans="1:16" x14ac:dyDescent="0.25">
      <c r="A147">
        <v>7001115</v>
      </c>
      <c r="B147" t="s">
        <v>0</v>
      </c>
      <c r="C147" t="s">
        <v>34</v>
      </c>
      <c r="D147">
        <v>1.7</v>
      </c>
      <c r="E147" t="str">
        <f t="shared" si="12"/>
        <v>Poor</v>
      </c>
      <c r="F147" s="1">
        <v>45148.082638888889</v>
      </c>
      <c r="G147" s="1" t="str">
        <f t="shared" si="13"/>
        <v>Thursday</v>
      </c>
      <c r="H147" s="1" t="str">
        <f t="shared" si="14"/>
        <v>August</v>
      </c>
      <c r="I147" s="1" t="str">
        <f t="shared" si="15"/>
        <v>2023</v>
      </c>
      <c r="J147" t="b">
        <v>1</v>
      </c>
      <c r="K147" t="s">
        <v>2</v>
      </c>
      <c r="L147">
        <v>893</v>
      </c>
      <c r="M147">
        <v>20</v>
      </c>
      <c r="N147" t="str">
        <f t="shared" si="16"/>
        <v>Adults</v>
      </c>
      <c r="O147" t="s">
        <v>59</v>
      </c>
      <c r="P147" t="s">
        <v>9</v>
      </c>
    </row>
    <row r="148" spans="1:16" x14ac:dyDescent="0.25">
      <c r="A148">
        <v>8961040</v>
      </c>
      <c r="B148" t="s">
        <v>64</v>
      </c>
      <c r="C148" t="s">
        <v>29</v>
      </c>
      <c r="D148">
        <v>4.2</v>
      </c>
      <c r="E148" t="str">
        <f t="shared" si="12"/>
        <v>Excellent</v>
      </c>
      <c r="F148" s="1">
        <v>45852.804861111108</v>
      </c>
      <c r="G148" s="1" t="str">
        <f t="shared" si="13"/>
        <v>Monday</v>
      </c>
      <c r="H148" s="1" t="str">
        <f t="shared" si="14"/>
        <v>July</v>
      </c>
      <c r="I148" s="1" t="str">
        <f t="shared" si="15"/>
        <v>2025</v>
      </c>
      <c r="J148" t="b">
        <v>1</v>
      </c>
      <c r="K148" t="s">
        <v>7</v>
      </c>
      <c r="L148">
        <v>1235</v>
      </c>
      <c r="M148">
        <v>21</v>
      </c>
      <c r="N148" t="str">
        <f t="shared" si="16"/>
        <v>Adults</v>
      </c>
      <c r="O148" t="s">
        <v>77</v>
      </c>
      <c r="P148" t="s">
        <v>9</v>
      </c>
    </row>
    <row r="149" spans="1:16" x14ac:dyDescent="0.25">
      <c r="A149">
        <v>3954842</v>
      </c>
      <c r="B149" t="s">
        <v>17</v>
      </c>
      <c r="C149" t="s">
        <v>75</v>
      </c>
      <c r="D149">
        <v>3.1</v>
      </c>
      <c r="E149" t="str">
        <f t="shared" si="12"/>
        <v>Very Good</v>
      </c>
      <c r="F149" s="1">
        <v>45303.090277777781</v>
      </c>
      <c r="G149" s="1" t="str">
        <f t="shared" si="13"/>
        <v>Friday</v>
      </c>
      <c r="H149" s="1" t="str">
        <f t="shared" si="14"/>
        <v>January</v>
      </c>
      <c r="I149" s="1" t="str">
        <f t="shared" si="15"/>
        <v>2024</v>
      </c>
      <c r="J149" t="b">
        <v>0</v>
      </c>
      <c r="K149" t="s">
        <v>2</v>
      </c>
      <c r="L149">
        <v>459</v>
      </c>
      <c r="M149">
        <v>54</v>
      </c>
      <c r="N149" t="str">
        <f t="shared" si="16"/>
        <v>Adults</v>
      </c>
      <c r="O149" t="s">
        <v>55</v>
      </c>
      <c r="P149" t="s">
        <v>4</v>
      </c>
    </row>
    <row r="150" spans="1:16" x14ac:dyDescent="0.25">
      <c r="A150">
        <v>6539870</v>
      </c>
      <c r="B150" t="s">
        <v>67</v>
      </c>
      <c r="C150" t="s">
        <v>47</v>
      </c>
      <c r="D150">
        <v>4.3</v>
      </c>
      <c r="E150" t="str">
        <f t="shared" si="12"/>
        <v>Excellent</v>
      </c>
      <c r="F150" s="1">
        <v>45725.777083333334</v>
      </c>
      <c r="G150" s="1" t="str">
        <f t="shared" si="13"/>
        <v>Sunday</v>
      </c>
      <c r="H150" s="1" t="str">
        <f t="shared" si="14"/>
        <v>March</v>
      </c>
      <c r="I150" s="1" t="str">
        <f t="shared" si="15"/>
        <v>2025</v>
      </c>
      <c r="J150" t="b">
        <v>0</v>
      </c>
      <c r="K150" t="s">
        <v>15</v>
      </c>
      <c r="L150">
        <v>54</v>
      </c>
      <c r="M150">
        <v>26</v>
      </c>
      <c r="N150" t="str">
        <f t="shared" si="16"/>
        <v>Adults</v>
      </c>
      <c r="O150" t="s">
        <v>59</v>
      </c>
      <c r="P150" t="s">
        <v>4</v>
      </c>
    </row>
    <row r="151" spans="1:16" x14ac:dyDescent="0.25">
      <c r="A151">
        <v>1603554</v>
      </c>
      <c r="B151" t="s">
        <v>35</v>
      </c>
      <c r="C151" t="s">
        <v>1</v>
      </c>
      <c r="D151">
        <v>2.4</v>
      </c>
      <c r="E151" t="str">
        <f t="shared" si="12"/>
        <v>Good</v>
      </c>
      <c r="F151" s="1">
        <v>45413.771527777775</v>
      </c>
      <c r="G151" s="1" t="str">
        <f t="shared" si="13"/>
        <v>Wednesday</v>
      </c>
      <c r="H151" s="1" t="str">
        <f t="shared" si="14"/>
        <v>May</v>
      </c>
      <c r="I151" s="1" t="str">
        <f t="shared" si="15"/>
        <v>2024</v>
      </c>
      <c r="J151" t="b">
        <v>1</v>
      </c>
      <c r="K151" t="s">
        <v>7</v>
      </c>
      <c r="L151">
        <v>731</v>
      </c>
      <c r="M151">
        <v>56</v>
      </c>
      <c r="N151" t="str">
        <f t="shared" si="16"/>
        <v>Adults</v>
      </c>
      <c r="O151" t="s">
        <v>39</v>
      </c>
      <c r="P151" t="s">
        <v>4</v>
      </c>
    </row>
    <row r="152" spans="1:16" x14ac:dyDescent="0.25">
      <c r="A152">
        <v>4729871</v>
      </c>
      <c r="B152" t="s">
        <v>88</v>
      </c>
      <c r="C152" t="s">
        <v>18</v>
      </c>
      <c r="D152">
        <v>4.3</v>
      </c>
      <c r="E152" t="str">
        <f t="shared" si="12"/>
        <v>Excellent</v>
      </c>
      <c r="F152" s="1">
        <v>45617.859027777777</v>
      </c>
      <c r="G152" s="1" t="str">
        <f t="shared" si="13"/>
        <v>Thursday</v>
      </c>
      <c r="H152" s="1" t="str">
        <f t="shared" si="14"/>
        <v>November</v>
      </c>
      <c r="I152" s="1" t="str">
        <f t="shared" si="15"/>
        <v>2024</v>
      </c>
      <c r="J152" t="b">
        <v>1</v>
      </c>
      <c r="K152" t="s">
        <v>2</v>
      </c>
      <c r="L152">
        <v>699</v>
      </c>
      <c r="M152">
        <v>31</v>
      </c>
      <c r="N152" t="str">
        <f t="shared" si="16"/>
        <v>Adults</v>
      </c>
      <c r="O152" t="s">
        <v>50</v>
      </c>
      <c r="P152" t="s">
        <v>4</v>
      </c>
    </row>
    <row r="153" spans="1:16" x14ac:dyDescent="0.25">
      <c r="A153">
        <v>2030810</v>
      </c>
      <c r="B153" t="s">
        <v>25</v>
      </c>
      <c r="C153" t="s">
        <v>18</v>
      </c>
      <c r="D153">
        <v>1.7</v>
      </c>
      <c r="E153" t="str">
        <f t="shared" si="12"/>
        <v>Poor</v>
      </c>
      <c r="F153" s="1">
        <v>45156.420138888891</v>
      </c>
      <c r="G153" s="1" t="str">
        <f t="shared" si="13"/>
        <v>Friday</v>
      </c>
      <c r="H153" s="1" t="str">
        <f t="shared" si="14"/>
        <v>August</v>
      </c>
      <c r="I153" s="1" t="str">
        <f t="shared" si="15"/>
        <v>2023</v>
      </c>
      <c r="J153" t="b">
        <v>1</v>
      </c>
      <c r="K153" t="s">
        <v>58</v>
      </c>
      <c r="L153">
        <v>315</v>
      </c>
      <c r="M153">
        <v>32</v>
      </c>
      <c r="N153" t="str">
        <f t="shared" si="16"/>
        <v>Adults</v>
      </c>
      <c r="O153" t="s">
        <v>53</v>
      </c>
      <c r="P153" t="s">
        <v>4</v>
      </c>
    </row>
    <row r="154" spans="1:16" x14ac:dyDescent="0.25">
      <c r="A154">
        <v>6895568</v>
      </c>
      <c r="B154" t="s">
        <v>33</v>
      </c>
      <c r="C154" t="s">
        <v>29</v>
      </c>
      <c r="D154">
        <v>4.8</v>
      </c>
      <c r="E154" t="str">
        <f t="shared" si="12"/>
        <v>Excellent</v>
      </c>
      <c r="F154" s="1">
        <v>45628.027083333334</v>
      </c>
      <c r="G154" s="1" t="str">
        <f t="shared" si="13"/>
        <v>Monday</v>
      </c>
      <c r="H154" s="1" t="str">
        <f t="shared" si="14"/>
        <v>December</v>
      </c>
      <c r="I154" s="1" t="str">
        <f t="shared" si="15"/>
        <v>2024</v>
      </c>
      <c r="J154" t="b">
        <v>1</v>
      </c>
      <c r="K154" t="s">
        <v>21</v>
      </c>
      <c r="L154">
        <v>592</v>
      </c>
      <c r="M154">
        <v>54</v>
      </c>
      <c r="N154" t="str">
        <f t="shared" si="16"/>
        <v>Adults</v>
      </c>
      <c r="O154" t="s">
        <v>39</v>
      </c>
      <c r="P154" t="s">
        <v>9</v>
      </c>
    </row>
    <row r="155" spans="1:16" x14ac:dyDescent="0.25">
      <c r="A155">
        <v>4769851</v>
      </c>
      <c r="B155" t="s">
        <v>23</v>
      </c>
      <c r="C155" t="s">
        <v>63</v>
      </c>
      <c r="D155">
        <v>2.2999999999999998</v>
      </c>
      <c r="E155" t="str">
        <f t="shared" si="12"/>
        <v>Good</v>
      </c>
      <c r="F155" s="1">
        <v>45723.226388888892</v>
      </c>
      <c r="G155" s="1" t="str">
        <f t="shared" si="13"/>
        <v>Friday</v>
      </c>
      <c r="H155" s="1" t="str">
        <f t="shared" si="14"/>
        <v>March</v>
      </c>
      <c r="I155" s="1" t="str">
        <f t="shared" si="15"/>
        <v>2025</v>
      </c>
      <c r="J155" t="b">
        <v>0</v>
      </c>
      <c r="K155" t="s">
        <v>15</v>
      </c>
      <c r="L155">
        <v>4</v>
      </c>
      <c r="M155">
        <v>51</v>
      </c>
      <c r="N155" t="str">
        <f t="shared" si="16"/>
        <v>Adults</v>
      </c>
      <c r="O155" t="s">
        <v>59</v>
      </c>
      <c r="P155" t="s">
        <v>9</v>
      </c>
    </row>
    <row r="156" spans="1:16" x14ac:dyDescent="0.25">
      <c r="A156">
        <v>9107502</v>
      </c>
      <c r="B156" t="s">
        <v>13</v>
      </c>
      <c r="C156" t="s">
        <v>47</v>
      </c>
      <c r="D156">
        <v>1.1000000000000001</v>
      </c>
      <c r="E156" t="str">
        <f t="shared" si="12"/>
        <v>Poor</v>
      </c>
      <c r="F156" s="1">
        <v>45284.09375</v>
      </c>
      <c r="G156" s="1" t="str">
        <f t="shared" si="13"/>
        <v>Sunday</v>
      </c>
      <c r="H156" s="1" t="str">
        <f t="shared" si="14"/>
        <v>December</v>
      </c>
      <c r="I156" s="1" t="str">
        <f t="shared" si="15"/>
        <v>2023</v>
      </c>
      <c r="J156" t="b">
        <v>1</v>
      </c>
      <c r="K156" t="s">
        <v>2</v>
      </c>
      <c r="L156">
        <v>1241</v>
      </c>
      <c r="M156">
        <v>26</v>
      </c>
      <c r="N156" t="str">
        <f t="shared" si="16"/>
        <v>Adults</v>
      </c>
      <c r="O156" t="s">
        <v>66</v>
      </c>
      <c r="P156" t="s">
        <v>4</v>
      </c>
    </row>
    <row r="157" spans="1:16" x14ac:dyDescent="0.25">
      <c r="A157">
        <v>5569119</v>
      </c>
      <c r="B157" t="s">
        <v>80</v>
      </c>
      <c r="C157" t="s">
        <v>31</v>
      </c>
      <c r="D157">
        <v>4</v>
      </c>
      <c r="E157" t="str">
        <f t="shared" si="12"/>
        <v>Very Good</v>
      </c>
      <c r="F157" s="1">
        <v>45291.95</v>
      </c>
      <c r="G157" s="1" t="str">
        <f t="shared" si="13"/>
        <v>Sunday</v>
      </c>
      <c r="H157" s="1" t="str">
        <f t="shared" si="14"/>
        <v>December</v>
      </c>
      <c r="I157" s="1" t="str">
        <f t="shared" si="15"/>
        <v>2023</v>
      </c>
      <c r="J157" t="b">
        <v>1</v>
      </c>
      <c r="K157" t="s">
        <v>15</v>
      </c>
      <c r="L157">
        <v>531</v>
      </c>
      <c r="M157">
        <v>72</v>
      </c>
      <c r="N157" t="str">
        <f t="shared" si="16"/>
        <v>Seniors</v>
      </c>
      <c r="O157" t="s">
        <v>19</v>
      </c>
      <c r="P157" t="s">
        <v>4</v>
      </c>
    </row>
    <row r="158" spans="1:16" x14ac:dyDescent="0.25">
      <c r="A158">
        <v>8312178</v>
      </c>
      <c r="B158" t="s">
        <v>13</v>
      </c>
      <c r="C158" t="s">
        <v>75</v>
      </c>
      <c r="D158">
        <v>4.2</v>
      </c>
      <c r="E158" t="str">
        <f t="shared" si="12"/>
        <v>Excellent</v>
      </c>
      <c r="F158" s="1">
        <v>45548.765972222223</v>
      </c>
      <c r="G158" s="1" t="str">
        <f t="shared" si="13"/>
        <v>Friday</v>
      </c>
      <c r="H158" s="1" t="str">
        <f t="shared" si="14"/>
        <v>September</v>
      </c>
      <c r="I158" s="1" t="str">
        <f t="shared" si="15"/>
        <v>2024</v>
      </c>
      <c r="J158" t="b">
        <v>0</v>
      </c>
      <c r="K158" t="s">
        <v>15</v>
      </c>
      <c r="L158">
        <v>867</v>
      </c>
      <c r="M158">
        <v>74</v>
      </c>
      <c r="N158" t="str">
        <f t="shared" si="16"/>
        <v>Seniors</v>
      </c>
      <c r="O158" t="s">
        <v>3</v>
      </c>
      <c r="P158" t="s">
        <v>4</v>
      </c>
    </row>
    <row r="159" spans="1:16" x14ac:dyDescent="0.25">
      <c r="A159">
        <v>6685795</v>
      </c>
      <c r="B159" t="s">
        <v>45</v>
      </c>
      <c r="C159" t="s">
        <v>38</v>
      </c>
      <c r="D159">
        <v>2.2000000000000002</v>
      </c>
      <c r="E159" t="str">
        <f t="shared" si="12"/>
        <v>Good</v>
      </c>
      <c r="F159" s="1">
        <v>45594.818055555559</v>
      </c>
      <c r="G159" s="1" t="str">
        <f t="shared" si="13"/>
        <v>Tuesday</v>
      </c>
      <c r="H159" s="1" t="str">
        <f t="shared" si="14"/>
        <v>October</v>
      </c>
      <c r="I159" s="1" t="str">
        <f t="shared" si="15"/>
        <v>2024</v>
      </c>
      <c r="J159" t="b">
        <v>1</v>
      </c>
      <c r="K159" t="s">
        <v>2</v>
      </c>
      <c r="L159">
        <v>134</v>
      </c>
      <c r="M159">
        <v>19</v>
      </c>
      <c r="N159" t="str">
        <f t="shared" si="16"/>
        <v>Adults</v>
      </c>
      <c r="O159" t="s">
        <v>55</v>
      </c>
      <c r="P159" t="s">
        <v>9</v>
      </c>
    </row>
    <row r="160" spans="1:16" x14ac:dyDescent="0.25">
      <c r="A160">
        <v>1521902</v>
      </c>
      <c r="B160" t="s">
        <v>89</v>
      </c>
      <c r="C160" t="s">
        <v>18</v>
      </c>
      <c r="D160">
        <v>4.9000000000000004</v>
      </c>
      <c r="E160" t="str">
        <f t="shared" si="12"/>
        <v>Excellent</v>
      </c>
      <c r="F160" s="1">
        <v>45660.921527777777</v>
      </c>
      <c r="G160" s="1" t="str">
        <f t="shared" si="13"/>
        <v>Friday</v>
      </c>
      <c r="H160" s="1" t="str">
        <f t="shared" si="14"/>
        <v>January</v>
      </c>
      <c r="I160" s="1" t="str">
        <f t="shared" si="15"/>
        <v>2025</v>
      </c>
      <c r="J160" t="b">
        <v>1</v>
      </c>
      <c r="K160" t="s">
        <v>21</v>
      </c>
      <c r="L160">
        <v>613</v>
      </c>
      <c r="M160">
        <v>39</v>
      </c>
      <c r="N160" t="str">
        <f t="shared" si="16"/>
        <v>Adults</v>
      </c>
      <c r="O160" t="s">
        <v>44</v>
      </c>
      <c r="P160" t="s">
        <v>4</v>
      </c>
    </row>
    <row r="161" spans="1:16" x14ac:dyDescent="0.25">
      <c r="A161">
        <v>5223426</v>
      </c>
      <c r="B161" t="s">
        <v>0</v>
      </c>
      <c r="C161" t="s">
        <v>47</v>
      </c>
      <c r="D161">
        <v>1.7</v>
      </c>
      <c r="E161" t="str">
        <f t="shared" si="12"/>
        <v>Poor</v>
      </c>
      <c r="F161" s="1">
        <v>45229.714583333334</v>
      </c>
      <c r="G161" s="1" t="str">
        <f t="shared" si="13"/>
        <v>Monday</v>
      </c>
      <c r="H161" s="1" t="str">
        <f t="shared" si="14"/>
        <v>October</v>
      </c>
      <c r="I161" s="1" t="str">
        <f t="shared" si="15"/>
        <v>2023</v>
      </c>
      <c r="J161" t="b">
        <v>1</v>
      </c>
      <c r="K161" t="s">
        <v>21</v>
      </c>
      <c r="L161">
        <v>503</v>
      </c>
      <c r="M161">
        <v>24</v>
      </c>
      <c r="N161" t="str">
        <f t="shared" si="16"/>
        <v>Adults</v>
      </c>
      <c r="O161" t="s">
        <v>68</v>
      </c>
      <c r="P161" t="s">
        <v>9</v>
      </c>
    </row>
    <row r="162" spans="1:16" x14ac:dyDescent="0.25">
      <c r="A162">
        <v>6363036</v>
      </c>
      <c r="B162" t="s">
        <v>10</v>
      </c>
      <c r="C162" t="s">
        <v>18</v>
      </c>
      <c r="D162">
        <v>1.7</v>
      </c>
      <c r="E162" t="str">
        <f t="shared" si="12"/>
        <v>Poor</v>
      </c>
      <c r="F162" s="1">
        <v>45677.486111111109</v>
      </c>
      <c r="G162" s="1" t="str">
        <f t="shared" si="13"/>
        <v>Monday</v>
      </c>
      <c r="H162" s="1" t="str">
        <f t="shared" si="14"/>
        <v>January</v>
      </c>
      <c r="I162" s="1" t="str">
        <f t="shared" si="15"/>
        <v>2025</v>
      </c>
      <c r="J162" t="b">
        <v>1</v>
      </c>
      <c r="K162" t="s">
        <v>21</v>
      </c>
      <c r="L162">
        <v>888</v>
      </c>
      <c r="M162">
        <v>69</v>
      </c>
      <c r="N162" t="str">
        <f t="shared" si="16"/>
        <v>Seniors</v>
      </c>
      <c r="O162" t="s">
        <v>37</v>
      </c>
      <c r="P162" t="s">
        <v>9</v>
      </c>
    </row>
    <row r="163" spans="1:16" x14ac:dyDescent="0.25">
      <c r="A163">
        <v>5377776</v>
      </c>
      <c r="B163" t="s">
        <v>30</v>
      </c>
      <c r="C163" t="s">
        <v>38</v>
      </c>
      <c r="D163">
        <v>2.5</v>
      </c>
      <c r="E163" t="str">
        <f t="shared" si="12"/>
        <v>Good</v>
      </c>
      <c r="F163" s="1">
        <v>45792.867361111108</v>
      </c>
      <c r="G163" s="1" t="str">
        <f t="shared" si="13"/>
        <v>Thursday</v>
      </c>
      <c r="H163" s="1" t="str">
        <f t="shared" si="14"/>
        <v>May</v>
      </c>
      <c r="I163" s="1" t="str">
        <f t="shared" si="15"/>
        <v>2025</v>
      </c>
      <c r="J163" t="b">
        <v>1</v>
      </c>
      <c r="K163" t="s">
        <v>2</v>
      </c>
      <c r="L163">
        <v>649</v>
      </c>
      <c r="M163">
        <v>30</v>
      </c>
      <c r="N163" t="str">
        <f t="shared" ref="N163:N191" si="17">IF(M163&lt;=17,"Teenagers", IF(AND(M163&gt;=18,M163&lt;61),"Adults",IF(M163&gt;60,"Seniors")))</f>
        <v>Adults</v>
      </c>
      <c r="O163" t="s">
        <v>8</v>
      </c>
      <c r="P163" t="s">
        <v>9</v>
      </c>
    </row>
    <row r="164" spans="1:16" x14ac:dyDescent="0.25">
      <c r="A164">
        <v>260783</v>
      </c>
      <c r="B164" t="s">
        <v>79</v>
      </c>
      <c r="C164" t="s">
        <v>31</v>
      </c>
      <c r="D164">
        <v>4.3</v>
      </c>
      <c r="E164" t="str">
        <f t="shared" si="12"/>
        <v>Excellent</v>
      </c>
      <c r="F164" s="1">
        <v>45556.450694444444</v>
      </c>
      <c r="G164" s="1" t="str">
        <f t="shared" si="13"/>
        <v>Saturday</v>
      </c>
      <c r="H164" s="1" t="str">
        <f t="shared" si="14"/>
        <v>September</v>
      </c>
      <c r="I164" s="1" t="str">
        <f t="shared" si="15"/>
        <v>2024</v>
      </c>
      <c r="J164" t="b">
        <v>1</v>
      </c>
      <c r="K164" t="s">
        <v>58</v>
      </c>
      <c r="L164">
        <v>966</v>
      </c>
      <c r="M164">
        <v>54</v>
      </c>
      <c r="N164" t="str">
        <f t="shared" si="17"/>
        <v>Adults</v>
      </c>
      <c r="O164" t="s">
        <v>50</v>
      </c>
      <c r="P164" t="s">
        <v>4</v>
      </c>
    </row>
    <row r="165" spans="1:16" x14ac:dyDescent="0.25">
      <c r="A165">
        <v>798108</v>
      </c>
      <c r="B165" t="s">
        <v>35</v>
      </c>
      <c r="C165" t="s">
        <v>47</v>
      </c>
      <c r="D165">
        <v>2.2999999999999998</v>
      </c>
      <c r="E165" t="str">
        <f t="shared" si="12"/>
        <v>Good</v>
      </c>
      <c r="F165" s="1">
        <v>45807.674305555556</v>
      </c>
      <c r="G165" s="1" t="str">
        <f t="shared" si="13"/>
        <v>Friday</v>
      </c>
      <c r="H165" s="1" t="str">
        <f t="shared" si="14"/>
        <v>May</v>
      </c>
      <c r="I165" s="1" t="str">
        <f t="shared" si="15"/>
        <v>2025</v>
      </c>
      <c r="J165" t="b">
        <v>0</v>
      </c>
      <c r="K165" t="s">
        <v>58</v>
      </c>
      <c r="L165">
        <v>1162</v>
      </c>
      <c r="M165">
        <v>63</v>
      </c>
      <c r="N165" t="str">
        <f t="shared" si="17"/>
        <v>Seniors</v>
      </c>
      <c r="O165" t="s">
        <v>16</v>
      </c>
      <c r="P165" t="s">
        <v>4</v>
      </c>
    </row>
    <row r="166" spans="1:16" x14ac:dyDescent="0.25">
      <c r="A166">
        <v>7283451</v>
      </c>
      <c r="B166" t="s">
        <v>71</v>
      </c>
      <c r="C166" t="s">
        <v>11</v>
      </c>
      <c r="D166">
        <v>2.2999999999999998</v>
      </c>
      <c r="E166" t="str">
        <f t="shared" si="12"/>
        <v>Good</v>
      </c>
      <c r="F166" s="1">
        <v>45267.799305555556</v>
      </c>
      <c r="G166" s="1" t="str">
        <f t="shared" si="13"/>
        <v>Thursday</v>
      </c>
      <c r="H166" s="1" t="str">
        <f t="shared" si="14"/>
        <v>December</v>
      </c>
      <c r="I166" s="1" t="str">
        <f t="shared" si="15"/>
        <v>2023</v>
      </c>
      <c r="J166" t="b">
        <v>0</v>
      </c>
      <c r="K166" t="s">
        <v>2</v>
      </c>
      <c r="L166">
        <v>623</v>
      </c>
      <c r="M166">
        <v>18</v>
      </c>
      <c r="N166" t="str">
        <f t="shared" si="17"/>
        <v>Adults</v>
      </c>
      <c r="O166" t="s">
        <v>39</v>
      </c>
      <c r="P166" t="s">
        <v>9</v>
      </c>
    </row>
    <row r="167" spans="1:16" x14ac:dyDescent="0.25">
      <c r="A167">
        <v>1661871</v>
      </c>
      <c r="B167" t="s">
        <v>80</v>
      </c>
      <c r="C167" t="s">
        <v>29</v>
      </c>
      <c r="D167">
        <v>2.6</v>
      </c>
      <c r="E167" t="str">
        <f t="shared" si="12"/>
        <v>Good</v>
      </c>
      <c r="F167" s="1">
        <v>45451.78125</v>
      </c>
      <c r="G167" s="1" t="str">
        <f t="shared" si="13"/>
        <v>Saturday</v>
      </c>
      <c r="H167" s="1" t="str">
        <f t="shared" si="14"/>
        <v>June</v>
      </c>
      <c r="I167" s="1" t="str">
        <f t="shared" si="15"/>
        <v>2024</v>
      </c>
      <c r="J167" t="b">
        <v>1</v>
      </c>
      <c r="K167" t="s">
        <v>58</v>
      </c>
      <c r="L167">
        <v>22</v>
      </c>
      <c r="M167">
        <v>56</v>
      </c>
      <c r="N167" t="str">
        <f t="shared" si="17"/>
        <v>Adults</v>
      </c>
      <c r="O167" t="s">
        <v>86</v>
      </c>
      <c r="P167" t="s">
        <v>4</v>
      </c>
    </row>
    <row r="168" spans="1:16" x14ac:dyDescent="0.25">
      <c r="A168">
        <v>4767852</v>
      </c>
      <c r="B168" t="s">
        <v>61</v>
      </c>
      <c r="C168" t="s">
        <v>38</v>
      </c>
      <c r="D168">
        <v>3.4</v>
      </c>
      <c r="E168" t="str">
        <f t="shared" si="12"/>
        <v>Very Good</v>
      </c>
      <c r="F168" s="1">
        <v>45678.470138888886</v>
      </c>
      <c r="G168" s="1" t="str">
        <f t="shared" si="13"/>
        <v>Tuesday</v>
      </c>
      <c r="H168" s="1" t="str">
        <f t="shared" si="14"/>
        <v>January</v>
      </c>
      <c r="I168" s="1" t="str">
        <f t="shared" si="15"/>
        <v>2025</v>
      </c>
      <c r="J168" t="b">
        <v>1</v>
      </c>
      <c r="K168" t="s">
        <v>58</v>
      </c>
      <c r="L168">
        <v>772</v>
      </c>
      <c r="M168">
        <v>62</v>
      </c>
      <c r="N168" t="str">
        <f t="shared" si="17"/>
        <v>Seniors</v>
      </c>
      <c r="O168" t="s">
        <v>68</v>
      </c>
      <c r="P168" t="s">
        <v>4</v>
      </c>
    </row>
    <row r="169" spans="1:16" x14ac:dyDescent="0.25">
      <c r="A169">
        <v>7728527</v>
      </c>
      <c r="B169" t="s">
        <v>23</v>
      </c>
      <c r="C169" t="s">
        <v>85</v>
      </c>
      <c r="D169">
        <v>1.4</v>
      </c>
      <c r="E169" t="str">
        <f t="shared" si="12"/>
        <v>Poor</v>
      </c>
      <c r="F169" s="1">
        <v>45389.654861111114</v>
      </c>
      <c r="G169" s="1" t="str">
        <f t="shared" si="13"/>
        <v>Sunday</v>
      </c>
      <c r="H169" s="1" t="str">
        <f t="shared" si="14"/>
        <v>April</v>
      </c>
      <c r="I169" s="1" t="str">
        <f t="shared" si="15"/>
        <v>2024</v>
      </c>
      <c r="J169" t="b">
        <v>1</v>
      </c>
      <c r="K169" t="s">
        <v>7</v>
      </c>
      <c r="L169">
        <v>660</v>
      </c>
      <c r="M169">
        <v>48</v>
      </c>
      <c r="N169" t="str">
        <f t="shared" si="17"/>
        <v>Adults</v>
      </c>
      <c r="O169" t="s">
        <v>24</v>
      </c>
      <c r="P169" t="s">
        <v>4</v>
      </c>
    </row>
    <row r="170" spans="1:16" x14ac:dyDescent="0.25">
      <c r="A170">
        <v>5766591</v>
      </c>
      <c r="B170" t="s">
        <v>70</v>
      </c>
      <c r="C170" t="s">
        <v>47</v>
      </c>
      <c r="D170">
        <v>1.9</v>
      </c>
      <c r="E170" t="str">
        <f t="shared" si="12"/>
        <v>Poor</v>
      </c>
      <c r="F170" s="1">
        <v>45563.986805555556</v>
      </c>
      <c r="G170" s="1" t="str">
        <f t="shared" si="13"/>
        <v>Saturday</v>
      </c>
      <c r="H170" s="1" t="str">
        <f t="shared" si="14"/>
        <v>September</v>
      </c>
      <c r="I170" s="1" t="str">
        <f t="shared" si="15"/>
        <v>2024</v>
      </c>
      <c r="J170" t="b">
        <v>1</v>
      </c>
      <c r="K170" t="s">
        <v>7</v>
      </c>
      <c r="L170">
        <v>755</v>
      </c>
      <c r="M170">
        <v>15</v>
      </c>
      <c r="N170" t="str">
        <f t="shared" si="17"/>
        <v>Teenagers</v>
      </c>
      <c r="O170" t="s">
        <v>3</v>
      </c>
      <c r="P170" t="s">
        <v>4</v>
      </c>
    </row>
    <row r="171" spans="1:16" x14ac:dyDescent="0.25">
      <c r="A171">
        <v>2291007</v>
      </c>
      <c r="B171" t="s">
        <v>17</v>
      </c>
      <c r="C171" t="s">
        <v>29</v>
      </c>
      <c r="D171">
        <v>1.7</v>
      </c>
      <c r="E171" t="str">
        <f t="shared" si="12"/>
        <v>Poor</v>
      </c>
      <c r="F171" s="1">
        <v>45578.613194444442</v>
      </c>
      <c r="G171" s="1" t="str">
        <f t="shared" si="13"/>
        <v>Sunday</v>
      </c>
      <c r="H171" s="1" t="str">
        <f t="shared" si="14"/>
        <v>October</v>
      </c>
      <c r="I171" s="1" t="str">
        <f t="shared" si="15"/>
        <v>2024</v>
      </c>
      <c r="J171" t="b">
        <v>1</v>
      </c>
      <c r="K171" t="s">
        <v>7</v>
      </c>
      <c r="L171">
        <v>987</v>
      </c>
      <c r="M171">
        <v>17</v>
      </c>
      <c r="N171" t="str">
        <f t="shared" si="17"/>
        <v>Teenagers</v>
      </c>
      <c r="O171" t="s">
        <v>44</v>
      </c>
      <c r="P171" t="s">
        <v>9</v>
      </c>
    </row>
    <row r="172" spans="1:16" x14ac:dyDescent="0.25">
      <c r="A172">
        <v>912172</v>
      </c>
      <c r="B172" t="s">
        <v>61</v>
      </c>
      <c r="C172" t="s">
        <v>18</v>
      </c>
      <c r="D172">
        <v>4</v>
      </c>
      <c r="E172" t="str">
        <f t="shared" si="12"/>
        <v>Very Good</v>
      </c>
      <c r="F172" s="1">
        <v>45351.715277777781</v>
      </c>
      <c r="G172" s="1" t="str">
        <f t="shared" si="13"/>
        <v>Thursday</v>
      </c>
      <c r="H172" s="1" t="str">
        <f t="shared" si="14"/>
        <v>February</v>
      </c>
      <c r="I172" s="1" t="str">
        <f t="shared" si="15"/>
        <v>2024</v>
      </c>
      <c r="J172" t="b">
        <v>1</v>
      </c>
      <c r="K172" t="s">
        <v>15</v>
      </c>
      <c r="L172">
        <v>678</v>
      </c>
      <c r="M172">
        <v>34</v>
      </c>
      <c r="N172" t="str">
        <f t="shared" si="17"/>
        <v>Adults</v>
      </c>
      <c r="O172" t="s">
        <v>12</v>
      </c>
      <c r="P172" t="s">
        <v>4</v>
      </c>
    </row>
    <row r="173" spans="1:16" x14ac:dyDescent="0.25">
      <c r="A173">
        <v>6147102</v>
      </c>
      <c r="B173" t="s">
        <v>74</v>
      </c>
      <c r="C173" t="s">
        <v>11</v>
      </c>
      <c r="D173">
        <v>4.8</v>
      </c>
      <c r="E173" t="str">
        <f t="shared" si="12"/>
        <v>Excellent</v>
      </c>
      <c r="F173" s="1">
        <v>45333.361111111109</v>
      </c>
      <c r="G173" s="1" t="str">
        <f t="shared" si="13"/>
        <v>Sunday</v>
      </c>
      <c r="H173" s="1" t="str">
        <f t="shared" si="14"/>
        <v>February</v>
      </c>
      <c r="I173" s="1" t="str">
        <f t="shared" si="15"/>
        <v>2024</v>
      </c>
      <c r="J173" t="b">
        <v>1</v>
      </c>
      <c r="K173" t="s">
        <v>58</v>
      </c>
      <c r="L173">
        <v>289</v>
      </c>
      <c r="M173">
        <v>73</v>
      </c>
      <c r="N173" t="str">
        <f t="shared" si="17"/>
        <v>Seniors</v>
      </c>
      <c r="O173" t="s">
        <v>68</v>
      </c>
      <c r="P173" t="s">
        <v>4</v>
      </c>
    </row>
    <row r="174" spans="1:16" x14ac:dyDescent="0.25">
      <c r="A174">
        <v>6338503</v>
      </c>
      <c r="B174" t="s">
        <v>62</v>
      </c>
      <c r="C174" t="s">
        <v>75</v>
      </c>
      <c r="D174">
        <v>2</v>
      </c>
      <c r="E174" t="str">
        <f t="shared" si="12"/>
        <v>Good</v>
      </c>
      <c r="F174" s="1">
        <v>45655.017361111109</v>
      </c>
      <c r="G174" s="1" t="str">
        <f t="shared" si="13"/>
        <v>Sunday</v>
      </c>
      <c r="H174" s="1" t="str">
        <f t="shared" si="14"/>
        <v>December</v>
      </c>
      <c r="I174" s="1" t="str">
        <f t="shared" si="15"/>
        <v>2024</v>
      </c>
      <c r="J174" t="b">
        <v>0</v>
      </c>
      <c r="K174" t="s">
        <v>7</v>
      </c>
      <c r="L174">
        <v>1180</v>
      </c>
      <c r="M174">
        <v>41</v>
      </c>
      <c r="N174" t="str">
        <f t="shared" si="17"/>
        <v>Adults</v>
      </c>
      <c r="O174" t="s">
        <v>24</v>
      </c>
      <c r="P174" t="s">
        <v>4</v>
      </c>
    </row>
    <row r="175" spans="1:16" x14ac:dyDescent="0.25">
      <c r="A175">
        <v>1513458</v>
      </c>
      <c r="B175" t="s">
        <v>41</v>
      </c>
      <c r="C175" t="s">
        <v>11</v>
      </c>
      <c r="D175">
        <v>2.5</v>
      </c>
      <c r="E175" t="str">
        <f t="shared" si="12"/>
        <v>Good</v>
      </c>
      <c r="F175" s="1">
        <v>45148.250694444447</v>
      </c>
      <c r="G175" s="1" t="str">
        <f t="shared" si="13"/>
        <v>Thursday</v>
      </c>
      <c r="H175" s="1" t="str">
        <f t="shared" si="14"/>
        <v>August</v>
      </c>
      <c r="I175" s="1" t="str">
        <f t="shared" si="15"/>
        <v>2023</v>
      </c>
      <c r="J175" t="b">
        <v>1</v>
      </c>
      <c r="K175" t="s">
        <v>21</v>
      </c>
      <c r="L175">
        <v>973</v>
      </c>
      <c r="M175">
        <v>45</v>
      </c>
      <c r="N175" t="str">
        <f t="shared" si="17"/>
        <v>Adults</v>
      </c>
      <c r="O175" t="s">
        <v>53</v>
      </c>
      <c r="P175" t="s">
        <v>4</v>
      </c>
    </row>
    <row r="176" spans="1:16" x14ac:dyDescent="0.25">
      <c r="A176">
        <v>9635840</v>
      </c>
      <c r="B176" t="s">
        <v>82</v>
      </c>
      <c r="C176" t="s">
        <v>38</v>
      </c>
      <c r="D176">
        <v>4.8</v>
      </c>
      <c r="E176" t="str">
        <f t="shared" si="12"/>
        <v>Excellent</v>
      </c>
      <c r="F176" s="1">
        <v>45191.331944444442</v>
      </c>
      <c r="G176" s="1" t="str">
        <f t="shared" si="13"/>
        <v>Friday</v>
      </c>
      <c r="H176" s="1" t="str">
        <f t="shared" si="14"/>
        <v>September</v>
      </c>
      <c r="I176" s="1" t="str">
        <f t="shared" si="15"/>
        <v>2023</v>
      </c>
      <c r="J176" t="b">
        <v>1</v>
      </c>
      <c r="K176" t="s">
        <v>2</v>
      </c>
      <c r="L176">
        <v>1107</v>
      </c>
      <c r="M176">
        <v>28</v>
      </c>
      <c r="N176" t="str">
        <f t="shared" si="17"/>
        <v>Adults</v>
      </c>
      <c r="O176" t="s">
        <v>12</v>
      </c>
      <c r="P176" t="s">
        <v>4</v>
      </c>
    </row>
    <row r="177" spans="1:16" x14ac:dyDescent="0.25">
      <c r="A177">
        <v>3046849</v>
      </c>
      <c r="B177" t="s">
        <v>25</v>
      </c>
      <c r="C177" t="s">
        <v>43</v>
      </c>
      <c r="D177">
        <v>4.5</v>
      </c>
      <c r="E177" t="str">
        <f t="shared" si="12"/>
        <v>Excellent</v>
      </c>
      <c r="F177" s="1">
        <v>45231.652083333334</v>
      </c>
      <c r="G177" s="1" t="str">
        <f t="shared" si="13"/>
        <v>Wednesday</v>
      </c>
      <c r="H177" s="1" t="str">
        <f t="shared" si="14"/>
        <v>November</v>
      </c>
      <c r="I177" s="1" t="str">
        <f t="shared" si="15"/>
        <v>2023</v>
      </c>
      <c r="J177" t="b">
        <v>1</v>
      </c>
      <c r="K177" t="s">
        <v>58</v>
      </c>
      <c r="L177">
        <v>622</v>
      </c>
      <c r="M177">
        <v>42</v>
      </c>
      <c r="N177" t="str">
        <f t="shared" si="17"/>
        <v>Adults</v>
      </c>
      <c r="O177" t="s">
        <v>24</v>
      </c>
      <c r="P177" t="s">
        <v>4</v>
      </c>
    </row>
    <row r="178" spans="1:16" x14ac:dyDescent="0.25">
      <c r="A178">
        <v>2402031</v>
      </c>
      <c r="B178" t="s">
        <v>52</v>
      </c>
      <c r="C178" t="s">
        <v>26</v>
      </c>
      <c r="D178">
        <v>4.7</v>
      </c>
      <c r="E178" t="str">
        <f t="shared" si="12"/>
        <v>Excellent</v>
      </c>
      <c r="F178" s="1">
        <v>45343.116666666669</v>
      </c>
      <c r="G178" s="1" t="str">
        <f t="shared" si="13"/>
        <v>Wednesday</v>
      </c>
      <c r="H178" s="1" t="str">
        <f t="shared" si="14"/>
        <v>February</v>
      </c>
      <c r="I178" s="1" t="str">
        <f t="shared" si="15"/>
        <v>2024</v>
      </c>
      <c r="J178" t="b">
        <v>0</v>
      </c>
      <c r="K178" t="s">
        <v>58</v>
      </c>
      <c r="L178">
        <v>728</v>
      </c>
      <c r="M178">
        <v>75</v>
      </c>
      <c r="N178" t="str">
        <f t="shared" si="17"/>
        <v>Seniors</v>
      </c>
      <c r="O178" t="s">
        <v>59</v>
      </c>
      <c r="P178" t="s">
        <v>4</v>
      </c>
    </row>
    <row r="179" spans="1:16" x14ac:dyDescent="0.25">
      <c r="A179">
        <v>8423974</v>
      </c>
      <c r="B179" t="s">
        <v>35</v>
      </c>
      <c r="C179" t="s">
        <v>57</v>
      </c>
      <c r="D179">
        <v>1.7</v>
      </c>
      <c r="E179" t="str">
        <f t="shared" si="12"/>
        <v>Poor</v>
      </c>
      <c r="F179" s="1">
        <v>45492.44027777778</v>
      </c>
      <c r="G179" s="1" t="str">
        <f t="shared" si="13"/>
        <v>Friday</v>
      </c>
      <c r="H179" s="1" t="str">
        <f t="shared" si="14"/>
        <v>July</v>
      </c>
      <c r="I179" s="1" t="str">
        <f t="shared" si="15"/>
        <v>2024</v>
      </c>
      <c r="J179" t="b">
        <v>1</v>
      </c>
      <c r="K179" t="s">
        <v>2</v>
      </c>
      <c r="L179">
        <v>888</v>
      </c>
      <c r="M179">
        <v>32</v>
      </c>
      <c r="N179" t="str">
        <f t="shared" si="17"/>
        <v>Adults</v>
      </c>
      <c r="O179" t="s">
        <v>19</v>
      </c>
      <c r="P179" t="s">
        <v>4</v>
      </c>
    </row>
    <row r="180" spans="1:16" x14ac:dyDescent="0.25">
      <c r="A180">
        <v>6141876</v>
      </c>
      <c r="B180" t="s">
        <v>69</v>
      </c>
      <c r="C180" t="s">
        <v>11</v>
      </c>
      <c r="D180">
        <v>3.9</v>
      </c>
      <c r="E180" t="str">
        <f t="shared" si="12"/>
        <v>Very Good</v>
      </c>
      <c r="F180" s="1">
        <v>45181.938888888886</v>
      </c>
      <c r="G180" s="1" t="str">
        <f t="shared" si="13"/>
        <v>Tuesday</v>
      </c>
      <c r="H180" s="1" t="str">
        <f t="shared" si="14"/>
        <v>September</v>
      </c>
      <c r="I180" s="1" t="str">
        <f t="shared" si="15"/>
        <v>2023</v>
      </c>
      <c r="J180" t="b">
        <v>1</v>
      </c>
      <c r="K180" t="s">
        <v>58</v>
      </c>
      <c r="L180">
        <v>424</v>
      </c>
      <c r="M180">
        <v>74</v>
      </c>
      <c r="N180" t="str">
        <f t="shared" si="17"/>
        <v>Seniors</v>
      </c>
      <c r="O180" t="s">
        <v>55</v>
      </c>
      <c r="P180" t="s">
        <v>9</v>
      </c>
    </row>
    <row r="181" spans="1:16" x14ac:dyDescent="0.25">
      <c r="A181">
        <v>2739223</v>
      </c>
      <c r="B181" t="s">
        <v>25</v>
      </c>
      <c r="C181" t="s">
        <v>43</v>
      </c>
      <c r="D181">
        <v>4.5999999999999996</v>
      </c>
      <c r="E181" t="str">
        <f t="shared" si="12"/>
        <v>Excellent</v>
      </c>
      <c r="F181" s="1">
        <v>45337.032638888886</v>
      </c>
      <c r="G181" s="1" t="str">
        <f t="shared" si="13"/>
        <v>Thursday</v>
      </c>
      <c r="H181" s="1" t="str">
        <f t="shared" si="14"/>
        <v>February</v>
      </c>
      <c r="I181" s="1" t="str">
        <f t="shared" si="15"/>
        <v>2024</v>
      </c>
      <c r="J181" t="b">
        <v>0</v>
      </c>
      <c r="K181" t="s">
        <v>7</v>
      </c>
      <c r="L181">
        <v>1241</v>
      </c>
      <c r="M181">
        <v>47</v>
      </c>
      <c r="N181" t="str">
        <f t="shared" si="17"/>
        <v>Adults</v>
      </c>
      <c r="O181" t="s">
        <v>50</v>
      </c>
      <c r="P181" t="s">
        <v>4</v>
      </c>
    </row>
    <row r="182" spans="1:16" x14ac:dyDescent="0.25">
      <c r="A182">
        <v>1826457</v>
      </c>
      <c r="B182" t="s">
        <v>64</v>
      </c>
      <c r="C182" t="s">
        <v>20</v>
      </c>
      <c r="D182">
        <v>1.3</v>
      </c>
      <c r="E182" t="str">
        <f t="shared" si="12"/>
        <v>Poor</v>
      </c>
      <c r="F182" s="1">
        <v>45833.476388888892</v>
      </c>
      <c r="G182" s="1" t="str">
        <f t="shared" si="13"/>
        <v>Wednesday</v>
      </c>
      <c r="H182" s="1" t="str">
        <f t="shared" si="14"/>
        <v>June</v>
      </c>
      <c r="I182" s="1" t="str">
        <f t="shared" si="15"/>
        <v>2025</v>
      </c>
      <c r="J182" t="b">
        <v>1</v>
      </c>
      <c r="K182" t="s">
        <v>7</v>
      </c>
      <c r="L182">
        <v>533</v>
      </c>
      <c r="M182">
        <v>37</v>
      </c>
      <c r="N182" t="str">
        <f t="shared" si="17"/>
        <v>Adults</v>
      </c>
      <c r="O182" t="s">
        <v>24</v>
      </c>
      <c r="P182" t="s">
        <v>4</v>
      </c>
    </row>
    <row r="183" spans="1:16" x14ac:dyDescent="0.25">
      <c r="A183">
        <v>5198752</v>
      </c>
      <c r="B183" t="s">
        <v>49</v>
      </c>
      <c r="C183" t="s">
        <v>34</v>
      </c>
      <c r="D183">
        <v>3.5</v>
      </c>
      <c r="E183" t="str">
        <f t="shared" si="12"/>
        <v>Very Good</v>
      </c>
      <c r="F183" s="1">
        <v>45255.826388888891</v>
      </c>
      <c r="G183" s="1" t="str">
        <f t="shared" si="13"/>
        <v>Saturday</v>
      </c>
      <c r="H183" s="1" t="str">
        <f t="shared" si="14"/>
        <v>November</v>
      </c>
      <c r="I183" s="1" t="str">
        <f t="shared" si="15"/>
        <v>2023</v>
      </c>
      <c r="J183" t="b">
        <v>1</v>
      </c>
      <c r="K183" t="s">
        <v>58</v>
      </c>
      <c r="L183">
        <v>625</v>
      </c>
      <c r="M183">
        <v>39</v>
      </c>
      <c r="N183" t="str">
        <f t="shared" si="17"/>
        <v>Adults</v>
      </c>
      <c r="O183" t="s">
        <v>44</v>
      </c>
      <c r="P183" t="s">
        <v>9</v>
      </c>
    </row>
    <row r="184" spans="1:16" x14ac:dyDescent="0.25">
      <c r="A184">
        <v>1144933</v>
      </c>
      <c r="B184" t="s">
        <v>78</v>
      </c>
      <c r="C184" t="s">
        <v>6</v>
      </c>
      <c r="D184">
        <v>5</v>
      </c>
      <c r="E184" t="str">
        <f t="shared" si="12"/>
        <v>Excellent</v>
      </c>
      <c r="F184" s="1">
        <v>45476.738888888889</v>
      </c>
      <c r="G184" s="1" t="str">
        <f t="shared" si="13"/>
        <v>Wednesday</v>
      </c>
      <c r="H184" s="1" t="str">
        <f t="shared" si="14"/>
        <v>July</v>
      </c>
      <c r="I184" s="1" t="str">
        <f t="shared" si="15"/>
        <v>2024</v>
      </c>
      <c r="J184" t="b">
        <v>0</v>
      </c>
      <c r="K184" t="s">
        <v>15</v>
      </c>
      <c r="L184">
        <v>878</v>
      </c>
      <c r="M184">
        <v>25</v>
      </c>
      <c r="N184" t="str">
        <f t="shared" si="17"/>
        <v>Adults</v>
      </c>
      <c r="O184" t="s">
        <v>59</v>
      </c>
      <c r="P184" t="s">
        <v>9</v>
      </c>
    </row>
    <row r="185" spans="1:16" x14ac:dyDescent="0.25">
      <c r="A185">
        <v>4478701</v>
      </c>
      <c r="B185" t="s">
        <v>32</v>
      </c>
      <c r="C185" t="s">
        <v>38</v>
      </c>
      <c r="D185">
        <v>4.8</v>
      </c>
      <c r="E185" t="str">
        <f t="shared" si="12"/>
        <v>Excellent</v>
      </c>
      <c r="F185" s="1">
        <v>45799.802083333336</v>
      </c>
      <c r="G185" s="1" t="str">
        <f t="shared" si="13"/>
        <v>Thursday</v>
      </c>
      <c r="H185" s="1" t="str">
        <f t="shared" si="14"/>
        <v>May</v>
      </c>
      <c r="I185" s="1" t="str">
        <f t="shared" si="15"/>
        <v>2025</v>
      </c>
      <c r="J185" t="b">
        <v>1</v>
      </c>
      <c r="K185" t="s">
        <v>2</v>
      </c>
      <c r="L185">
        <v>505</v>
      </c>
      <c r="M185">
        <v>33</v>
      </c>
      <c r="N185" t="str">
        <f t="shared" si="17"/>
        <v>Adults</v>
      </c>
      <c r="O185" t="s">
        <v>16</v>
      </c>
      <c r="P185" t="s">
        <v>4</v>
      </c>
    </row>
    <row r="186" spans="1:16" x14ac:dyDescent="0.25">
      <c r="A186">
        <v>4546095</v>
      </c>
      <c r="B186" t="s">
        <v>17</v>
      </c>
      <c r="C186" t="s">
        <v>85</v>
      </c>
      <c r="D186">
        <v>4.4000000000000004</v>
      </c>
      <c r="E186" t="str">
        <f t="shared" si="12"/>
        <v>Excellent</v>
      </c>
      <c r="F186" s="1">
        <v>45340.955555555556</v>
      </c>
      <c r="G186" s="1" t="str">
        <f t="shared" si="13"/>
        <v>Sunday</v>
      </c>
      <c r="H186" s="1" t="str">
        <f t="shared" si="14"/>
        <v>February</v>
      </c>
      <c r="I186" s="1" t="str">
        <f t="shared" si="15"/>
        <v>2024</v>
      </c>
      <c r="J186" t="b">
        <v>1</v>
      </c>
      <c r="K186" t="s">
        <v>7</v>
      </c>
      <c r="L186">
        <v>549</v>
      </c>
      <c r="M186">
        <v>48</v>
      </c>
      <c r="N186" t="str">
        <f t="shared" si="17"/>
        <v>Adults</v>
      </c>
      <c r="O186" t="s">
        <v>48</v>
      </c>
      <c r="P186" t="s">
        <v>4</v>
      </c>
    </row>
    <row r="187" spans="1:16" x14ac:dyDescent="0.25">
      <c r="A187">
        <v>4291831</v>
      </c>
      <c r="B187" t="s">
        <v>61</v>
      </c>
      <c r="C187" t="s">
        <v>6</v>
      </c>
      <c r="D187">
        <v>3.9</v>
      </c>
      <c r="E187" t="str">
        <f t="shared" si="12"/>
        <v>Very Good</v>
      </c>
      <c r="F187" s="1">
        <v>45212.453472222223</v>
      </c>
      <c r="G187" s="1" t="str">
        <f t="shared" si="13"/>
        <v>Friday</v>
      </c>
      <c r="H187" s="1" t="str">
        <f t="shared" si="14"/>
        <v>October</v>
      </c>
      <c r="I187" s="1" t="str">
        <f t="shared" si="15"/>
        <v>2023</v>
      </c>
      <c r="J187" t="b">
        <v>1</v>
      </c>
      <c r="K187" t="s">
        <v>7</v>
      </c>
      <c r="L187">
        <v>303</v>
      </c>
      <c r="M187">
        <v>70</v>
      </c>
      <c r="N187" t="str">
        <f t="shared" si="17"/>
        <v>Seniors</v>
      </c>
      <c r="O187" t="s">
        <v>59</v>
      </c>
      <c r="P187" t="s">
        <v>9</v>
      </c>
    </row>
    <row r="188" spans="1:16" x14ac:dyDescent="0.25">
      <c r="A188">
        <v>2137647</v>
      </c>
      <c r="B188" t="s">
        <v>60</v>
      </c>
      <c r="C188" t="s">
        <v>11</v>
      </c>
      <c r="D188">
        <v>1.6</v>
      </c>
      <c r="E188" t="str">
        <f t="shared" si="12"/>
        <v>Poor</v>
      </c>
      <c r="F188" s="1">
        <v>45148.165277777778</v>
      </c>
      <c r="G188" s="1" t="str">
        <f t="shared" si="13"/>
        <v>Thursday</v>
      </c>
      <c r="H188" s="1" t="str">
        <f t="shared" si="14"/>
        <v>August</v>
      </c>
      <c r="I188" s="1" t="str">
        <f t="shared" si="15"/>
        <v>2023</v>
      </c>
      <c r="J188" t="b">
        <v>1</v>
      </c>
      <c r="K188" t="s">
        <v>21</v>
      </c>
      <c r="L188">
        <v>27</v>
      </c>
      <c r="M188">
        <v>63</v>
      </c>
      <c r="N188" t="str">
        <f t="shared" si="17"/>
        <v>Seniors</v>
      </c>
      <c r="O188" t="s">
        <v>66</v>
      </c>
      <c r="P188" t="s">
        <v>9</v>
      </c>
    </row>
    <row r="189" spans="1:16" x14ac:dyDescent="0.25">
      <c r="A189">
        <v>3829376</v>
      </c>
      <c r="B189" t="s">
        <v>17</v>
      </c>
      <c r="C189" t="s">
        <v>34</v>
      </c>
      <c r="D189">
        <v>3.8</v>
      </c>
      <c r="E189" t="str">
        <f t="shared" si="12"/>
        <v>Very Good</v>
      </c>
      <c r="F189" s="1">
        <v>45240.407638888886</v>
      </c>
      <c r="G189" s="1" t="str">
        <f t="shared" si="13"/>
        <v>Friday</v>
      </c>
      <c r="H189" s="1" t="str">
        <f t="shared" si="14"/>
        <v>November</v>
      </c>
      <c r="I189" s="1" t="str">
        <f t="shared" si="15"/>
        <v>2023</v>
      </c>
      <c r="J189" t="b">
        <v>1</v>
      </c>
      <c r="K189" t="s">
        <v>21</v>
      </c>
      <c r="L189">
        <v>252</v>
      </c>
      <c r="M189">
        <v>14</v>
      </c>
      <c r="N189" t="str">
        <f t="shared" si="17"/>
        <v>Teenagers</v>
      </c>
      <c r="O189" t="s">
        <v>16</v>
      </c>
      <c r="P189" t="s">
        <v>9</v>
      </c>
    </row>
    <row r="190" spans="1:16" x14ac:dyDescent="0.25">
      <c r="A190">
        <v>6820647</v>
      </c>
      <c r="B190" t="s">
        <v>74</v>
      </c>
      <c r="C190" t="s">
        <v>26</v>
      </c>
      <c r="D190">
        <v>2.5</v>
      </c>
      <c r="E190" t="str">
        <f t="shared" si="12"/>
        <v>Good</v>
      </c>
      <c r="F190" s="1">
        <v>45428.004861111112</v>
      </c>
      <c r="G190" s="1" t="str">
        <f t="shared" si="13"/>
        <v>Thursday</v>
      </c>
      <c r="H190" s="1" t="str">
        <f t="shared" si="14"/>
        <v>May</v>
      </c>
      <c r="I190" s="1" t="str">
        <f t="shared" si="15"/>
        <v>2024</v>
      </c>
      <c r="J190" t="b">
        <v>0</v>
      </c>
      <c r="K190" t="s">
        <v>58</v>
      </c>
      <c r="L190">
        <v>1007</v>
      </c>
      <c r="M190">
        <v>23</v>
      </c>
      <c r="N190" t="str">
        <f t="shared" si="17"/>
        <v>Adults</v>
      </c>
      <c r="O190" t="s">
        <v>48</v>
      </c>
      <c r="P190" t="s">
        <v>4</v>
      </c>
    </row>
    <row r="191" spans="1:16" x14ac:dyDescent="0.25">
      <c r="A191">
        <v>7539543</v>
      </c>
      <c r="B191" t="s">
        <v>5</v>
      </c>
      <c r="C191" t="s">
        <v>57</v>
      </c>
      <c r="D191">
        <v>2.4</v>
      </c>
      <c r="E191" t="str">
        <f t="shared" si="12"/>
        <v>Good</v>
      </c>
      <c r="F191" s="1">
        <v>45767.478472222225</v>
      </c>
      <c r="G191" s="1" t="str">
        <f t="shared" si="13"/>
        <v>Sunday</v>
      </c>
      <c r="H191" s="1" t="str">
        <f t="shared" si="14"/>
        <v>April</v>
      </c>
      <c r="I191" s="1" t="str">
        <f t="shared" si="15"/>
        <v>2025</v>
      </c>
      <c r="J191" t="b">
        <v>1</v>
      </c>
      <c r="K191" t="s">
        <v>2</v>
      </c>
      <c r="L191">
        <v>273</v>
      </c>
      <c r="M191">
        <v>71</v>
      </c>
      <c r="N191" t="str">
        <f t="shared" si="17"/>
        <v>Seniors</v>
      </c>
      <c r="O191" t="s">
        <v>48</v>
      </c>
      <c r="P191" t="s">
        <v>9</v>
      </c>
    </row>
    <row r="192" spans="1:16" x14ac:dyDescent="0.25">
      <c r="A192">
        <v>6124901</v>
      </c>
      <c r="B192" t="s">
        <v>88</v>
      </c>
      <c r="C192" t="s">
        <v>75</v>
      </c>
      <c r="D192">
        <v>2</v>
      </c>
      <c r="E192" t="str">
        <f t="shared" si="12"/>
        <v>Good</v>
      </c>
      <c r="F192" s="1">
        <v>45511.459722222222</v>
      </c>
      <c r="G192" s="1" t="str">
        <f t="shared" si="13"/>
        <v>Wednesday</v>
      </c>
      <c r="H192" s="1" t="str">
        <f t="shared" si="14"/>
        <v>August</v>
      </c>
      <c r="I192" s="1" t="str">
        <f t="shared" si="15"/>
        <v>2024</v>
      </c>
      <c r="J192" t="b">
        <v>1</v>
      </c>
      <c r="K192" t="s">
        <v>15</v>
      </c>
      <c r="L192">
        <v>1109</v>
      </c>
      <c r="M192">
        <v>19</v>
      </c>
      <c r="N192" t="str">
        <f t="shared" ref="N192:N218" si="18">IF(M192&lt;=17,"Teenagers", IF(AND(M192&gt;=18,M192&lt;61),"Adults",IF(M192&gt;60,"Seniors")))</f>
        <v>Adults</v>
      </c>
      <c r="O192" t="s">
        <v>3</v>
      </c>
      <c r="P192" t="s">
        <v>4</v>
      </c>
    </row>
    <row r="193" spans="1:16" x14ac:dyDescent="0.25">
      <c r="A193">
        <v>6052633</v>
      </c>
      <c r="B193" t="s">
        <v>32</v>
      </c>
      <c r="C193" t="s">
        <v>1</v>
      </c>
      <c r="D193">
        <v>2.2999999999999998</v>
      </c>
      <c r="E193" t="str">
        <f t="shared" si="12"/>
        <v>Good</v>
      </c>
      <c r="F193" s="1">
        <v>45396.543055555558</v>
      </c>
      <c r="G193" s="1" t="str">
        <f t="shared" si="13"/>
        <v>Sunday</v>
      </c>
      <c r="H193" s="1" t="str">
        <f t="shared" si="14"/>
        <v>April</v>
      </c>
      <c r="I193" s="1" t="str">
        <f t="shared" si="15"/>
        <v>2024</v>
      </c>
      <c r="J193" t="b">
        <v>0</v>
      </c>
      <c r="K193" t="s">
        <v>58</v>
      </c>
      <c r="L193">
        <v>1231</v>
      </c>
      <c r="M193">
        <v>62</v>
      </c>
      <c r="N193" t="str">
        <f t="shared" si="18"/>
        <v>Seniors</v>
      </c>
      <c r="O193" t="s">
        <v>8</v>
      </c>
      <c r="P193" t="s">
        <v>9</v>
      </c>
    </row>
    <row r="194" spans="1:16" x14ac:dyDescent="0.25">
      <c r="A194">
        <v>3617918</v>
      </c>
      <c r="B194" t="s">
        <v>41</v>
      </c>
      <c r="C194" t="s">
        <v>31</v>
      </c>
      <c r="D194">
        <v>4.5999999999999996</v>
      </c>
      <c r="E194" t="str">
        <f t="shared" ref="E194:E257" si="19">IF(D194&lt;2,"Poor",IF(AND(D194&gt;=2,D194&lt;=3),"Good",IF(AND(D194&gt;3,D194&lt;=4),"Very Good",IF(D194&gt;4,"Excellent"))))</f>
        <v>Excellent</v>
      </c>
      <c r="F194" s="1">
        <v>45332.70208333333</v>
      </c>
      <c r="G194" s="1" t="str">
        <f t="shared" ref="G194:G257" si="20">TEXT(F194,"DDDD")</f>
        <v>Saturday</v>
      </c>
      <c r="H194" s="1" t="str">
        <f t="shared" ref="H194:H257" si="21">TEXT(F194,"MMMM")</f>
        <v>February</v>
      </c>
      <c r="I194" s="1" t="str">
        <f t="shared" ref="I194:I257" si="22">TEXT(F194,"YYYY")</f>
        <v>2024</v>
      </c>
      <c r="J194" t="b">
        <v>0</v>
      </c>
      <c r="K194" t="s">
        <v>2</v>
      </c>
      <c r="L194">
        <v>15</v>
      </c>
      <c r="M194">
        <v>73</v>
      </c>
      <c r="N194" t="str">
        <f t="shared" si="18"/>
        <v>Seniors</v>
      </c>
      <c r="O194" t="s">
        <v>77</v>
      </c>
      <c r="P194" t="s">
        <v>4</v>
      </c>
    </row>
    <row r="195" spans="1:16" x14ac:dyDescent="0.25">
      <c r="A195">
        <v>8372543</v>
      </c>
      <c r="B195" t="s">
        <v>84</v>
      </c>
      <c r="C195" t="s">
        <v>85</v>
      </c>
      <c r="D195">
        <v>1.1000000000000001</v>
      </c>
      <c r="E195" t="str">
        <f t="shared" si="19"/>
        <v>Poor</v>
      </c>
      <c r="F195" s="1">
        <v>45823.769444444442</v>
      </c>
      <c r="G195" s="1" t="str">
        <f t="shared" si="20"/>
        <v>Sunday</v>
      </c>
      <c r="H195" s="1" t="str">
        <f t="shared" si="21"/>
        <v>June</v>
      </c>
      <c r="I195" s="1" t="str">
        <f t="shared" si="22"/>
        <v>2025</v>
      </c>
      <c r="J195" t="b">
        <v>1</v>
      </c>
      <c r="K195" t="s">
        <v>21</v>
      </c>
      <c r="L195">
        <v>161</v>
      </c>
      <c r="M195">
        <v>49</v>
      </c>
      <c r="N195" t="str">
        <f t="shared" si="18"/>
        <v>Adults</v>
      </c>
      <c r="O195" t="s">
        <v>8</v>
      </c>
      <c r="P195" t="s">
        <v>9</v>
      </c>
    </row>
    <row r="196" spans="1:16" x14ac:dyDescent="0.25">
      <c r="A196">
        <v>5992681</v>
      </c>
      <c r="B196" t="s">
        <v>40</v>
      </c>
      <c r="C196" t="s">
        <v>6</v>
      </c>
      <c r="D196">
        <v>1.3</v>
      </c>
      <c r="E196" t="str">
        <f t="shared" si="19"/>
        <v>Poor</v>
      </c>
      <c r="F196" s="1">
        <v>45759.630555555559</v>
      </c>
      <c r="G196" s="1" t="str">
        <f t="shared" si="20"/>
        <v>Saturday</v>
      </c>
      <c r="H196" s="1" t="str">
        <f t="shared" si="21"/>
        <v>April</v>
      </c>
      <c r="I196" s="1" t="str">
        <f t="shared" si="22"/>
        <v>2025</v>
      </c>
      <c r="J196" t="b">
        <v>1</v>
      </c>
      <c r="K196" t="s">
        <v>15</v>
      </c>
      <c r="L196">
        <v>47</v>
      </c>
      <c r="M196">
        <v>53</v>
      </c>
      <c r="N196" t="str">
        <f t="shared" si="18"/>
        <v>Adults</v>
      </c>
      <c r="O196" t="s">
        <v>19</v>
      </c>
      <c r="P196" t="s">
        <v>9</v>
      </c>
    </row>
    <row r="197" spans="1:16" x14ac:dyDescent="0.25">
      <c r="A197">
        <v>4480995</v>
      </c>
      <c r="B197" t="s">
        <v>54</v>
      </c>
      <c r="C197" t="s">
        <v>38</v>
      </c>
      <c r="D197">
        <v>3.1</v>
      </c>
      <c r="E197" t="str">
        <f t="shared" si="19"/>
        <v>Very Good</v>
      </c>
      <c r="F197" s="1">
        <v>45220.220138888886</v>
      </c>
      <c r="G197" s="1" t="str">
        <f t="shared" si="20"/>
        <v>Saturday</v>
      </c>
      <c r="H197" s="1" t="str">
        <f t="shared" si="21"/>
        <v>October</v>
      </c>
      <c r="I197" s="1" t="str">
        <f t="shared" si="22"/>
        <v>2023</v>
      </c>
      <c r="J197" t="b">
        <v>1</v>
      </c>
      <c r="K197" t="s">
        <v>7</v>
      </c>
      <c r="L197">
        <v>249</v>
      </c>
      <c r="M197">
        <v>25</v>
      </c>
      <c r="N197" t="str">
        <f t="shared" si="18"/>
        <v>Adults</v>
      </c>
      <c r="O197" t="s">
        <v>72</v>
      </c>
      <c r="P197" t="s">
        <v>9</v>
      </c>
    </row>
    <row r="198" spans="1:16" x14ac:dyDescent="0.25">
      <c r="A198">
        <v>9396463</v>
      </c>
      <c r="B198" t="s">
        <v>52</v>
      </c>
      <c r="C198" t="s">
        <v>47</v>
      </c>
      <c r="D198">
        <v>2.2000000000000002</v>
      </c>
      <c r="E198" t="str">
        <f t="shared" si="19"/>
        <v>Good</v>
      </c>
      <c r="F198" s="1">
        <v>45447.6</v>
      </c>
      <c r="G198" s="1" t="str">
        <f t="shared" si="20"/>
        <v>Tuesday</v>
      </c>
      <c r="H198" s="1" t="str">
        <f t="shared" si="21"/>
        <v>June</v>
      </c>
      <c r="I198" s="1" t="str">
        <f t="shared" si="22"/>
        <v>2024</v>
      </c>
      <c r="J198" t="b">
        <v>1</v>
      </c>
      <c r="K198" t="s">
        <v>21</v>
      </c>
      <c r="L198">
        <v>721</v>
      </c>
      <c r="M198">
        <v>38</v>
      </c>
      <c r="N198" t="str">
        <f t="shared" si="18"/>
        <v>Adults</v>
      </c>
      <c r="O198" t="s">
        <v>66</v>
      </c>
      <c r="P198" t="s">
        <v>9</v>
      </c>
    </row>
    <row r="199" spans="1:16" x14ac:dyDescent="0.25">
      <c r="A199">
        <v>6324691</v>
      </c>
      <c r="B199" t="s">
        <v>84</v>
      </c>
      <c r="C199" t="s">
        <v>36</v>
      </c>
      <c r="D199">
        <v>4.8</v>
      </c>
      <c r="E199" t="str">
        <f t="shared" si="19"/>
        <v>Excellent</v>
      </c>
      <c r="F199" s="1">
        <v>45826.660416666666</v>
      </c>
      <c r="G199" s="1" t="str">
        <f t="shared" si="20"/>
        <v>Wednesday</v>
      </c>
      <c r="H199" s="1" t="str">
        <f t="shared" si="21"/>
        <v>June</v>
      </c>
      <c r="I199" s="1" t="str">
        <f t="shared" si="22"/>
        <v>2025</v>
      </c>
      <c r="J199" t="b">
        <v>1</v>
      </c>
      <c r="K199" t="s">
        <v>58</v>
      </c>
      <c r="L199">
        <v>59</v>
      </c>
      <c r="M199">
        <v>27</v>
      </c>
      <c r="N199" t="str">
        <f t="shared" si="18"/>
        <v>Adults</v>
      </c>
      <c r="O199" t="s">
        <v>16</v>
      </c>
      <c r="P199" t="s">
        <v>9</v>
      </c>
    </row>
    <row r="200" spans="1:16" x14ac:dyDescent="0.25">
      <c r="A200">
        <v>7902377</v>
      </c>
      <c r="B200" t="s">
        <v>62</v>
      </c>
      <c r="C200" t="s">
        <v>47</v>
      </c>
      <c r="D200">
        <v>1.8</v>
      </c>
      <c r="E200" t="str">
        <f t="shared" si="19"/>
        <v>Poor</v>
      </c>
      <c r="F200" s="1">
        <v>45343.467361111114</v>
      </c>
      <c r="G200" s="1" t="str">
        <f t="shared" si="20"/>
        <v>Wednesday</v>
      </c>
      <c r="H200" s="1" t="str">
        <f t="shared" si="21"/>
        <v>February</v>
      </c>
      <c r="I200" s="1" t="str">
        <f t="shared" si="22"/>
        <v>2024</v>
      </c>
      <c r="J200" t="b">
        <v>1</v>
      </c>
      <c r="K200" t="s">
        <v>15</v>
      </c>
      <c r="L200">
        <v>958</v>
      </c>
      <c r="M200">
        <v>65</v>
      </c>
      <c r="N200" t="str">
        <f t="shared" si="18"/>
        <v>Seniors</v>
      </c>
      <c r="O200" t="s">
        <v>8</v>
      </c>
      <c r="P200" t="s">
        <v>4</v>
      </c>
    </row>
    <row r="201" spans="1:16" x14ac:dyDescent="0.25">
      <c r="A201">
        <v>1722400</v>
      </c>
      <c r="B201" t="s">
        <v>78</v>
      </c>
      <c r="C201" t="s">
        <v>57</v>
      </c>
      <c r="D201">
        <v>4.7</v>
      </c>
      <c r="E201" t="str">
        <f t="shared" si="19"/>
        <v>Excellent</v>
      </c>
      <c r="F201" s="1">
        <v>45205.448611111111</v>
      </c>
      <c r="G201" s="1" t="str">
        <f t="shared" si="20"/>
        <v>Friday</v>
      </c>
      <c r="H201" s="1" t="str">
        <f t="shared" si="21"/>
        <v>October</v>
      </c>
      <c r="I201" s="1" t="str">
        <f t="shared" si="22"/>
        <v>2023</v>
      </c>
      <c r="J201" t="b">
        <v>0</v>
      </c>
      <c r="K201" t="s">
        <v>15</v>
      </c>
      <c r="L201">
        <v>602</v>
      </c>
      <c r="M201">
        <v>25</v>
      </c>
      <c r="N201" t="str">
        <f t="shared" si="18"/>
        <v>Adults</v>
      </c>
      <c r="O201" t="s">
        <v>8</v>
      </c>
      <c r="P201" t="s">
        <v>4</v>
      </c>
    </row>
    <row r="202" spans="1:16" x14ac:dyDescent="0.25">
      <c r="A202">
        <v>5867862</v>
      </c>
      <c r="B202" t="s">
        <v>40</v>
      </c>
      <c r="C202" t="s">
        <v>1</v>
      </c>
      <c r="D202">
        <v>1.4</v>
      </c>
      <c r="E202" t="str">
        <f t="shared" si="19"/>
        <v>Poor</v>
      </c>
      <c r="F202" s="1">
        <v>45766.609722222223</v>
      </c>
      <c r="G202" s="1" t="str">
        <f t="shared" si="20"/>
        <v>Saturday</v>
      </c>
      <c r="H202" s="1" t="str">
        <f t="shared" si="21"/>
        <v>April</v>
      </c>
      <c r="I202" s="1" t="str">
        <f t="shared" si="22"/>
        <v>2025</v>
      </c>
      <c r="J202" t="b">
        <v>1</v>
      </c>
      <c r="K202" t="s">
        <v>15</v>
      </c>
      <c r="L202">
        <v>828</v>
      </c>
      <c r="M202">
        <v>38</v>
      </c>
      <c r="N202" t="str">
        <f t="shared" si="18"/>
        <v>Adults</v>
      </c>
      <c r="O202" t="s">
        <v>8</v>
      </c>
      <c r="P202" t="s">
        <v>9</v>
      </c>
    </row>
    <row r="203" spans="1:16" x14ac:dyDescent="0.25">
      <c r="A203">
        <v>7045543</v>
      </c>
      <c r="B203" t="s">
        <v>64</v>
      </c>
      <c r="C203" t="s">
        <v>47</v>
      </c>
      <c r="D203">
        <v>4.5999999999999996</v>
      </c>
      <c r="E203" t="str">
        <f t="shared" si="19"/>
        <v>Excellent</v>
      </c>
      <c r="F203" s="1">
        <v>45321.90625</v>
      </c>
      <c r="G203" s="1" t="str">
        <f t="shared" si="20"/>
        <v>Tuesday</v>
      </c>
      <c r="H203" s="1" t="str">
        <f t="shared" si="21"/>
        <v>January</v>
      </c>
      <c r="I203" s="1" t="str">
        <f t="shared" si="22"/>
        <v>2024</v>
      </c>
      <c r="J203" t="b">
        <v>1</v>
      </c>
      <c r="K203" t="s">
        <v>21</v>
      </c>
      <c r="L203">
        <v>976</v>
      </c>
      <c r="M203">
        <v>60</v>
      </c>
      <c r="N203" t="str">
        <f t="shared" si="18"/>
        <v>Adults</v>
      </c>
      <c r="O203" t="s">
        <v>65</v>
      </c>
      <c r="P203" t="s">
        <v>4</v>
      </c>
    </row>
    <row r="204" spans="1:16" x14ac:dyDescent="0.25">
      <c r="A204">
        <v>4426615</v>
      </c>
      <c r="B204" t="s">
        <v>25</v>
      </c>
      <c r="C204" t="s">
        <v>36</v>
      </c>
      <c r="D204">
        <v>3.6</v>
      </c>
      <c r="E204" t="str">
        <f t="shared" si="19"/>
        <v>Very Good</v>
      </c>
      <c r="F204" s="1">
        <v>45387.234722222223</v>
      </c>
      <c r="G204" s="1" t="str">
        <f t="shared" si="20"/>
        <v>Friday</v>
      </c>
      <c r="H204" s="1" t="str">
        <f t="shared" si="21"/>
        <v>April</v>
      </c>
      <c r="I204" s="1" t="str">
        <f t="shared" si="22"/>
        <v>2024</v>
      </c>
      <c r="J204" t="b">
        <v>0</v>
      </c>
      <c r="K204" t="s">
        <v>15</v>
      </c>
      <c r="L204">
        <v>731</v>
      </c>
      <c r="M204">
        <v>44</v>
      </c>
      <c r="N204" t="str">
        <f t="shared" si="18"/>
        <v>Adults</v>
      </c>
      <c r="O204" t="s">
        <v>66</v>
      </c>
      <c r="P204" t="s">
        <v>4</v>
      </c>
    </row>
    <row r="205" spans="1:16" x14ac:dyDescent="0.25">
      <c r="A205">
        <v>1224274</v>
      </c>
      <c r="B205" t="s">
        <v>60</v>
      </c>
      <c r="C205" t="s">
        <v>1</v>
      </c>
      <c r="D205">
        <v>2.6</v>
      </c>
      <c r="E205" t="str">
        <f t="shared" si="19"/>
        <v>Good</v>
      </c>
      <c r="F205" s="1">
        <v>45206.474305555559</v>
      </c>
      <c r="G205" s="1" t="str">
        <f t="shared" si="20"/>
        <v>Saturday</v>
      </c>
      <c r="H205" s="1" t="str">
        <f t="shared" si="21"/>
        <v>October</v>
      </c>
      <c r="I205" s="1" t="str">
        <f t="shared" si="22"/>
        <v>2023</v>
      </c>
      <c r="J205" t="b">
        <v>1</v>
      </c>
      <c r="K205" t="s">
        <v>2</v>
      </c>
      <c r="L205">
        <v>565</v>
      </c>
      <c r="M205">
        <v>32</v>
      </c>
      <c r="N205" t="str">
        <f t="shared" si="18"/>
        <v>Adults</v>
      </c>
      <c r="O205" t="s">
        <v>68</v>
      </c>
      <c r="P205" t="s">
        <v>9</v>
      </c>
    </row>
    <row r="206" spans="1:16" x14ac:dyDescent="0.25">
      <c r="A206">
        <v>2586379</v>
      </c>
      <c r="B206" t="s">
        <v>17</v>
      </c>
      <c r="C206" t="s">
        <v>43</v>
      </c>
      <c r="D206">
        <v>4.4000000000000004</v>
      </c>
      <c r="E206" t="str">
        <f t="shared" si="19"/>
        <v>Excellent</v>
      </c>
      <c r="F206" s="1">
        <v>45578.964583333334</v>
      </c>
      <c r="G206" s="1" t="str">
        <f t="shared" si="20"/>
        <v>Sunday</v>
      </c>
      <c r="H206" s="1" t="str">
        <f t="shared" si="21"/>
        <v>October</v>
      </c>
      <c r="I206" s="1" t="str">
        <f t="shared" si="22"/>
        <v>2024</v>
      </c>
      <c r="J206" t="b">
        <v>1</v>
      </c>
      <c r="K206" t="s">
        <v>58</v>
      </c>
      <c r="L206">
        <v>112</v>
      </c>
      <c r="M206">
        <v>30</v>
      </c>
      <c r="N206" t="str">
        <f t="shared" si="18"/>
        <v>Adults</v>
      </c>
      <c r="O206" t="s">
        <v>24</v>
      </c>
      <c r="P206" t="s">
        <v>9</v>
      </c>
    </row>
    <row r="207" spans="1:16" x14ac:dyDescent="0.25">
      <c r="A207">
        <v>6993590</v>
      </c>
      <c r="B207" t="s">
        <v>52</v>
      </c>
      <c r="C207" t="s">
        <v>1</v>
      </c>
      <c r="D207">
        <v>1.4</v>
      </c>
      <c r="E207" t="str">
        <f t="shared" si="19"/>
        <v>Poor</v>
      </c>
      <c r="F207" s="1">
        <v>45344.038888888892</v>
      </c>
      <c r="G207" s="1" t="str">
        <f t="shared" si="20"/>
        <v>Thursday</v>
      </c>
      <c r="H207" s="1" t="str">
        <f t="shared" si="21"/>
        <v>February</v>
      </c>
      <c r="I207" s="1" t="str">
        <f t="shared" si="22"/>
        <v>2024</v>
      </c>
      <c r="J207" t="b">
        <v>1</v>
      </c>
      <c r="K207" t="s">
        <v>58</v>
      </c>
      <c r="L207">
        <v>1035</v>
      </c>
      <c r="M207">
        <v>41</v>
      </c>
      <c r="N207" t="str">
        <f t="shared" si="18"/>
        <v>Adults</v>
      </c>
      <c r="O207" t="s">
        <v>8</v>
      </c>
      <c r="P207" t="s">
        <v>9</v>
      </c>
    </row>
    <row r="208" spans="1:16" x14ac:dyDescent="0.25">
      <c r="A208">
        <v>8036405</v>
      </c>
      <c r="B208" t="s">
        <v>88</v>
      </c>
      <c r="C208" t="s">
        <v>63</v>
      </c>
      <c r="D208">
        <v>1.1000000000000001</v>
      </c>
      <c r="E208" t="str">
        <f t="shared" si="19"/>
        <v>Poor</v>
      </c>
      <c r="F208" s="1">
        <v>45167.978472222225</v>
      </c>
      <c r="G208" s="1" t="str">
        <f t="shared" si="20"/>
        <v>Tuesday</v>
      </c>
      <c r="H208" s="1" t="str">
        <f t="shared" si="21"/>
        <v>August</v>
      </c>
      <c r="I208" s="1" t="str">
        <f t="shared" si="22"/>
        <v>2023</v>
      </c>
      <c r="J208" t="b">
        <v>1</v>
      </c>
      <c r="K208" t="s">
        <v>2</v>
      </c>
      <c r="L208">
        <v>246</v>
      </c>
      <c r="M208">
        <v>49</v>
      </c>
      <c r="N208" t="str">
        <f t="shared" si="18"/>
        <v>Adults</v>
      </c>
      <c r="O208" t="s">
        <v>8</v>
      </c>
      <c r="P208" t="s">
        <v>9</v>
      </c>
    </row>
    <row r="209" spans="1:16" x14ac:dyDescent="0.25">
      <c r="A209">
        <v>4720682</v>
      </c>
      <c r="B209" t="s">
        <v>49</v>
      </c>
      <c r="C209" t="s">
        <v>20</v>
      </c>
      <c r="D209">
        <v>2.4</v>
      </c>
      <c r="E209" t="str">
        <f t="shared" si="19"/>
        <v>Good</v>
      </c>
      <c r="F209" s="1">
        <v>45451.877083333333</v>
      </c>
      <c r="G209" s="1" t="str">
        <f t="shared" si="20"/>
        <v>Saturday</v>
      </c>
      <c r="H209" s="1" t="str">
        <f t="shared" si="21"/>
        <v>June</v>
      </c>
      <c r="I209" s="1" t="str">
        <f t="shared" si="22"/>
        <v>2024</v>
      </c>
      <c r="J209" t="b">
        <v>1</v>
      </c>
      <c r="K209" t="s">
        <v>21</v>
      </c>
      <c r="L209">
        <v>799</v>
      </c>
      <c r="M209">
        <v>45</v>
      </c>
      <c r="N209" t="str">
        <f t="shared" si="18"/>
        <v>Adults</v>
      </c>
      <c r="O209" t="s">
        <v>3</v>
      </c>
      <c r="P209" t="s">
        <v>4</v>
      </c>
    </row>
    <row r="210" spans="1:16" x14ac:dyDescent="0.25">
      <c r="A210">
        <v>5661547</v>
      </c>
      <c r="B210" t="s">
        <v>76</v>
      </c>
      <c r="C210" t="s">
        <v>14</v>
      </c>
      <c r="D210">
        <v>4.7</v>
      </c>
      <c r="E210" t="str">
        <f t="shared" si="19"/>
        <v>Excellent</v>
      </c>
      <c r="F210" s="1">
        <v>45675.21597222222</v>
      </c>
      <c r="G210" s="1" t="str">
        <f t="shared" si="20"/>
        <v>Saturday</v>
      </c>
      <c r="H210" s="1" t="str">
        <f t="shared" si="21"/>
        <v>January</v>
      </c>
      <c r="I210" s="1" t="str">
        <f t="shared" si="22"/>
        <v>2025</v>
      </c>
      <c r="J210" t="b">
        <v>1</v>
      </c>
      <c r="K210" t="s">
        <v>2</v>
      </c>
      <c r="L210">
        <v>662</v>
      </c>
      <c r="M210">
        <v>61</v>
      </c>
      <c r="N210" t="str">
        <f t="shared" si="18"/>
        <v>Seniors</v>
      </c>
      <c r="O210" t="s">
        <v>12</v>
      </c>
      <c r="P210" t="s">
        <v>4</v>
      </c>
    </row>
    <row r="211" spans="1:16" x14ac:dyDescent="0.25">
      <c r="A211">
        <v>4606097</v>
      </c>
      <c r="B211" t="s">
        <v>61</v>
      </c>
      <c r="C211" t="s">
        <v>43</v>
      </c>
      <c r="D211">
        <v>3.3</v>
      </c>
      <c r="E211" t="str">
        <f t="shared" si="19"/>
        <v>Very Good</v>
      </c>
      <c r="F211" s="1">
        <v>45215.165277777778</v>
      </c>
      <c r="G211" s="1" t="str">
        <f t="shared" si="20"/>
        <v>Monday</v>
      </c>
      <c r="H211" s="1" t="str">
        <f t="shared" si="21"/>
        <v>October</v>
      </c>
      <c r="I211" s="1" t="str">
        <f t="shared" si="22"/>
        <v>2023</v>
      </c>
      <c r="J211" t="b">
        <v>1</v>
      </c>
      <c r="K211" t="s">
        <v>58</v>
      </c>
      <c r="L211">
        <v>416</v>
      </c>
      <c r="M211">
        <v>15</v>
      </c>
      <c r="N211" t="str">
        <f t="shared" si="18"/>
        <v>Teenagers</v>
      </c>
      <c r="O211" t="s">
        <v>81</v>
      </c>
      <c r="P211" t="s">
        <v>9</v>
      </c>
    </row>
    <row r="212" spans="1:16" x14ac:dyDescent="0.25">
      <c r="A212">
        <v>4620117</v>
      </c>
      <c r="B212" t="s">
        <v>76</v>
      </c>
      <c r="C212" t="s">
        <v>38</v>
      </c>
      <c r="D212">
        <v>2.7</v>
      </c>
      <c r="E212" t="str">
        <f t="shared" si="19"/>
        <v>Good</v>
      </c>
      <c r="F212" s="1">
        <v>45704.953472222223</v>
      </c>
      <c r="G212" s="1" t="str">
        <f t="shared" si="20"/>
        <v>Sunday</v>
      </c>
      <c r="H212" s="1" t="str">
        <f t="shared" si="21"/>
        <v>February</v>
      </c>
      <c r="I212" s="1" t="str">
        <f t="shared" si="22"/>
        <v>2025</v>
      </c>
      <c r="J212" t="b">
        <v>1</v>
      </c>
      <c r="K212" t="s">
        <v>15</v>
      </c>
      <c r="L212">
        <v>685</v>
      </c>
      <c r="M212">
        <v>69</v>
      </c>
      <c r="N212" t="str">
        <f t="shared" si="18"/>
        <v>Seniors</v>
      </c>
      <c r="O212" t="s">
        <v>16</v>
      </c>
      <c r="P212" t="s">
        <v>4</v>
      </c>
    </row>
    <row r="213" spans="1:16" x14ac:dyDescent="0.25">
      <c r="A213">
        <v>3646544</v>
      </c>
      <c r="B213" t="s">
        <v>49</v>
      </c>
      <c r="C213" t="s">
        <v>75</v>
      </c>
      <c r="D213">
        <v>3.4</v>
      </c>
      <c r="E213" t="str">
        <f t="shared" si="19"/>
        <v>Very Good</v>
      </c>
      <c r="F213" s="1">
        <v>45848.361805555556</v>
      </c>
      <c r="G213" s="1" t="str">
        <f t="shared" si="20"/>
        <v>Thursday</v>
      </c>
      <c r="H213" s="1" t="str">
        <f t="shared" si="21"/>
        <v>July</v>
      </c>
      <c r="I213" s="1" t="str">
        <f t="shared" si="22"/>
        <v>2025</v>
      </c>
      <c r="J213" t="b">
        <v>1</v>
      </c>
      <c r="K213" t="s">
        <v>2</v>
      </c>
      <c r="L213">
        <v>37</v>
      </c>
      <c r="M213">
        <v>48</v>
      </c>
      <c r="N213" t="str">
        <f t="shared" si="18"/>
        <v>Adults</v>
      </c>
      <c r="O213" t="s">
        <v>59</v>
      </c>
      <c r="P213" t="s">
        <v>9</v>
      </c>
    </row>
    <row r="214" spans="1:16" x14ac:dyDescent="0.25">
      <c r="A214">
        <v>6348955</v>
      </c>
      <c r="B214" t="s">
        <v>79</v>
      </c>
      <c r="C214" t="s">
        <v>57</v>
      </c>
      <c r="D214">
        <v>4.9000000000000004</v>
      </c>
      <c r="E214" t="str">
        <f t="shared" si="19"/>
        <v>Excellent</v>
      </c>
      <c r="F214" s="1">
        <v>45518.529861111114</v>
      </c>
      <c r="G214" s="1" t="str">
        <f t="shared" si="20"/>
        <v>Wednesday</v>
      </c>
      <c r="H214" s="1" t="str">
        <f t="shared" si="21"/>
        <v>August</v>
      </c>
      <c r="I214" s="1" t="str">
        <f t="shared" si="22"/>
        <v>2024</v>
      </c>
      <c r="J214" t="b">
        <v>1</v>
      </c>
      <c r="K214" t="s">
        <v>2</v>
      </c>
      <c r="L214">
        <v>929</v>
      </c>
      <c r="M214">
        <v>73</v>
      </c>
      <c r="N214" t="str">
        <f t="shared" si="18"/>
        <v>Seniors</v>
      </c>
      <c r="O214" t="s">
        <v>48</v>
      </c>
      <c r="P214" t="s">
        <v>9</v>
      </c>
    </row>
    <row r="215" spans="1:16" x14ac:dyDescent="0.25">
      <c r="A215">
        <v>8834854</v>
      </c>
      <c r="B215" t="s">
        <v>45</v>
      </c>
      <c r="C215" t="s">
        <v>6</v>
      </c>
      <c r="D215">
        <v>3.9</v>
      </c>
      <c r="E215" t="str">
        <f t="shared" si="19"/>
        <v>Very Good</v>
      </c>
      <c r="F215" s="1">
        <v>45779.138888888891</v>
      </c>
      <c r="G215" s="1" t="str">
        <f t="shared" si="20"/>
        <v>Friday</v>
      </c>
      <c r="H215" s="1" t="str">
        <f t="shared" si="21"/>
        <v>May</v>
      </c>
      <c r="I215" s="1" t="str">
        <f t="shared" si="22"/>
        <v>2025</v>
      </c>
      <c r="J215" t="b">
        <v>0</v>
      </c>
      <c r="K215" t="s">
        <v>58</v>
      </c>
      <c r="L215">
        <v>530</v>
      </c>
      <c r="M215">
        <v>75</v>
      </c>
      <c r="N215" t="str">
        <f t="shared" si="18"/>
        <v>Seniors</v>
      </c>
      <c r="O215" t="s">
        <v>86</v>
      </c>
      <c r="P215" t="s">
        <v>9</v>
      </c>
    </row>
    <row r="216" spans="1:16" x14ac:dyDescent="0.25">
      <c r="A216">
        <v>6378533</v>
      </c>
      <c r="B216" t="s">
        <v>60</v>
      </c>
      <c r="C216" t="s">
        <v>38</v>
      </c>
      <c r="D216">
        <v>5</v>
      </c>
      <c r="E216" t="str">
        <f t="shared" si="19"/>
        <v>Excellent</v>
      </c>
      <c r="F216" s="1">
        <v>45667.636805555558</v>
      </c>
      <c r="G216" s="1" t="str">
        <f t="shared" si="20"/>
        <v>Friday</v>
      </c>
      <c r="H216" s="1" t="str">
        <f t="shared" si="21"/>
        <v>January</v>
      </c>
      <c r="I216" s="1" t="str">
        <f t="shared" si="22"/>
        <v>2025</v>
      </c>
      <c r="J216" t="b">
        <v>1</v>
      </c>
      <c r="K216" t="s">
        <v>21</v>
      </c>
      <c r="L216">
        <v>856</v>
      </c>
      <c r="M216">
        <v>47</v>
      </c>
      <c r="N216" t="str">
        <f t="shared" si="18"/>
        <v>Adults</v>
      </c>
      <c r="O216" t="s">
        <v>27</v>
      </c>
      <c r="P216" t="s">
        <v>9</v>
      </c>
    </row>
    <row r="217" spans="1:16" x14ac:dyDescent="0.25">
      <c r="A217">
        <v>9465848</v>
      </c>
      <c r="B217" t="s">
        <v>60</v>
      </c>
      <c r="C217" t="s">
        <v>75</v>
      </c>
      <c r="D217">
        <v>3.4</v>
      </c>
      <c r="E217" t="str">
        <f t="shared" si="19"/>
        <v>Very Good</v>
      </c>
      <c r="F217" s="1">
        <v>45377.397916666669</v>
      </c>
      <c r="G217" s="1" t="str">
        <f t="shared" si="20"/>
        <v>Tuesday</v>
      </c>
      <c r="H217" s="1" t="str">
        <f t="shared" si="21"/>
        <v>March</v>
      </c>
      <c r="I217" s="1" t="str">
        <f t="shared" si="22"/>
        <v>2024</v>
      </c>
      <c r="J217" t="b">
        <v>1</v>
      </c>
      <c r="K217" t="s">
        <v>21</v>
      </c>
      <c r="L217">
        <v>220</v>
      </c>
      <c r="M217">
        <v>59</v>
      </c>
      <c r="N217" t="str">
        <f t="shared" si="18"/>
        <v>Adults</v>
      </c>
      <c r="O217" t="s">
        <v>16</v>
      </c>
      <c r="P217" t="s">
        <v>9</v>
      </c>
    </row>
    <row r="218" spans="1:16" x14ac:dyDescent="0.25">
      <c r="A218">
        <v>3066618</v>
      </c>
      <c r="B218" t="s">
        <v>41</v>
      </c>
      <c r="C218" t="s">
        <v>43</v>
      </c>
      <c r="D218">
        <v>4.5</v>
      </c>
      <c r="E218" t="str">
        <f t="shared" si="19"/>
        <v>Excellent</v>
      </c>
      <c r="F218" s="1">
        <v>45142.504861111112</v>
      </c>
      <c r="G218" s="1" t="str">
        <f t="shared" si="20"/>
        <v>Friday</v>
      </c>
      <c r="H218" s="1" t="str">
        <f t="shared" si="21"/>
        <v>August</v>
      </c>
      <c r="I218" s="1" t="str">
        <f t="shared" si="22"/>
        <v>2023</v>
      </c>
      <c r="J218" t="b">
        <v>1</v>
      </c>
      <c r="K218" t="s">
        <v>7</v>
      </c>
      <c r="L218">
        <v>238</v>
      </c>
      <c r="M218">
        <v>74</v>
      </c>
      <c r="N218" t="str">
        <f t="shared" si="18"/>
        <v>Seniors</v>
      </c>
      <c r="O218" t="s">
        <v>77</v>
      </c>
      <c r="P218" t="s">
        <v>9</v>
      </c>
    </row>
    <row r="219" spans="1:16" x14ac:dyDescent="0.25">
      <c r="A219">
        <v>9055386</v>
      </c>
      <c r="B219" t="s">
        <v>41</v>
      </c>
      <c r="C219" t="s">
        <v>57</v>
      </c>
      <c r="D219">
        <v>1.8</v>
      </c>
      <c r="E219" t="str">
        <f t="shared" si="19"/>
        <v>Poor</v>
      </c>
      <c r="F219" s="1">
        <v>45293.767361111109</v>
      </c>
      <c r="G219" s="1" t="str">
        <f t="shared" si="20"/>
        <v>Tuesday</v>
      </c>
      <c r="H219" s="1" t="str">
        <f t="shared" si="21"/>
        <v>January</v>
      </c>
      <c r="I219" s="1" t="str">
        <f t="shared" si="22"/>
        <v>2024</v>
      </c>
      <c r="J219" t="b">
        <v>0</v>
      </c>
      <c r="K219" t="s">
        <v>21</v>
      </c>
      <c r="L219">
        <v>72</v>
      </c>
      <c r="M219">
        <v>73</v>
      </c>
      <c r="N219" t="str">
        <f t="shared" ref="N219:N252" si="23">IF(M219&lt;=17,"Teenagers", IF(AND(M219&gt;=18,M219&lt;61),"Adults",IF(M219&gt;60,"Seniors")))</f>
        <v>Seniors</v>
      </c>
      <c r="O219" t="s">
        <v>24</v>
      </c>
      <c r="P219" t="s">
        <v>9</v>
      </c>
    </row>
    <row r="220" spans="1:16" x14ac:dyDescent="0.25">
      <c r="A220">
        <v>9976255</v>
      </c>
      <c r="B220" t="s">
        <v>5</v>
      </c>
      <c r="C220" t="s">
        <v>38</v>
      </c>
      <c r="D220">
        <v>2.6</v>
      </c>
      <c r="E220" t="str">
        <f t="shared" si="19"/>
        <v>Good</v>
      </c>
      <c r="F220" s="1">
        <v>45376.644444444442</v>
      </c>
      <c r="G220" s="1" t="str">
        <f t="shared" si="20"/>
        <v>Monday</v>
      </c>
      <c r="H220" s="1" t="str">
        <f t="shared" si="21"/>
        <v>March</v>
      </c>
      <c r="I220" s="1" t="str">
        <f t="shared" si="22"/>
        <v>2024</v>
      </c>
      <c r="J220" t="b">
        <v>1</v>
      </c>
      <c r="K220" t="s">
        <v>58</v>
      </c>
      <c r="L220">
        <v>549</v>
      </c>
      <c r="M220">
        <v>44</v>
      </c>
      <c r="N220" t="str">
        <f t="shared" si="23"/>
        <v>Adults</v>
      </c>
      <c r="O220" t="s">
        <v>27</v>
      </c>
      <c r="P220" t="s">
        <v>4</v>
      </c>
    </row>
    <row r="221" spans="1:16" x14ac:dyDescent="0.25">
      <c r="A221">
        <v>5103003</v>
      </c>
      <c r="B221" t="s">
        <v>88</v>
      </c>
      <c r="C221" t="s">
        <v>31</v>
      </c>
      <c r="D221">
        <v>2.2999999999999998</v>
      </c>
      <c r="E221" t="str">
        <f t="shared" si="19"/>
        <v>Good</v>
      </c>
      <c r="F221" s="1">
        <v>45364.770833333336</v>
      </c>
      <c r="G221" s="1" t="str">
        <f t="shared" si="20"/>
        <v>Wednesday</v>
      </c>
      <c r="H221" s="1" t="str">
        <f t="shared" si="21"/>
        <v>March</v>
      </c>
      <c r="I221" s="1" t="str">
        <f t="shared" si="22"/>
        <v>2024</v>
      </c>
      <c r="J221" t="b">
        <v>1</v>
      </c>
      <c r="K221" t="s">
        <v>15</v>
      </c>
      <c r="L221">
        <v>1132</v>
      </c>
      <c r="M221">
        <v>59</v>
      </c>
      <c r="N221" t="str">
        <f t="shared" si="23"/>
        <v>Adults</v>
      </c>
      <c r="O221" t="s">
        <v>12</v>
      </c>
      <c r="P221" t="s">
        <v>9</v>
      </c>
    </row>
    <row r="222" spans="1:16" x14ac:dyDescent="0.25">
      <c r="A222">
        <v>8828991</v>
      </c>
      <c r="B222" t="s">
        <v>35</v>
      </c>
      <c r="C222" t="s">
        <v>38</v>
      </c>
      <c r="D222">
        <v>2.1</v>
      </c>
      <c r="E222" t="str">
        <f t="shared" si="19"/>
        <v>Good</v>
      </c>
      <c r="F222" s="1">
        <v>45602.092361111114</v>
      </c>
      <c r="G222" s="1" t="str">
        <f t="shared" si="20"/>
        <v>Wednesday</v>
      </c>
      <c r="H222" s="1" t="str">
        <f t="shared" si="21"/>
        <v>November</v>
      </c>
      <c r="I222" s="1" t="str">
        <f t="shared" si="22"/>
        <v>2024</v>
      </c>
      <c r="J222" t="b">
        <v>1</v>
      </c>
      <c r="K222" t="s">
        <v>58</v>
      </c>
      <c r="L222">
        <v>773</v>
      </c>
      <c r="M222">
        <v>54</v>
      </c>
      <c r="N222" t="str">
        <f t="shared" si="23"/>
        <v>Adults</v>
      </c>
      <c r="O222" t="s">
        <v>8</v>
      </c>
      <c r="P222" t="s">
        <v>4</v>
      </c>
    </row>
    <row r="223" spans="1:16" x14ac:dyDescent="0.25">
      <c r="A223">
        <v>5767933</v>
      </c>
      <c r="B223" t="s">
        <v>5</v>
      </c>
      <c r="C223" t="s">
        <v>26</v>
      </c>
      <c r="D223">
        <v>4.3</v>
      </c>
      <c r="E223" t="str">
        <f t="shared" si="19"/>
        <v>Excellent</v>
      </c>
      <c r="F223" s="1">
        <v>45234.540972222225</v>
      </c>
      <c r="G223" s="1" t="str">
        <f t="shared" si="20"/>
        <v>Saturday</v>
      </c>
      <c r="H223" s="1" t="str">
        <f t="shared" si="21"/>
        <v>November</v>
      </c>
      <c r="I223" s="1" t="str">
        <f t="shared" si="22"/>
        <v>2023</v>
      </c>
      <c r="J223" t="b">
        <v>1</v>
      </c>
      <c r="K223" t="s">
        <v>7</v>
      </c>
      <c r="L223">
        <v>662</v>
      </c>
      <c r="M223">
        <v>40</v>
      </c>
      <c r="N223" t="str">
        <f t="shared" si="23"/>
        <v>Adults</v>
      </c>
      <c r="O223" t="s">
        <v>50</v>
      </c>
      <c r="P223" t="s">
        <v>9</v>
      </c>
    </row>
    <row r="224" spans="1:16" x14ac:dyDescent="0.25">
      <c r="A224">
        <v>4391430</v>
      </c>
      <c r="B224" t="s">
        <v>69</v>
      </c>
      <c r="C224" t="s">
        <v>11</v>
      </c>
      <c r="D224">
        <v>1.6</v>
      </c>
      <c r="E224" t="str">
        <f t="shared" si="19"/>
        <v>Poor</v>
      </c>
      <c r="F224" s="1">
        <v>45737.925000000003</v>
      </c>
      <c r="G224" s="1" t="str">
        <f t="shared" si="20"/>
        <v>Friday</v>
      </c>
      <c r="H224" s="1" t="str">
        <f t="shared" si="21"/>
        <v>March</v>
      </c>
      <c r="I224" s="1" t="str">
        <f t="shared" si="22"/>
        <v>2025</v>
      </c>
      <c r="J224" t="b">
        <v>1</v>
      </c>
      <c r="K224" t="s">
        <v>58</v>
      </c>
      <c r="L224">
        <v>195</v>
      </c>
      <c r="M224">
        <v>48</v>
      </c>
      <c r="N224" t="str">
        <f t="shared" si="23"/>
        <v>Adults</v>
      </c>
      <c r="O224" t="s">
        <v>39</v>
      </c>
      <c r="P224" t="s">
        <v>4</v>
      </c>
    </row>
    <row r="225" spans="1:16" x14ac:dyDescent="0.25">
      <c r="A225">
        <v>2401222</v>
      </c>
      <c r="B225" t="s">
        <v>35</v>
      </c>
      <c r="C225" t="s">
        <v>31</v>
      </c>
      <c r="D225">
        <v>3.2</v>
      </c>
      <c r="E225" t="str">
        <f t="shared" si="19"/>
        <v>Very Good</v>
      </c>
      <c r="F225" s="1">
        <v>45464.189583333333</v>
      </c>
      <c r="G225" s="1" t="str">
        <f t="shared" si="20"/>
        <v>Friday</v>
      </c>
      <c r="H225" s="1" t="str">
        <f t="shared" si="21"/>
        <v>June</v>
      </c>
      <c r="I225" s="1" t="str">
        <f t="shared" si="22"/>
        <v>2024</v>
      </c>
      <c r="J225" t="b">
        <v>1</v>
      </c>
      <c r="K225" t="s">
        <v>58</v>
      </c>
      <c r="L225">
        <v>215</v>
      </c>
      <c r="M225">
        <v>40</v>
      </c>
      <c r="N225" t="str">
        <f t="shared" si="23"/>
        <v>Adults</v>
      </c>
      <c r="O225" t="s">
        <v>37</v>
      </c>
      <c r="P225" t="s">
        <v>9</v>
      </c>
    </row>
    <row r="226" spans="1:16" x14ac:dyDescent="0.25">
      <c r="A226">
        <v>3168039</v>
      </c>
      <c r="B226" t="s">
        <v>80</v>
      </c>
      <c r="C226" t="s">
        <v>47</v>
      </c>
      <c r="D226">
        <v>1.8</v>
      </c>
      <c r="E226" t="str">
        <f t="shared" si="19"/>
        <v>Poor</v>
      </c>
      <c r="F226" s="1">
        <v>45799.613888888889</v>
      </c>
      <c r="G226" s="1" t="str">
        <f t="shared" si="20"/>
        <v>Thursday</v>
      </c>
      <c r="H226" s="1" t="str">
        <f t="shared" si="21"/>
        <v>May</v>
      </c>
      <c r="I226" s="1" t="str">
        <f t="shared" si="22"/>
        <v>2025</v>
      </c>
      <c r="J226" t="b">
        <v>1</v>
      </c>
      <c r="K226" t="s">
        <v>21</v>
      </c>
      <c r="L226">
        <v>302</v>
      </c>
      <c r="M226">
        <v>59</v>
      </c>
      <c r="N226" t="str">
        <f t="shared" si="23"/>
        <v>Adults</v>
      </c>
      <c r="O226" t="s">
        <v>86</v>
      </c>
      <c r="P226" t="s">
        <v>9</v>
      </c>
    </row>
    <row r="227" spans="1:16" x14ac:dyDescent="0.25">
      <c r="A227">
        <v>7175620</v>
      </c>
      <c r="B227" t="s">
        <v>0</v>
      </c>
      <c r="C227" t="s">
        <v>26</v>
      </c>
      <c r="D227">
        <v>1.3</v>
      </c>
      <c r="E227" t="str">
        <f t="shared" si="19"/>
        <v>Poor</v>
      </c>
      <c r="F227" s="1">
        <v>45642.852083333331</v>
      </c>
      <c r="G227" s="1" t="str">
        <f t="shared" si="20"/>
        <v>Monday</v>
      </c>
      <c r="H227" s="1" t="str">
        <f t="shared" si="21"/>
        <v>December</v>
      </c>
      <c r="I227" s="1" t="str">
        <f t="shared" si="22"/>
        <v>2024</v>
      </c>
      <c r="J227" t="b">
        <v>1</v>
      </c>
      <c r="K227" t="s">
        <v>2</v>
      </c>
      <c r="L227">
        <v>180</v>
      </c>
      <c r="M227">
        <v>20</v>
      </c>
      <c r="N227" t="str">
        <f t="shared" si="23"/>
        <v>Adults</v>
      </c>
      <c r="O227" t="s">
        <v>3</v>
      </c>
      <c r="P227" t="s">
        <v>4</v>
      </c>
    </row>
    <row r="228" spans="1:16" x14ac:dyDescent="0.25">
      <c r="A228">
        <v>1083923</v>
      </c>
      <c r="B228" t="s">
        <v>52</v>
      </c>
      <c r="C228" t="s">
        <v>29</v>
      </c>
      <c r="D228">
        <v>2.5</v>
      </c>
      <c r="E228" t="str">
        <f t="shared" si="19"/>
        <v>Good</v>
      </c>
      <c r="F228" s="1">
        <v>45794.70416666667</v>
      </c>
      <c r="G228" s="1" t="str">
        <f t="shared" si="20"/>
        <v>Saturday</v>
      </c>
      <c r="H228" s="1" t="str">
        <f t="shared" si="21"/>
        <v>May</v>
      </c>
      <c r="I228" s="1" t="str">
        <f t="shared" si="22"/>
        <v>2025</v>
      </c>
      <c r="J228" t="b">
        <v>1</v>
      </c>
      <c r="K228" t="s">
        <v>21</v>
      </c>
      <c r="L228">
        <v>920</v>
      </c>
      <c r="M228">
        <v>66</v>
      </c>
      <c r="N228" t="str">
        <f t="shared" si="23"/>
        <v>Seniors</v>
      </c>
      <c r="O228" t="s">
        <v>24</v>
      </c>
      <c r="P228" t="s">
        <v>4</v>
      </c>
    </row>
    <row r="229" spans="1:16" x14ac:dyDescent="0.25">
      <c r="A229">
        <v>583456</v>
      </c>
      <c r="B229" t="s">
        <v>45</v>
      </c>
      <c r="C229" t="s">
        <v>14</v>
      </c>
      <c r="D229">
        <v>1.6</v>
      </c>
      <c r="E229" t="str">
        <f t="shared" si="19"/>
        <v>Poor</v>
      </c>
      <c r="F229" s="1">
        <v>45808.86041666667</v>
      </c>
      <c r="G229" s="1" t="str">
        <f t="shared" si="20"/>
        <v>Saturday</v>
      </c>
      <c r="H229" s="1" t="str">
        <f t="shared" si="21"/>
        <v>May</v>
      </c>
      <c r="I229" s="1" t="str">
        <f t="shared" si="22"/>
        <v>2025</v>
      </c>
      <c r="J229" t="b">
        <v>0</v>
      </c>
      <c r="K229" t="s">
        <v>15</v>
      </c>
      <c r="L229">
        <v>617</v>
      </c>
      <c r="M229">
        <v>32</v>
      </c>
      <c r="N229" t="str">
        <f t="shared" si="23"/>
        <v>Adults</v>
      </c>
      <c r="O229" t="s">
        <v>3</v>
      </c>
      <c r="P229" t="s">
        <v>4</v>
      </c>
    </row>
    <row r="230" spans="1:16" x14ac:dyDescent="0.25">
      <c r="A230">
        <v>2292032</v>
      </c>
      <c r="B230" t="s">
        <v>88</v>
      </c>
      <c r="C230" t="s">
        <v>26</v>
      </c>
      <c r="D230">
        <v>1.8</v>
      </c>
      <c r="E230" t="str">
        <f t="shared" si="19"/>
        <v>Poor</v>
      </c>
      <c r="F230" s="1">
        <v>45514.097222222219</v>
      </c>
      <c r="G230" s="1" t="str">
        <f t="shared" si="20"/>
        <v>Saturday</v>
      </c>
      <c r="H230" s="1" t="str">
        <f t="shared" si="21"/>
        <v>August</v>
      </c>
      <c r="I230" s="1" t="str">
        <f t="shared" si="22"/>
        <v>2024</v>
      </c>
      <c r="J230" t="b">
        <v>1</v>
      </c>
      <c r="K230" t="s">
        <v>2</v>
      </c>
      <c r="L230">
        <v>770</v>
      </c>
      <c r="M230">
        <v>66</v>
      </c>
      <c r="N230" t="str">
        <f t="shared" si="23"/>
        <v>Seniors</v>
      </c>
      <c r="O230" t="s">
        <v>42</v>
      </c>
      <c r="P230" t="s">
        <v>4</v>
      </c>
    </row>
    <row r="231" spans="1:16" x14ac:dyDescent="0.25">
      <c r="A231">
        <v>1994776</v>
      </c>
      <c r="B231" t="s">
        <v>84</v>
      </c>
      <c r="C231" t="s">
        <v>43</v>
      </c>
      <c r="D231">
        <v>4</v>
      </c>
      <c r="E231" t="str">
        <f t="shared" si="19"/>
        <v>Very Good</v>
      </c>
      <c r="F231" s="1">
        <v>45828.292361111111</v>
      </c>
      <c r="G231" s="1" t="str">
        <f t="shared" si="20"/>
        <v>Friday</v>
      </c>
      <c r="H231" s="1" t="str">
        <f t="shared" si="21"/>
        <v>June</v>
      </c>
      <c r="I231" s="1" t="str">
        <f t="shared" si="22"/>
        <v>2025</v>
      </c>
      <c r="J231" t="b">
        <v>1</v>
      </c>
      <c r="K231" t="s">
        <v>21</v>
      </c>
      <c r="L231">
        <v>55</v>
      </c>
      <c r="M231">
        <v>27</v>
      </c>
      <c r="N231" t="str">
        <f t="shared" si="23"/>
        <v>Adults</v>
      </c>
      <c r="O231" t="s">
        <v>72</v>
      </c>
      <c r="P231" t="s">
        <v>4</v>
      </c>
    </row>
    <row r="232" spans="1:16" x14ac:dyDescent="0.25">
      <c r="A232">
        <v>307369</v>
      </c>
      <c r="B232" t="s">
        <v>78</v>
      </c>
      <c r="C232" t="s">
        <v>38</v>
      </c>
      <c r="D232">
        <v>4.0999999999999996</v>
      </c>
      <c r="E232" t="str">
        <f t="shared" si="19"/>
        <v>Excellent</v>
      </c>
      <c r="F232" s="1">
        <v>45325.984027777777</v>
      </c>
      <c r="G232" s="1" t="str">
        <f t="shared" si="20"/>
        <v>Saturday</v>
      </c>
      <c r="H232" s="1" t="str">
        <f t="shared" si="21"/>
        <v>February</v>
      </c>
      <c r="I232" s="1" t="str">
        <f t="shared" si="22"/>
        <v>2024</v>
      </c>
      <c r="J232" t="b">
        <v>1</v>
      </c>
      <c r="K232" t="s">
        <v>7</v>
      </c>
      <c r="L232">
        <v>1095</v>
      </c>
      <c r="M232">
        <v>75</v>
      </c>
      <c r="N232" t="str">
        <f t="shared" si="23"/>
        <v>Seniors</v>
      </c>
      <c r="O232" t="s">
        <v>77</v>
      </c>
      <c r="P232" t="s">
        <v>9</v>
      </c>
    </row>
    <row r="233" spans="1:16" x14ac:dyDescent="0.25">
      <c r="A233">
        <v>8444540</v>
      </c>
      <c r="B233" t="s">
        <v>56</v>
      </c>
      <c r="C233" t="s">
        <v>26</v>
      </c>
      <c r="D233">
        <v>2.2000000000000002</v>
      </c>
      <c r="E233" t="str">
        <f t="shared" si="19"/>
        <v>Good</v>
      </c>
      <c r="F233" s="1">
        <v>45717.722222222219</v>
      </c>
      <c r="G233" s="1" t="str">
        <f t="shared" si="20"/>
        <v>Saturday</v>
      </c>
      <c r="H233" s="1" t="str">
        <f t="shared" si="21"/>
        <v>March</v>
      </c>
      <c r="I233" s="1" t="str">
        <f t="shared" si="22"/>
        <v>2025</v>
      </c>
      <c r="J233" t="b">
        <v>0</v>
      </c>
      <c r="K233" t="s">
        <v>58</v>
      </c>
      <c r="L233">
        <v>1220</v>
      </c>
      <c r="M233">
        <v>20</v>
      </c>
      <c r="N233" t="str">
        <f t="shared" si="23"/>
        <v>Adults</v>
      </c>
      <c r="O233" t="s">
        <v>77</v>
      </c>
      <c r="P233" t="s">
        <v>9</v>
      </c>
    </row>
    <row r="234" spans="1:16" x14ac:dyDescent="0.25">
      <c r="A234">
        <v>398116</v>
      </c>
      <c r="B234" t="s">
        <v>83</v>
      </c>
      <c r="C234" t="s">
        <v>36</v>
      </c>
      <c r="D234">
        <v>2.8</v>
      </c>
      <c r="E234" t="str">
        <f t="shared" si="19"/>
        <v>Good</v>
      </c>
      <c r="F234" s="1">
        <v>45218.603472222225</v>
      </c>
      <c r="G234" s="1" t="str">
        <f t="shared" si="20"/>
        <v>Thursday</v>
      </c>
      <c r="H234" s="1" t="str">
        <f t="shared" si="21"/>
        <v>October</v>
      </c>
      <c r="I234" s="1" t="str">
        <f t="shared" si="22"/>
        <v>2023</v>
      </c>
      <c r="J234" t="b">
        <v>1</v>
      </c>
      <c r="K234" t="s">
        <v>58</v>
      </c>
      <c r="L234">
        <v>668</v>
      </c>
      <c r="M234">
        <v>36</v>
      </c>
      <c r="N234" t="str">
        <f t="shared" si="23"/>
        <v>Adults</v>
      </c>
      <c r="O234" t="s">
        <v>16</v>
      </c>
      <c r="P234" t="s">
        <v>4</v>
      </c>
    </row>
    <row r="235" spans="1:16" x14ac:dyDescent="0.25">
      <c r="A235">
        <v>7017892</v>
      </c>
      <c r="B235" t="s">
        <v>62</v>
      </c>
      <c r="C235" t="s">
        <v>18</v>
      </c>
      <c r="D235">
        <v>3.6</v>
      </c>
      <c r="E235" t="str">
        <f t="shared" si="19"/>
        <v>Very Good</v>
      </c>
      <c r="F235" s="1">
        <v>45166.709722222222</v>
      </c>
      <c r="G235" s="1" t="str">
        <f t="shared" si="20"/>
        <v>Monday</v>
      </c>
      <c r="H235" s="1" t="str">
        <f t="shared" si="21"/>
        <v>August</v>
      </c>
      <c r="I235" s="1" t="str">
        <f t="shared" si="22"/>
        <v>2023</v>
      </c>
      <c r="J235" t="b">
        <v>1</v>
      </c>
      <c r="K235" t="s">
        <v>58</v>
      </c>
      <c r="L235">
        <v>887</v>
      </c>
      <c r="M235">
        <v>74</v>
      </c>
      <c r="N235" t="str">
        <f t="shared" si="23"/>
        <v>Seniors</v>
      </c>
      <c r="O235" t="s">
        <v>48</v>
      </c>
      <c r="P235" t="s">
        <v>4</v>
      </c>
    </row>
    <row r="236" spans="1:16" x14ac:dyDescent="0.25">
      <c r="A236">
        <v>2012994</v>
      </c>
      <c r="B236" t="s">
        <v>40</v>
      </c>
      <c r="C236" t="s">
        <v>11</v>
      </c>
      <c r="D236">
        <v>1.9</v>
      </c>
      <c r="E236" t="str">
        <f t="shared" si="19"/>
        <v>Poor</v>
      </c>
      <c r="F236" s="1">
        <v>45760.188194444447</v>
      </c>
      <c r="G236" s="1" t="str">
        <f t="shared" si="20"/>
        <v>Sunday</v>
      </c>
      <c r="H236" s="1" t="str">
        <f t="shared" si="21"/>
        <v>April</v>
      </c>
      <c r="I236" s="1" t="str">
        <f t="shared" si="22"/>
        <v>2025</v>
      </c>
      <c r="J236" t="b">
        <v>1</v>
      </c>
      <c r="K236" t="s">
        <v>58</v>
      </c>
      <c r="L236">
        <v>1168</v>
      </c>
      <c r="M236">
        <v>31</v>
      </c>
      <c r="N236" t="str">
        <f t="shared" si="23"/>
        <v>Adults</v>
      </c>
      <c r="O236" t="s">
        <v>39</v>
      </c>
      <c r="P236" t="s">
        <v>4</v>
      </c>
    </row>
    <row r="237" spans="1:16" x14ac:dyDescent="0.25">
      <c r="A237">
        <v>1883791</v>
      </c>
      <c r="B237" t="s">
        <v>76</v>
      </c>
      <c r="C237" t="s">
        <v>43</v>
      </c>
      <c r="D237">
        <v>3.3</v>
      </c>
      <c r="E237" t="str">
        <f t="shared" si="19"/>
        <v>Very Good</v>
      </c>
      <c r="F237" s="1">
        <v>45174.43472222222</v>
      </c>
      <c r="G237" s="1" t="str">
        <f t="shared" si="20"/>
        <v>Tuesday</v>
      </c>
      <c r="H237" s="1" t="str">
        <f t="shared" si="21"/>
        <v>September</v>
      </c>
      <c r="I237" s="1" t="str">
        <f t="shared" si="22"/>
        <v>2023</v>
      </c>
      <c r="J237" t="b">
        <v>1</v>
      </c>
      <c r="K237" t="s">
        <v>2</v>
      </c>
      <c r="L237">
        <v>856</v>
      </c>
      <c r="M237">
        <v>39</v>
      </c>
      <c r="N237" t="str">
        <f t="shared" si="23"/>
        <v>Adults</v>
      </c>
      <c r="O237" t="s">
        <v>68</v>
      </c>
      <c r="P237" t="s">
        <v>9</v>
      </c>
    </row>
    <row r="238" spans="1:16" x14ac:dyDescent="0.25">
      <c r="A238">
        <v>8361472</v>
      </c>
      <c r="B238" t="s">
        <v>5</v>
      </c>
      <c r="C238" t="s">
        <v>26</v>
      </c>
      <c r="D238">
        <v>1.1000000000000001</v>
      </c>
      <c r="E238" t="str">
        <f t="shared" si="19"/>
        <v>Poor</v>
      </c>
      <c r="F238" s="1">
        <v>45247.968055555553</v>
      </c>
      <c r="G238" s="1" t="str">
        <f t="shared" si="20"/>
        <v>Friday</v>
      </c>
      <c r="H238" s="1" t="str">
        <f t="shared" si="21"/>
        <v>November</v>
      </c>
      <c r="I238" s="1" t="str">
        <f t="shared" si="22"/>
        <v>2023</v>
      </c>
      <c r="J238" t="b">
        <v>0</v>
      </c>
      <c r="K238" t="s">
        <v>21</v>
      </c>
      <c r="L238">
        <v>797</v>
      </c>
      <c r="M238">
        <v>48</v>
      </c>
      <c r="N238" t="str">
        <f t="shared" si="23"/>
        <v>Adults</v>
      </c>
      <c r="O238" t="s">
        <v>50</v>
      </c>
      <c r="P238" t="s">
        <v>4</v>
      </c>
    </row>
    <row r="239" spans="1:16" x14ac:dyDescent="0.25">
      <c r="A239">
        <v>2800047</v>
      </c>
      <c r="B239" t="s">
        <v>79</v>
      </c>
      <c r="C239" t="s">
        <v>57</v>
      </c>
      <c r="D239">
        <v>2.9</v>
      </c>
      <c r="E239" t="str">
        <f t="shared" si="19"/>
        <v>Good</v>
      </c>
      <c r="F239" s="1">
        <v>45361.498611111114</v>
      </c>
      <c r="G239" s="1" t="str">
        <f t="shared" si="20"/>
        <v>Sunday</v>
      </c>
      <c r="H239" s="1" t="str">
        <f t="shared" si="21"/>
        <v>March</v>
      </c>
      <c r="I239" s="1" t="str">
        <f t="shared" si="22"/>
        <v>2024</v>
      </c>
      <c r="J239" t="b">
        <v>0</v>
      </c>
      <c r="K239" t="s">
        <v>21</v>
      </c>
      <c r="L239">
        <v>104</v>
      </c>
      <c r="M239">
        <v>33</v>
      </c>
      <c r="N239" t="str">
        <f t="shared" si="23"/>
        <v>Adults</v>
      </c>
      <c r="O239" t="s">
        <v>24</v>
      </c>
      <c r="P239" t="s">
        <v>9</v>
      </c>
    </row>
    <row r="240" spans="1:16" x14ac:dyDescent="0.25">
      <c r="A240">
        <v>6269672</v>
      </c>
      <c r="B240" t="s">
        <v>82</v>
      </c>
      <c r="C240" t="s">
        <v>36</v>
      </c>
      <c r="D240">
        <v>2.4</v>
      </c>
      <c r="E240" t="str">
        <f t="shared" si="19"/>
        <v>Good</v>
      </c>
      <c r="F240" s="1">
        <v>45725.387499999997</v>
      </c>
      <c r="G240" s="1" t="str">
        <f t="shared" si="20"/>
        <v>Sunday</v>
      </c>
      <c r="H240" s="1" t="str">
        <f t="shared" si="21"/>
        <v>March</v>
      </c>
      <c r="I240" s="1" t="str">
        <f t="shared" si="22"/>
        <v>2025</v>
      </c>
      <c r="J240" t="b">
        <v>1</v>
      </c>
      <c r="K240" t="s">
        <v>21</v>
      </c>
      <c r="L240">
        <v>374</v>
      </c>
      <c r="M240">
        <v>25</v>
      </c>
      <c r="N240" t="str">
        <f t="shared" si="23"/>
        <v>Adults</v>
      </c>
      <c r="O240" t="s">
        <v>48</v>
      </c>
      <c r="P240" t="s">
        <v>4</v>
      </c>
    </row>
    <row r="241" spans="1:16" x14ac:dyDescent="0.25">
      <c r="A241">
        <v>781729</v>
      </c>
      <c r="B241" t="s">
        <v>32</v>
      </c>
      <c r="C241" t="s">
        <v>43</v>
      </c>
      <c r="D241">
        <v>2.7</v>
      </c>
      <c r="E241" t="str">
        <f t="shared" si="19"/>
        <v>Good</v>
      </c>
      <c r="F241" s="1">
        <v>45624.614583333336</v>
      </c>
      <c r="G241" s="1" t="str">
        <f t="shared" si="20"/>
        <v>Thursday</v>
      </c>
      <c r="H241" s="1" t="str">
        <f t="shared" si="21"/>
        <v>November</v>
      </c>
      <c r="I241" s="1" t="str">
        <f t="shared" si="22"/>
        <v>2024</v>
      </c>
      <c r="J241" t="b">
        <v>0</v>
      </c>
      <c r="K241" t="s">
        <v>2</v>
      </c>
      <c r="L241">
        <v>854</v>
      </c>
      <c r="M241">
        <v>13</v>
      </c>
      <c r="N241" t="str">
        <f t="shared" si="23"/>
        <v>Teenagers</v>
      </c>
      <c r="O241" t="s">
        <v>8</v>
      </c>
      <c r="P241" t="s">
        <v>9</v>
      </c>
    </row>
    <row r="242" spans="1:16" x14ac:dyDescent="0.25">
      <c r="A242">
        <v>3184811</v>
      </c>
      <c r="B242" t="s">
        <v>84</v>
      </c>
      <c r="C242" t="s">
        <v>47</v>
      </c>
      <c r="D242">
        <v>2.4</v>
      </c>
      <c r="E242" t="str">
        <f t="shared" si="19"/>
        <v>Good</v>
      </c>
      <c r="F242" s="1">
        <v>45543.244444444441</v>
      </c>
      <c r="G242" s="1" t="str">
        <f t="shared" si="20"/>
        <v>Sunday</v>
      </c>
      <c r="H242" s="1" t="str">
        <f t="shared" si="21"/>
        <v>September</v>
      </c>
      <c r="I242" s="1" t="str">
        <f t="shared" si="22"/>
        <v>2024</v>
      </c>
      <c r="J242" t="b">
        <v>1</v>
      </c>
      <c r="K242" t="s">
        <v>15</v>
      </c>
      <c r="L242">
        <v>530</v>
      </c>
      <c r="M242">
        <v>29</v>
      </c>
      <c r="N242" t="str">
        <f t="shared" si="23"/>
        <v>Adults</v>
      </c>
      <c r="O242" t="s">
        <v>72</v>
      </c>
      <c r="P242" t="s">
        <v>9</v>
      </c>
    </row>
    <row r="243" spans="1:16" x14ac:dyDescent="0.25">
      <c r="A243">
        <v>9211373</v>
      </c>
      <c r="B243" t="s">
        <v>10</v>
      </c>
      <c r="C243" t="s">
        <v>31</v>
      </c>
      <c r="D243">
        <v>4.0999999999999996</v>
      </c>
      <c r="E243" t="str">
        <f t="shared" si="19"/>
        <v>Excellent</v>
      </c>
      <c r="F243" s="1">
        <v>45556.006249999999</v>
      </c>
      <c r="G243" s="1" t="str">
        <f t="shared" si="20"/>
        <v>Saturday</v>
      </c>
      <c r="H243" s="1" t="str">
        <f t="shared" si="21"/>
        <v>September</v>
      </c>
      <c r="I243" s="1" t="str">
        <f t="shared" si="22"/>
        <v>2024</v>
      </c>
      <c r="J243" t="b">
        <v>1</v>
      </c>
      <c r="K243" t="s">
        <v>2</v>
      </c>
      <c r="L243">
        <v>567</v>
      </c>
      <c r="M243">
        <v>42</v>
      </c>
      <c r="N243" t="str">
        <f t="shared" si="23"/>
        <v>Adults</v>
      </c>
      <c r="O243" t="s">
        <v>42</v>
      </c>
      <c r="P243" t="s">
        <v>4</v>
      </c>
    </row>
    <row r="244" spans="1:16" x14ac:dyDescent="0.25">
      <c r="A244">
        <v>247701</v>
      </c>
      <c r="B244" t="s">
        <v>52</v>
      </c>
      <c r="C244" t="s">
        <v>43</v>
      </c>
      <c r="D244">
        <v>1.5</v>
      </c>
      <c r="E244" t="str">
        <f t="shared" si="19"/>
        <v>Poor</v>
      </c>
      <c r="F244" s="1">
        <v>45621.324999999997</v>
      </c>
      <c r="G244" s="1" t="str">
        <f t="shared" si="20"/>
        <v>Monday</v>
      </c>
      <c r="H244" s="1" t="str">
        <f t="shared" si="21"/>
        <v>November</v>
      </c>
      <c r="I244" s="1" t="str">
        <f t="shared" si="22"/>
        <v>2024</v>
      </c>
      <c r="J244" t="b">
        <v>1</v>
      </c>
      <c r="K244" t="s">
        <v>2</v>
      </c>
      <c r="L244">
        <v>52</v>
      </c>
      <c r="M244">
        <v>41</v>
      </c>
      <c r="N244" t="str">
        <f t="shared" si="23"/>
        <v>Adults</v>
      </c>
      <c r="O244" t="s">
        <v>27</v>
      </c>
      <c r="P244" t="s">
        <v>4</v>
      </c>
    </row>
    <row r="245" spans="1:16" x14ac:dyDescent="0.25">
      <c r="A245">
        <v>2908418</v>
      </c>
      <c r="B245" t="s">
        <v>69</v>
      </c>
      <c r="C245" t="s">
        <v>63</v>
      </c>
      <c r="D245">
        <v>3.1</v>
      </c>
      <c r="E245" t="str">
        <f t="shared" si="19"/>
        <v>Very Good</v>
      </c>
      <c r="F245" s="1">
        <v>45739.531944444447</v>
      </c>
      <c r="G245" s="1" t="str">
        <f t="shared" si="20"/>
        <v>Sunday</v>
      </c>
      <c r="H245" s="1" t="str">
        <f t="shared" si="21"/>
        <v>March</v>
      </c>
      <c r="I245" s="1" t="str">
        <f t="shared" si="22"/>
        <v>2025</v>
      </c>
      <c r="J245" t="b">
        <v>1</v>
      </c>
      <c r="K245" t="s">
        <v>15</v>
      </c>
      <c r="L245">
        <v>962</v>
      </c>
      <c r="M245">
        <v>61</v>
      </c>
      <c r="N245" t="str">
        <f t="shared" si="23"/>
        <v>Seniors</v>
      </c>
      <c r="O245" t="s">
        <v>16</v>
      </c>
      <c r="P245" t="s">
        <v>9</v>
      </c>
    </row>
    <row r="246" spans="1:16" x14ac:dyDescent="0.25">
      <c r="A246">
        <v>1198434</v>
      </c>
      <c r="B246" t="s">
        <v>32</v>
      </c>
      <c r="C246" t="s">
        <v>38</v>
      </c>
      <c r="D246">
        <v>3.1</v>
      </c>
      <c r="E246" t="str">
        <f t="shared" si="19"/>
        <v>Very Good</v>
      </c>
      <c r="F246" s="1">
        <v>45302.59652777778</v>
      </c>
      <c r="G246" s="1" t="str">
        <f t="shared" si="20"/>
        <v>Thursday</v>
      </c>
      <c r="H246" s="1" t="str">
        <f t="shared" si="21"/>
        <v>January</v>
      </c>
      <c r="I246" s="1" t="str">
        <f t="shared" si="22"/>
        <v>2024</v>
      </c>
      <c r="J246" t="b">
        <v>0</v>
      </c>
      <c r="K246" t="s">
        <v>15</v>
      </c>
      <c r="L246">
        <v>205</v>
      </c>
      <c r="M246">
        <v>13</v>
      </c>
      <c r="N246" t="str">
        <f t="shared" si="23"/>
        <v>Teenagers</v>
      </c>
      <c r="O246" t="s">
        <v>77</v>
      </c>
      <c r="P246" t="s">
        <v>4</v>
      </c>
    </row>
    <row r="247" spans="1:16" x14ac:dyDescent="0.25">
      <c r="A247">
        <v>3676485</v>
      </c>
      <c r="B247" t="s">
        <v>33</v>
      </c>
      <c r="C247" t="s">
        <v>34</v>
      </c>
      <c r="D247">
        <v>2.2999999999999998</v>
      </c>
      <c r="E247" t="str">
        <f t="shared" si="19"/>
        <v>Good</v>
      </c>
      <c r="F247" s="1">
        <v>45810.704861111109</v>
      </c>
      <c r="G247" s="1" t="str">
        <f t="shared" si="20"/>
        <v>Monday</v>
      </c>
      <c r="H247" s="1" t="str">
        <f t="shared" si="21"/>
        <v>June</v>
      </c>
      <c r="I247" s="1" t="str">
        <f t="shared" si="22"/>
        <v>2025</v>
      </c>
      <c r="J247" t="b">
        <v>0</v>
      </c>
      <c r="K247" t="s">
        <v>21</v>
      </c>
      <c r="L247">
        <v>748</v>
      </c>
      <c r="M247">
        <v>74</v>
      </c>
      <c r="N247" t="str">
        <f t="shared" si="23"/>
        <v>Seniors</v>
      </c>
      <c r="O247" t="s">
        <v>72</v>
      </c>
      <c r="P247" t="s">
        <v>9</v>
      </c>
    </row>
    <row r="248" spans="1:16" x14ac:dyDescent="0.25">
      <c r="A248">
        <v>3549052</v>
      </c>
      <c r="B248" t="s">
        <v>13</v>
      </c>
      <c r="C248" t="s">
        <v>20</v>
      </c>
      <c r="D248">
        <v>4.5999999999999996</v>
      </c>
      <c r="E248" t="str">
        <f t="shared" si="19"/>
        <v>Excellent</v>
      </c>
      <c r="F248" s="1">
        <v>45157.32708333333</v>
      </c>
      <c r="G248" s="1" t="str">
        <f t="shared" si="20"/>
        <v>Saturday</v>
      </c>
      <c r="H248" s="1" t="str">
        <f t="shared" si="21"/>
        <v>August</v>
      </c>
      <c r="I248" s="1" t="str">
        <f t="shared" si="22"/>
        <v>2023</v>
      </c>
      <c r="J248" t="b">
        <v>1</v>
      </c>
      <c r="K248" t="s">
        <v>2</v>
      </c>
      <c r="L248">
        <v>98</v>
      </c>
      <c r="M248">
        <v>63</v>
      </c>
      <c r="N248" t="str">
        <f t="shared" si="23"/>
        <v>Seniors</v>
      </c>
      <c r="O248" t="s">
        <v>68</v>
      </c>
      <c r="P248" t="s">
        <v>4</v>
      </c>
    </row>
    <row r="249" spans="1:16" x14ac:dyDescent="0.25">
      <c r="A249">
        <v>1328898</v>
      </c>
      <c r="B249" t="s">
        <v>23</v>
      </c>
      <c r="C249" t="s">
        <v>36</v>
      </c>
      <c r="D249">
        <v>2.7</v>
      </c>
      <c r="E249" t="str">
        <f t="shared" si="19"/>
        <v>Good</v>
      </c>
      <c r="F249" s="1">
        <v>45777.048611111109</v>
      </c>
      <c r="G249" s="1" t="str">
        <f t="shared" si="20"/>
        <v>Wednesday</v>
      </c>
      <c r="H249" s="1" t="str">
        <f t="shared" si="21"/>
        <v>April</v>
      </c>
      <c r="I249" s="1" t="str">
        <f t="shared" si="22"/>
        <v>2025</v>
      </c>
      <c r="J249" t="b">
        <v>1</v>
      </c>
      <c r="K249" t="s">
        <v>58</v>
      </c>
      <c r="L249">
        <v>1112</v>
      </c>
      <c r="M249">
        <v>21</v>
      </c>
      <c r="N249" t="str">
        <f t="shared" si="23"/>
        <v>Adults</v>
      </c>
      <c r="O249" t="s">
        <v>48</v>
      </c>
      <c r="P249" t="s">
        <v>4</v>
      </c>
    </row>
    <row r="250" spans="1:16" x14ac:dyDescent="0.25">
      <c r="A250">
        <v>7668632</v>
      </c>
      <c r="B250" t="s">
        <v>33</v>
      </c>
      <c r="C250" t="s">
        <v>47</v>
      </c>
      <c r="D250">
        <v>1.7</v>
      </c>
      <c r="E250" t="str">
        <f t="shared" si="19"/>
        <v>Poor</v>
      </c>
      <c r="F250" s="1">
        <v>45628.381944444445</v>
      </c>
      <c r="G250" s="1" t="str">
        <f t="shared" si="20"/>
        <v>Monday</v>
      </c>
      <c r="H250" s="1" t="str">
        <f t="shared" si="21"/>
        <v>December</v>
      </c>
      <c r="I250" s="1" t="str">
        <f t="shared" si="22"/>
        <v>2024</v>
      </c>
      <c r="J250" t="b">
        <v>1</v>
      </c>
      <c r="K250" t="s">
        <v>21</v>
      </c>
      <c r="L250">
        <v>463</v>
      </c>
      <c r="M250">
        <v>66</v>
      </c>
      <c r="N250" t="str">
        <f t="shared" si="23"/>
        <v>Seniors</v>
      </c>
      <c r="O250" t="s">
        <v>37</v>
      </c>
      <c r="P250" t="s">
        <v>4</v>
      </c>
    </row>
    <row r="251" spans="1:16" x14ac:dyDescent="0.25">
      <c r="A251">
        <v>6634756</v>
      </c>
      <c r="B251" t="s">
        <v>80</v>
      </c>
      <c r="C251" t="s">
        <v>6</v>
      </c>
      <c r="D251">
        <v>1.3</v>
      </c>
      <c r="E251" t="str">
        <f t="shared" si="19"/>
        <v>Poor</v>
      </c>
      <c r="F251" s="1">
        <v>45661.844444444447</v>
      </c>
      <c r="G251" s="1" t="str">
        <f t="shared" si="20"/>
        <v>Saturday</v>
      </c>
      <c r="H251" s="1" t="str">
        <f t="shared" si="21"/>
        <v>January</v>
      </c>
      <c r="I251" s="1" t="str">
        <f t="shared" si="22"/>
        <v>2025</v>
      </c>
      <c r="J251" t="b">
        <v>1</v>
      </c>
      <c r="K251" t="s">
        <v>7</v>
      </c>
      <c r="L251">
        <v>287</v>
      </c>
      <c r="M251">
        <v>70</v>
      </c>
      <c r="N251" t="str">
        <f t="shared" si="23"/>
        <v>Seniors</v>
      </c>
      <c r="O251" t="s">
        <v>8</v>
      </c>
      <c r="P251" t="s">
        <v>9</v>
      </c>
    </row>
    <row r="252" spans="1:16" x14ac:dyDescent="0.25">
      <c r="A252">
        <v>1160950</v>
      </c>
      <c r="B252" t="s">
        <v>23</v>
      </c>
      <c r="C252" t="s">
        <v>63</v>
      </c>
      <c r="D252">
        <v>3.8</v>
      </c>
      <c r="E252" t="str">
        <f t="shared" si="19"/>
        <v>Very Good</v>
      </c>
      <c r="F252" s="1">
        <v>45726.05</v>
      </c>
      <c r="G252" s="1" t="str">
        <f t="shared" si="20"/>
        <v>Monday</v>
      </c>
      <c r="H252" s="1" t="str">
        <f t="shared" si="21"/>
        <v>March</v>
      </c>
      <c r="I252" s="1" t="str">
        <f t="shared" si="22"/>
        <v>2025</v>
      </c>
      <c r="J252" t="b">
        <v>0</v>
      </c>
      <c r="K252" t="s">
        <v>2</v>
      </c>
      <c r="L252">
        <v>596</v>
      </c>
      <c r="M252">
        <v>27</v>
      </c>
      <c r="N252" t="str">
        <f t="shared" si="23"/>
        <v>Adults</v>
      </c>
      <c r="O252" t="s">
        <v>50</v>
      </c>
      <c r="P252" t="s">
        <v>9</v>
      </c>
    </row>
    <row r="253" spans="1:16" x14ac:dyDescent="0.25">
      <c r="A253">
        <v>6659766</v>
      </c>
      <c r="B253" t="s">
        <v>28</v>
      </c>
      <c r="C253" t="s">
        <v>18</v>
      </c>
      <c r="D253">
        <v>2.4</v>
      </c>
      <c r="E253" t="str">
        <f t="shared" si="19"/>
        <v>Good</v>
      </c>
      <c r="F253" s="1">
        <v>45147.538194444445</v>
      </c>
      <c r="G253" s="1" t="str">
        <f t="shared" si="20"/>
        <v>Wednesday</v>
      </c>
      <c r="H253" s="1" t="str">
        <f t="shared" si="21"/>
        <v>August</v>
      </c>
      <c r="I253" s="1" t="str">
        <f t="shared" si="22"/>
        <v>2023</v>
      </c>
      <c r="J253" t="b">
        <v>1</v>
      </c>
      <c r="K253" t="s">
        <v>21</v>
      </c>
      <c r="L253">
        <v>466</v>
      </c>
      <c r="M253">
        <v>33</v>
      </c>
      <c r="N253" t="str">
        <f t="shared" ref="N253:N287" si="24">IF(M253&lt;=17,"Teenagers", IF(AND(M253&gt;=18,M253&lt;61),"Adults",IF(M253&gt;60,"Seniors")))</f>
        <v>Adults</v>
      </c>
      <c r="O253" t="s">
        <v>65</v>
      </c>
      <c r="P253" t="s">
        <v>9</v>
      </c>
    </row>
    <row r="254" spans="1:16" x14ac:dyDescent="0.25">
      <c r="A254">
        <v>3624102</v>
      </c>
      <c r="B254" t="s">
        <v>89</v>
      </c>
      <c r="C254" t="s">
        <v>85</v>
      </c>
      <c r="D254">
        <v>3.1</v>
      </c>
      <c r="E254" t="str">
        <f t="shared" si="19"/>
        <v>Very Good</v>
      </c>
      <c r="F254" s="1">
        <v>45395.857638888891</v>
      </c>
      <c r="G254" s="1" t="str">
        <f t="shared" si="20"/>
        <v>Saturday</v>
      </c>
      <c r="H254" s="1" t="str">
        <f t="shared" si="21"/>
        <v>April</v>
      </c>
      <c r="I254" s="1" t="str">
        <f t="shared" si="22"/>
        <v>2024</v>
      </c>
      <c r="J254" t="b">
        <v>1</v>
      </c>
      <c r="K254" t="s">
        <v>2</v>
      </c>
      <c r="L254">
        <v>272</v>
      </c>
      <c r="M254">
        <v>71</v>
      </c>
      <c r="N254" t="str">
        <f t="shared" si="24"/>
        <v>Seniors</v>
      </c>
      <c r="O254" t="s">
        <v>8</v>
      </c>
      <c r="P254" t="s">
        <v>9</v>
      </c>
    </row>
    <row r="255" spans="1:16" x14ac:dyDescent="0.25">
      <c r="A255">
        <v>181065</v>
      </c>
      <c r="B255" t="s">
        <v>88</v>
      </c>
      <c r="C255" t="s">
        <v>47</v>
      </c>
      <c r="D255">
        <v>4.4000000000000004</v>
      </c>
      <c r="E255" t="str">
        <f t="shared" si="19"/>
        <v>Excellent</v>
      </c>
      <c r="F255" s="1">
        <v>45382.15902777778</v>
      </c>
      <c r="G255" s="1" t="str">
        <f t="shared" si="20"/>
        <v>Sunday</v>
      </c>
      <c r="H255" s="1" t="str">
        <f t="shared" si="21"/>
        <v>March</v>
      </c>
      <c r="I255" s="1" t="str">
        <f t="shared" si="22"/>
        <v>2024</v>
      </c>
      <c r="J255" t="b">
        <v>1</v>
      </c>
      <c r="K255" t="s">
        <v>15</v>
      </c>
      <c r="L255">
        <v>1102</v>
      </c>
      <c r="M255">
        <v>50</v>
      </c>
      <c r="N255" t="str">
        <f t="shared" si="24"/>
        <v>Adults</v>
      </c>
      <c r="O255" t="s">
        <v>81</v>
      </c>
      <c r="P255" t="s">
        <v>9</v>
      </c>
    </row>
    <row r="256" spans="1:16" x14ac:dyDescent="0.25">
      <c r="A256">
        <v>3816584</v>
      </c>
      <c r="B256" t="s">
        <v>71</v>
      </c>
      <c r="C256" t="s">
        <v>6</v>
      </c>
      <c r="D256">
        <v>2.8</v>
      </c>
      <c r="E256" t="str">
        <f t="shared" si="19"/>
        <v>Good</v>
      </c>
      <c r="F256" s="1">
        <v>45692.059027777781</v>
      </c>
      <c r="G256" s="1" t="str">
        <f t="shared" si="20"/>
        <v>Tuesday</v>
      </c>
      <c r="H256" s="1" t="str">
        <f t="shared" si="21"/>
        <v>February</v>
      </c>
      <c r="I256" s="1" t="str">
        <f t="shared" si="22"/>
        <v>2025</v>
      </c>
      <c r="J256" t="b">
        <v>0</v>
      </c>
      <c r="K256" t="s">
        <v>2</v>
      </c>
      <c r="L256">
        <v>1018</v>
      </c>
      <c r="M256">
        <v>50</v>
      </c>
      <c r="N256" t="str">
        <f t="shared" si="24"/>
        <v>Adults</v>
      </c>
      <c r="O256" t="s">
        <v>53</v>
      </c>
      <c r="P256" t="s">
        <v>9</v>
      </c>
    </row>
    <row r="257" spans="1:16" x14ac:dyDescent="0.25">
      <c r="A257">
        <v>7416947</v>
      </c>
      <c r="B257" t="s">
        <v>49</v>
      </c>
      <c r="C257" t="s">
        <v>36</v>
      </c>
      <c r="D257">
        <v>4.8</v>
      </c>
      <c r="E257" t="str">
        <f t="shared" si="19"/>
        <v>Excellent</v>
      </c>
      <c r="F257" s="1">
        <v>45703.886111111111</v>
      </c>
      <c r="G257" s="1" t="str">
        <f t="shared" si="20"/>
        <v>Saturday</v>
      </c>
      <c r="H257" s="1" t="str">
        <f t="shared" si="21"/>
        <v>February</v>
      </c>
      <c r="I257" s="1" t="str">
        <f t="shared" si="22"/>
        <v>2025</v>
      </c>
      <c r="J257" t="b">
        <v>1</v>
      </c>
      <c r="K257" t="s">
        <v>58</v>
      </c>
      <c r="L257">
        <v>1224</v>
      </c>
      <c r="M257">
        <v>44</v>
      </c>
      <c r="N257" t="str">
        <f t="shared" si="24"/>
        <v>Adults</v>
      </c>
      <c r="O257" t="s">
        <v>53</v>
      </c>
      <c r="P257" t="s">
        <v>4</v>
      </c>
    </row>
    <row r="258" spans="1:16" x14ac:dyDescent="0.25">
      <c r="A258">
        <v>412564</v>
      </c>
      <c r="B258" t="s">
        <v>23</v>
      </c>
      <c r="C258" t="s">
        <v>6</v>
      </c>
      <c r="D258">
        <v>4.9000000000000004</v>
      </c>
      <c r="E258" t="str">
        <f t="shared" ref="E258:E321" si="25">IF(D258&lt;2,"Poor",IF(AND(D258&gt;=2,D258&lt;=3),"Good",IF(AND(D258&gt;3,D258&lt;=4),"Very Good",IF(D258&gt;4,"Excellent"))))</f>
        <v>Excellent</v>
      </c>
      <c r="F258" s="1">
        <v>45499.822222222225</v>
      </c>
      <c r="G258" s="1" t="str">
        <f t="shared" ref="G258:G321" si="26">TEXT(F258,"DDDD")</f>
        <v>Friday</v>
      </c>
      <c r="H258" s="1" t="str">
        <f t="shared" ref="H258:H321" si="27">TEXT(F258,"MMMM")</f>
        <v>July</v>
      </c>
      <c r="I258" s="1" t="str">
        <f t="shared" ref="I258:I321" si="28">TEXT(F258,"YYYY")</f>
        <v>2024</v>
      </c>
      <c r="J258" t="b">
        <v>1</v>
      </c>
      <c r="K258" t="s">
        <v>58</v>
      </c>
      <c r="L258">
        <v>733</v>
      </c>
      <c r="M258">
        <v>50</v>
      </c>
      <c r="N258" t="str">
        <f t="shared" si="24"/>
        <v>Adults</v>
      </c>
      <c r="O258" t="s">
        <v>48</v>
      </c>
      <c r="P258" t="s">
        <v>9</v>
      </c>
    </row>
    <row r="259" spans="1:16" x14ac:dyDescent="0.25">
      <c r="A259">
        <v>2085251</v>
      </c>
      <c r="B259" t="s">
        <v>30</v>
      </c>
      <c r="C259" t="s">
        <v>1</v>
      </c>
      <c r="D259">
        <v>2.6</v>
      </c>
      <c r="E259" t="str">
        <f t="shared" si="25"/>
        <v>Good</v>
      </c>
      <c r="F259" s="1">
        <v>45652.377083333333</v>
      </c>
      <c r="G259" s="1" t="str">
        <f t="shared" si="26"/>
        <v>Thursday</v>
      </c>
      <c r="H259" s="1" t="str">
        <f t="shared" si="27"/>
        <v>December</v>
      </c>
      <c r="I259" s="1" t="str">
        <f t="shared" si="28"/>
        <v>2024</v>
      </c>
      <c r="J259" t="b">
        <v>1</v>
      </c>
      <c r="K259" t="s">
        <v>21</v>
      </c>
      <c r="L259">
        <v>411</v>
      </c>
      <c r="M259">
        <v>31</v>
      </c>
      <c r="N259" t="str">
        <f t="shared" si="24"/>
        <v>Adults</v>
      </c>
      <c r="O259" t="s">
        <v>44</v>
      </c>
      <c r="P259" t="s">
        <v>4</v>
      </c>
    </row>
    <row r="260" spans="1:16" x14ac:dyDescent="0.25">
      <c r="A260">
        <v>7056063</v>
      </c>
      <c r="B260" t="s">
        <v>62</v>
      </c>
      <c r="C260" t="s">
        <v>36</v>
      </c>
      <c r="D260">
        <v>3</v>
      </c>
      <c r="E260" t="str">
        <f t="shared" si="25"/>
        <v>Good</v>
      </c>
      <c r="F260" s="1">
        <v>45768.934027777781</v>
      </c>
      <c r="G260" s="1" t="str">
        <f t="shared" si="26"/>
        <v>Monday</v>
      </c>
      <c r="H260" s="1" t="str">
        <f t="shared" si="27"/>
        <v>April</v>
      </c>
      <c r="I260" s="1" t="str">
        <f t="shared" si="28"/>
        <v>2025</v>
      </c>
      <c r="J260" t="b">
        <v>1</v>
      </c>
      <c r="K260" t="s">
        <v>7</v>
      </c>
      <c r="L260">
        <v>112</v>
      </c>
      <c r="M260">
        <v>46</v>
      </c>
      <c r="N260" t="str">
        <f t="shared" si="24"/>
        <v>Adults</v>
      </c>
      <c r="O260" t="s">
        <v>16</v>
      </c>
      <c r="P260" t="s">
        <v>4</v>
      </c>
    </row>
    <row r="261" spans="1:16" x14ac:dyDescent="0.25">
      <c r="A261">
        <v>8133176</v>
      </c>
      <c r="B261" t="s">
        <v>74</v>
      </c>
      <c r="C261" t="s">
        <v>18</v>
      </c>
      <c r="D261">
        <v>4.7</v>
      </c>
      <c r="E261" t="str">
        <f t="shared" si="25"/>
        <v>Excellent</v>
      </c>
      <c r="F261" s="1">
        <v>45510.944444444445</v>
      </c>
      <c r="G261" s="1" t="str">
        <f t="shared" si="26"/>
        <v>Tuesday</v>
      </c>
      <c r="H261" s="1" t="str">
        <f t="shared" si="27"/>
        <v>August</v>
      </c>
      <c r="I261" s="1" t="str">
        <f t="shared" si="28"/>
        <v>2024</v>
      </c>
      <c r="J261" t="b">
        <v>1</v>
      </c>
      <c r="K261" t="s">
        <v>15</v>
      </c>
      <c r="L261">
        <v>238</v>
      </c>
      <c r="M261">
        <v>72</v>
      </c>
      <c r="N261" t="str">
        <f t="shared" si="24"/>
        <v>Seniors</v>
      </c>
      <c r="O261" t="s">
        <v>65</v>
      </c>
      <c r="P261" t="s">
        <v>9</v>
      </c>
    </row>
    <row r="262" spans="1:16" x14ac:dyDescent="0.25">
      <c r="A262">
        <v>476582</v>
      </c>
      <c r="B262" t="s">
        <v>5</v>
      </c>
      <c r="C262" t="s">
        <v>75</v>
      </c>
      <c r="D262">
        <v>3.8</v>
      </c>
      <c r="E262" t="str">
        <f t="shared" si="25"/>
        <v>Very Good</v>
      </c>
      <c r="F262" s="1">
        <v>45328.142361111109</v>
      </c>
      <c r="G262" s="1" t="str">
        <f t="shared" si="26"/>
        <v>Tuesday</v>
      </c>
      <c r="H262" s="1" t="str">
        <f t="shared" si="27"/>
        <v>February</v>
      </c>
      <c r="I262" s="1" t="str">
        <f t="shared" si="28"/>
        <v>2024</v>
      </c>
      <c r="J262" t="b">
        <v>1</v>
      </c>
      <c r="K262" t="s">
        <v>2</v>
      </c>
      <c r="L262">
        <v>263</v>
      </c>
      <c r="M262">
        <v>55</v>
      </c>
      <c r="N262" t="str">
        <f t="shared" si="24"/>
        <v>Adults</v>
      </c>
      <c r="O262" t="s">
        <v>37</v>
      </c>
      <c r="P262" t="s">
        <v>4</v>
      </c>
    </row>
    <row r="263" spans="1:16" x14ac:dyDescent="0.25">
      <c r="A263">
        <v>2245556</v>
      </c>
      <c r="B263" t="s">
        <v>33</v>
      </c>
      <c r="C263" t="s">
        <v>18</v>
      </c>
      <c r="D263">
        <v>2</v>
      </c>
      <c r="E263" t="str">
        <f t="shared" si="25"/>
        <v>Good</v>
      </c>
      <c r="F263" s="1">
        <v>45584.318055555559</v>
      </c>
      <c r="G263" s="1" t="str">
        <f t="shared" si="26"/>
        <v>Saturday</v>
      </c>
      <c r="H263" s="1" t="str">
        <f t="shared" si="27"/>
        <v>October</v>
      </c>
      <c r="I263" s="1" t="str">
        <f t="shared" si="28"/>
        <v>2024</v>
      </c>
      <c r="J263" t="b">
        <v>1</v>
      </c>
      <c r="K263" t="s">
        <v>58</v>
      </c>
      <c r="L263">
        <v>808</v>
      </c>
      <c r="M263">
        <v>65</v>
      </c>
      <c r="N263" t="str">
        <f t="shared" si="24"/>
        <v>Seniors</v>
      </c>
      <c r="O263" t="s">
        <v>68</v>
      </c>
      <c r="P263" t="s">
        <v>9</v>
      </c>
    </row>
    <row r="264" spans="1:16" x14ac:dyDescent="0.25">
      <c r="A264">
        <v>8181054</v>
      </c>
      <c r="B264" t="s">
        <v>46</v>
      </c>
      <c r="C264" t="s">
        <v>20</v>
      </c>
      <c r="D264">
        <v>4.3</v>
      </c>
      <c r="E264" t="str">
        <f t="shared" si="25"/>
        <v>Excellent</v>
      </c>
      <c r="F264" s="1">
        <v>45271.361111111109</v>
      </c>
      <c r="G264" s="1" t="str">
        <f t="shared" si="26"/>
        <v>Monday</v>
      </c>
      <c r="H264" s="1" t="str">
        <f t="shared" si="27"/>
        <v>December</v>
      </c>
      <c r="I264" s="1" t="str">
        <f t="shared" si="28"/>
        <v>2023</v>
      </c>
      <c r="J264" t="b">
        <v>1</v>
      </c>
      <c r="K264" t="s">
        <v>21</v>
      </c>
      <c r="L264">
        <v>245</v>
      </c>
      <c r="M264">
        <v>67</v>
      </c>
      <c r="N264" t="str">
        <f t="shared" si="24"/>
        <v>Seniors</v>
      </c>
      <c r="O264" t="s">
        <v>12</v>
      </c>
      <c r="P264" t="s">
        <v>9</v>
      </c>
    </row>
    <row r="265" spans="1:16" x14ac:dyDescent="0.25">
      <c r="A265">
        <v>2609220</v>
      </c>
      <c r="B265" t="s">
        <v>67</v>
      </c>
      <c r="C265" t="s">
        <v>85</v>
      </c>
      <c r="D265">
        <v>2.6</v>
      </c>
      <c r="E265" t="str">
        <f t="shared" si="25"/>
        <v>Good</v>
      </c>
      <c r="F265" s="1">
        <v>45609.192361111112</v>
      </c>
      <c r="G265" s="1" t="str">
        <f t="shared" si="26"/>
        <v>Wednesday</v>
      </c>
      <c r="H265" s="1" t="str">
        <f t="shared" si="27"/>
        <v>November</v>
      </c>
      <c r="I265" s="1" t="str">
        <f t="shared" si="28"/>
        <v>2024</v>
      </c>
      <c r="J265" t="b">
        <v>1</v>
      </c>
      <c r="K265" t="s">
        <v>15</v>
      </c>
      <c r="L265">
        <v>444</v>
      </c>
      <c r="M265">
        <v>34</v>
      </c>
      <c r="N265" t="str">
        <f t="shared" si="24"/>
        <v>Adults</v>
      </c>
      <c r="O265" t="s">
        <v>22</v>
      </c>
      <c r="P265" t="s">
        <v>4</v>
      </c>
    </row>
    <row r="266" spans="1:16" x14ac:dyDescent="0.25">
      <c r="A266">
        <v>3076650</v>
      </c>
      <c r="B266" t="s">
        <v>64</v>
      </c>
      <c r="C266" t="s">
        <v>11</v>
      </c>
      <c r="D266">
        <v>1.6</v>
      </c>
      <c r="E266" t="str">
        <f t="shared" si="25"/>
        <v>Poor</v>
      </c>
      <c r="F266" s="1">
        <v>45508.496527777781</v>
      </c>
      <c r="G266" s="1" t="str">
        <f t="shared" si="26"/>
        <v>Sunday</v>
      </c>
      <c r="H266" s="1" t="str">
        <f t="shared" si="27"/>
        <v>August</v>
      </c>
      <c r="I266" s="1" t="str">
        <f t="shared" si="28"/>
        <v>2024</v>
      </c>
      <c r="J266" t="b">
        <v>0</v>
      </c>
      <c r="K266" t="s">
        <v>7</v>
      </c>
      <c r="L266">
        <v>959</v>
      </c>
      <c r="M266">
        <v>28</v>
      </c>
      <c r="N266" t="str">
        <f t="shared" si="24"/>
        <v>Adults</v>
      </c>
      <c r="O266" t="s">
        <v>27</v>
      </c>
      <c r="P266" t="s">
        <v>4</v>
      </c>
    </row>
    <row r="267" spans="1:16" x14ac:dyDescent="0.25">
      <c r="A267">
        <v>754924</v>
      </c>
      <c r="B267" t="s">
        <v>0</v>
      </c>
      <c r="C267" t="s">
        <v>38</v>
      </c>
      <c r="D267">
        <v>4.4000000000000004</v>
      </c>
      <c r="E267" t="str">
        <f t="shared" si="25"/>
        <v>Excellent</v>
      </c>
      <c r="F267" s="1">
        <v>45820.648611111108</v>
      </c>
      <c r="G267" s="1" t="str">
        <f t="shared" si="26"/>
        <v>Thursday</v>
      </c>
      <c r="H267" s="1" t="str">
        <f t="shared" si="27"/>
        <v>June</v>
      </c>
      <c r="I267" s="1" t="str">
        <f t="shared" si="28"/>
        <v>2025</v>
      </c>
      <c r="J267" t="b">
        <v>1</v>
      </c>
      <c r="K267" t="s">
        <v>7</v>
      </c>
      <c r="L267">
        <v>730</v>
      </c>
      <c r="M267">
        <v>25</v>
      </c>
      <c r="N267" t="str">
        <f t="shared" si="24"/>
        <v>Adults</v>
      </c>
      <c r="O267" t="s">
        <v>27</v>
      </c>
      <c r="P267" t="s">
        <v>4</v>
      </c>
    </row>
    <row r="268" spans="1:16" x14ac:dyDescent="0.25">
      <c r="A268">
        <v>4000918</v>
      </c>
      <c r="B268" t="s">
        <v>17</v>
      </c>
      <c r="C268" t="s">
        <v>47</v>
      </c>
      <c r="D268">
        <v>3.7</v>
      </c>
      <c r="E268" t="str">
        <f t="shared" si="25"/>
        <v>Very Good</v>
      </c>
      <c r="F268" s="1">
        <v>45845.761805555558</v>
      </c>
      <c r="G268" s="1" t="str">
        <f t="shared" si="26"/>
        <v>Monday</v>
      </c>
      <c r="H268" s="1" t="str">
        <f t="shared" si="27"/>
        <v>July</v>
      </c>
      <c r="I268" s="1" t="str">
        <f t="shared" si="28"/>
        <v>2025</v>
      </c>
      <c r="J268" t="b">
        <v>1</v>
      </c>
      <c r="K268" t="s">
        <v>15</v>
      </c>
      <c r="L268">
        <v>227</v>
      </c>
      <c r="M268">
        <v>72</v>
      </c>
      <c r="N268" t="str">
        <f t="shared" si="24"/>
        <v>Seniors</v>
      </c>
      <c r="O268" t="s">
        <v>55</v>
      </c>
      <c r="P268" t="s">
        <v>4</v>
      </c>
    </row>
    <row r="269" spans="1:16" x14ac:dyDescent="0.25">
      <c r="A269">
        <v>4852426</v>
      </c>
      <c r="B269" t="s">
        <v>71</v>
      </c>
      <c r="C269" t="s">
        <v>36</v>
      </c>
      <c r="D269">
        <v>3.1</v>
      </c>
      <c r="E269" t="str">
        <f t="shared" si="25"/>
        <v>Very Good</v>
      </c>
      <c r="F269" s="1">
        <v>45603.585416666669</v>
      </c>
      <c r="G269" s="1" t="str">
        <f t="shared" si="26"/>
        <v>Thursday</v>
      </c>
      <c r="H269" s="1" t="str">
        <f t="shared" si="27"/>
        <v>November</v>
      </c>
      <c r="I269" s="1" t="str">
        <f t="shared" si="28"/>
        <v>2024</v>
      </c>
      <c r="J269" t="b">
        <v>1</v>
      </c>
      <c r="K269" t="s">
        <v>21</v>
      </c>
      <c r="L269">
        <v>48</v>
      </c>
      <c r="M269">
        <v>44</v>
      </c>
      <c r="N269" t="str">
        <f t="shared" si="24"/>
        <v>Adults</v>
      </c>
      <c r="O269" t="s">
        <v>44</v>
      </c>
      <c r="P269" t="s">
        <v>4</v>
      </c>
    </row>
    <row r="270" spans="1:16" x14ac:dyDescent="0.25">
      <c r="A270">
        <v>6955954</v>
      </c>
      <c r="B270" t="s">
        <v>46</v>
      </c>
      <c r="C270" t="s">
        <v>63</v>
      </c>
      <c r="D270">
        <v>1</v>
      </c>
      <c r="E270" t="str">
        <f t="shared" si="25"/>
        <v>Poor</v>
      </c>
      <c r="F270" s="1">
        <v>45339.120833333334</v>
      </c>
      <c r="G270" s="1" t="str">
        <f t="shared" si="26"/>
        <v>Saturday</v>
      </c>
      <c r="H270" s="1" t="str">
        <f t="shared" si="27"/>
        <v>February</v>
      </c>
      <c r="I270" s="1" t="str">
        <f t="shared" si="28"/>
        <v>2024</v>
      </c>
      <c r="J270" t="b">
        <v>1</v>
      </c>
      <c r="K270" t="s">
        <v>21</v>
      </c>
      <c r="L270">
        <v>39</v>
      </c>
      <c r="M270">
        <v>32</v>
      </c>
      <c r="N270" t="str">
        <f t="shared" si="24"/>
        <v>Adults</v>
      </c>
      <c r="O270" t="s">
        <v>8</v>
      </c>
      <c r="P270" t="s">
        <v>4</v>
      </c>
    </row>
    <row r="271" spans="1:16" x14ac:dyDescent="0.25">
      <c r="A271">
        <v>191762</v>
      </c>
      <c r="B271" t="s">
        <v>23</v>
      </c>
      <c r="C271" t="s">
        <v>47</v>
      </c>
      <c r="D271">
        <v>2</v>
      </c>
      <c r="E271" t="str">
        <f t="shared" si="25"/>
        <v>Good</v>
      </c>
      <c r="F271" s="1">
        <v>45689.69027777778</v>
      </c>
      <c r="G271" s="1" t="str">
        <f t="shared" si="26"/>
        <v>Saturday</v>
      </c>
      <c r="H271" s="1" t="str">
        <f t="shared" si="27"/>
        <v>February</v>
      </c>
      <c r="I271" s="1" t="str">
        <f t="shared" si="28"/>
        <v>2025</v>
      </c>
      <c r="J271" t="b">
        <v>0</v>
      </c>
      <c r="K271" t="s">
        <v>15</v>
      </c>
      <c r="L271">
        <v>1001</v>
      </c>
      <c r="M271">
        <v>31</v>
      </c>
      <c r="N271" t="str">
        <f t="shared" si="24"/>
        <v>Adults</v>
      </c>
      <c r="O271" t="s">
        <v>86</v>
      </c>
      <c r="P271" t="s">
        <v>9</v>
      </c>
    </row>
    <row r="272" spans="1:16" x14ac:dyDescent="0.25">
      <c r="A272">
        <v>219354</v>
      </c>
      <c r="B272" t="s">
        <v>82</v>
      </c>
      <c r="C272" t="s">
        <v>1</v>
      </c>
      <c r="D272">
        <v>1.6</v>
      </c>
      <c r="E272" t="str">
        <f t="shared" si="25"/>
        <v>Poor</v>
      </c>
      <c r="F272" s="1">
        <v>45587.813888888886</v>
      </c>
      <c r="G272" s="1" t="str">
        <f t="shared" si="26"/>
        <v>Tuesday</v>
      </c>
      <c r="H272" s="1" t="str">
        <f t="shared" si="27"/>
        <v>October</v>
      </c>
      <c r="I272" s="1" t="str">
        <f t="shared" si="28"/>
        <v>2024</v>
      </c>
      <c r="J272" t="b">
        <v>1</v>
      </c>
      <c r="K272" t="s">
        <v>15</v>
      </c>
      <c r="L272">
        <v>178</v>
      </c>
      <c r="M272">
        <v>68</v>
      </c>
      <c r="N272" t="str">
        <f t="shared" si="24"/>
        <v>Seniors</v>
      </c>
      <c r="O272" t="s">
        <v>3</v>
      </c>
      <c r="P272" t="s">
        <v>9</v>
      </c>
    </row>
    <row r="273" spans="1:16" x14ac:dyDescent="0.25">
      <c r="A273">
        <v>2076835</v>
      </c>
      <c r="B273" t="s">
        <v>30</v>
      </c>
      <c r="C273" t="s">
        <v>34</v>
      </c>
      <c r="D273">
        <v>4.7</v>
      </c>
      <c r="E273" t="str">
        <f t="shared" si="25"/>
        <v>Excellent</v>
      </c>
      <c r="F273" s="1">
        <v>45542.588888888888</v>
      </c>
      <c r="G273" s="1" t="str">
        <f t="shared" si="26"/>
        <v>Saturday</v>
      </c>
      <c r="H273" s="1" t="str">
        <f t="shared" si="27"/>
        <v>September</v>
      </c>
      <c r="I273" s="1" t="str">
        <f t="shared" si="28"/>
        <v>2024</v>
      </c>
      <c r="J273" t="b">
        <v>1</v>
      </c>
      <c r="K273" t="s">
        <v>58</v>
      </c>
      <c r="L273">
        <v>380</v>
      </c>
      <c r="M273">
        <v>18</v>
      </c>
      <c r="N273" t="str">
        <f t="shared" si="24"/>
        <v>Adults</v>
      </c>
      <c r="O273" t="s">
        <v>37</v>
      </c>
      <c r="P273" t="s">
        <v>9</v>
      </c>
    </row>
    <row r="274" spans="1:16" x14ac:dyDescent="0.25">
      <c r="A274">
        <v>6391957</v>
      </c>
      <c r="B274" t="s">
        <v>84</v>
      </c>
      <c r="C274" t="s">
        <v>57</v>
      </c>
      <c r="D274">
        <v>3.7</v>
      </c>
      <c r="E274" t="str">
        <f t="shared" si="25"/>
        <v>Very Good</v>
      </c>
      <c r="F274" s="1">
        <v>45447.589583333334</v>
      </c>
      <c r="G274" s="1" t="str">
        <f t="shared" si="26"/>
        <v>Tuesday</v>
      </c>
      <c r="H274" s="1" t="str">
        <f t="shared" si="27"/>
        <v>June</v>
      </c>
      <c r="I274" s="1" t="str">
        <f t="shared" si="28"/>
        <v>2024</v>
      </c>
      <c r="J274" t="b">
        <v>0</v>
      </c>
      <c r="K274" t="s">
        <v>58</v>
      </c>
      <c r="L274">
        <v>906</v>
      </c>
      <c r="M274">
        <v>24</v>
      </c>
      <c r="N274" t="str">
        <f t="shared" si="24"/>
        <v>Adults</v>
      </c>
      <c r="O274" t="s">
        <v>50</v>
      </c>
      <c r="P274" t="s">
        <v>9</v>
      </c>
    </row>
    <row r="275" spans="1:16" x14ac:dyDescent="0.25">
      <c r="A275">
        <v>2097927</v>
      </c>
      <c r="B275" t="s">
        <v>88</v>
      </c>
      <c r="C275" t="s">
        <v>14</v>
      </c>
      <c r="D275">
        <v>3</v>
      </c>
      <c r="E275" t="str">
        <f t="shared" si="25"/>
        <v>Good</v>
      </c>
      <c r="F275" s="1">
        <v>45719.722222222219</v>
      </c>
      <c r="G275" s="1" t="str">
        <f t="shared" si="26"/>
        <v>Monday</v>
      </c>
      <c r="H275" s="1" t="str">
        <f t="shared" si="27"/>
        <v>March</v>
      </c>
      <c r="I275" s="1" t="str">
        <f t="shared" si="28"/>
        <v>2025</v>
      </c>
      <c r="J275" t="b">
        <v>1</v>
      </c>
      <c r="K275" t="s">
        <v>2</v>
      </c>
      <c r="L275">
        <v>641</v>
      </c>
      <c r="M275">
        <v>47</v>
      </c>
      <c r="N275" t="str">
        <f t="shared" si="24"/>
        <v>Adults</v>
      </c>
      <c r="O275" t="s">
        <v>27</v>
      </c>
      <c r="P275" t="s">
        <v>4</v>
      </c>
    </row>
    <row r="276" spans="1:16" x14ac:dyDescent="0.25">
      <c r="A276">
        <v>8793169</v>
      </c>
      <c r="B276" t="s">
        <v>73</v>
      </c>
      <c r="C276" t="s">
        <v>75</v>
      </c>
      <c r="D276">
        <v>4.5</v>
      </c>
      <c r="E276" t="str">
        <f t="shared" si="25"/>
        <v>Excellent</v>
      </c>
      <c r="F276" s="1">
        <v>45361.025694444441</v>
      </c>
      <c r="G276" s="1" t="str">
        <f t="shared" si="26"/>
        <v>Sunday</v>
      </c>
      <c r="H276" s="1" t="str">
        <f t="shared" si="27"/>
        <v>March</v>
      </c>
      <c r="I276" s="1" t="str">
        <f t="shared" si="28"/>
        <v>2024</v>
      </c>
      <c r="J276" t="b">
        <v>1</v>
      </c>
      <c r="K276" t="s">
        <v>7</v>
      </c>
      <c r="L276">
        <v>1157</v>
      </c>
      <c r="M276">
        <v>75</v>
      </c>
      <c r="N276" t="str">
        <f t="shared" si="24"/>
        <v>Seniors</v>
      </c>
      <c r="O276" t="s">
        <v>59</v>
      </c>
      <c r="P276" t="s">
        <v>9</v>
      </c>
    </row>
    <row r="277" spans="1:16" x14ac:dyDescent="0.25">
      <c r="A277">
        <v>6801385</v>
      </c>
      <c r="B277" t="s">
        <v>82</v>
      </c>
      <c r="C277" t="s">
        <v>1</v>
      </c>
      <c r="D277">
        <v>4.5999999999999996</v>
      </c>
      <c r="E277" t="str">
        <f t="shared" si="25"/>
        <v>Excellent</v>
      </c>
      <c r="F277" s="1">
        <v>45413.160416666666</v>
      </c>
      <c r="G277" s="1" t="str">
        <f t="shared" si="26"/>
        <v>Wednesday</v>
      </c>
      <c r="H277" s="1" t="str">
        <f t="shared" si="27"/>
        <v>May</v>
      </c>
      <c r="I277" s="1" t="str">
        <f t="shared" si="28"/>
        <v>2024</v>
      </c>
      <c r="J277" t="b">
        <v>0</v>
      </c>
      <c r="K277" t="s">
        <v>7</v>
      </c>
      <c r="L277">
        <v>137</v>
      </c>
      <c r="M277">
        <v>41</v>
      </c>
      <c r="N277" t="str">
        <f t="shared" si="24"/>
        <v>Adults</v>
      </c>
      <c r="O277" t="s">
        <v>8</v>
      </c>
      <c r="P277" t="s">
        <v>4</v>
      </c>
    </row>
    <row r="278" spans="1:16" x14ac:dyDescent="0.25">
      <c r="A278">
        <v>6729401</v>
      </c>
      <c r="B278" t="s">
        <v>40</v>
      </c>
      <c r="C278" t="s">
        <v>6</v>
      </c>
      <c r="D278">
        <v>4.8</v>
      </c>
      <c r="E278" t="str">
        <f t="shared" si="25"/>
        <v>Excellent</v>
      </c>
      <c r="F278" s="1">
        <v>45453.800694444442</v>
      </c>
      <c r="G278" s="1" t="str">
        <f t="shared" si="26"/>
        <v>Monday</v>
      </c>
      <c r="H278" s="1" t="str">
        <f t="shared" si="27"/>
        <v>June</v>
      </c>
      <c r="I278" s="1" t="str">
        <f t="shared" si="28"/>
        <v>2024</v>
      </c>
      <c r="J278" t="b">
        <v>1</v>
      </c>
      <c r="K278" t="s">
        <v>2</v>
      </c>
      <c r="L278">
        <v>643</v>
      </c>
      <c r="M278">
        <v>51</v>
      </c>
      <c r="N278" t="str">
        <f t="shared" si="24"/>
        <v>Adults</v>
      </c>
      <c r="O278" t="s">
        <v>22</v>
      </c>
      <c r="P278" t="s">
        <v>4</v>
      </c>
    </row>
    <row r="279" spans="1:16" x14ac:dyDescent="0.25">
      <c r="A279">
        <v>1251205</v>
      </c>
      <c r="B279" t="s">
        <v>28</v>
      </c>
      <c r="C279" t="s">
        <v>29</v>
      </c>
      <c r="D279">
        <v>3.8</v>
      </c>
      <c r="E279" t="str">
        <f t="shared" si="25"/>
        <v>Very Good</v>
      </c>
      <c r="F279" s="1">
        <v>45341.686111111114</v>
      </c>
      <c r="G279" s="1" t="str">
        <f t="shared" si="26"/>
        <v>Monday</v>
      </c>
      <c r="H279" s="1" t="str">
        <f t="shared" si="27"/>
        <v>February</v>
      </c>
      <c r="I279" s="1" t="str">
        <f t="shared" si="28"/>
        <v>2024</v>
      </c>
      <c r="J279" t="b">
        <v>1</v>
      </c>
      <c r="K279" t="s">
        <v>2</v>
      </c>
      <c r="L279">
        <v>583</v>
      </c>
      <c r="M279">
        <v>23</v>
      </c>
      <c r="N279" t="str">
        <f t="shared" si="24"/>
        <v>Adults</v>
      </c>
      <c r="O279" t="s">
        <v>19</v>
      </c>
      <c r="P279" t="s">
        <v>4</v>
      </c>
    </row>
    <row r="280" spans="1:16" x14ac:dyDescent="0.25">
      <c r="A280">
        <v>5036726</v>
      </c>
      <c r="B280" t="s">
        <v>28</v>
      </c>
      <c r="C280" t="s">
        <v>14</v>
      </c>
      <c r="D280">
        <v>2</v>
      </c>
      <c r="E280" t="str">
        <f t="shared" si="25"/>
        <v>Good</v>
      </c>
      <c r="F280" s="1">
        <v>45496.729861111111</v>
      </c>
      <c r="G280" s="1" t="str">
        <f t="shared" si="26"/>
        <v>Tuesday</v>
      </c>
      <c r="H280" s="1" t="str">
        <f t="shared" si="27"/>
        <v>July</v>
      </c>
      <c r="I280" s="1" t="str">
        <f t="shared" si="28"/>
        <v>2024</v>
      </c>
      <c r="J280" t="b">
        <v>1</v>
      </c>
      <c r="K280" t="s">
        <v>21</v>
      </c>
      <c r="L280">
        <v>49</v>
      </c>
      <c r="M280">
        <v>16</v>
      </c>
      <c r="N280" t="str">
        <f t="shared" si="24"/>
        <v>Teenagers</v>
      </c>
      <c r="O280" t="s">
        <v>24</v>
      </c>
      <c r="P280" t="s">
        <v>4</v>
      </c>
    </row>
    <row r="281" spans="1:16" x14ac:dyDescent="0.25">
      <c r="A281">
        <v>4425497</v>
      </c>
      <c r="B281" t="s">
        <v>30</v>
      </c>
      <c r="C281" t="s">
        <v>47</v>
      </c>
      <c r="D281">
        <v>2.1</v>
      </c>
      <c r="E281" t="str">
        <f t="shared" si="25"/>
        <v>Good</v>
      </c>
      <c r="F281" s="1">
        <v>45191.348611111112</v>
      </c>
      <c r="G281" s="1" t="str">
        <f t="shared" si="26"/>
        <v>Friday</v>
      </c>
      <c r="H281" s="1" t="str">
        <f t="shared" si="27"/>
        <v>September</v>
      </c>
      <c r="I281" s="1" t="str">
        <f t="shared" si="28"/>
        <v>2023</v>
      </c>
      <c r="J281" t="b">
        <v>1</v>
      </c>
      <c r="K281" t="s">
        <v>7</v>
      </c>
      <c r="L281">
        <v>1046</v>
      </c>
      <c r="M281">
        <v>37</v>
      </c>
      <c r="N281" t="str">
        <f t="shared" si="24"/>
        <v>Adults</v>
      </c>
      <c r="O281" t="s">
        <v>39</v>
      </c>
      <c r="P281" t="s">
        <v>4</v>
      </c>
    </row>
    <row r="282" spans="1:16" x14ac:dyDescent="0.25">
      <c r="A282">
        <v>9086747</v>
      </c>
      <c r="B282" t="s">
        <v>52</v>
      </c>
      <c r="C282" t="s">
        <v>75</v>
      </c>
      <c r="D282">
        <v>4.5999999999999996</v>
      </c>
      <c r="E282" t="str">
        <f t="shared" si="25"/>
        <v>Excellent</v>
      </c>
      <c r="F282" s="1">
        <v>45146.429861111108</v>
      </c>
      <c r="G282" s="1" t="str">
        <f t="shared" si="26"/>
        <v>Tuesday</v>
      </c>
      <c r="H282" s="1" t="str">
        <f t="shared" si="27"/>
        <v>August</v>
      </c>
      <c r="I282" s="1" t="str">
        <f t="shared" si="28"/>
        <v>2023</v>
      </c>
      <c r="J282" t="b">
        <v>0</v>
      </c>
      <c r="K282" t="s">
        <v>7</v>
      </c>
      <c r="L282">
        <v>290</v>
      </c>
      <c r="M282">
        <v>29</v>
      </c>
      <c r="N282" t="str">
        <f t="shared" si="24"/>
        <v>Adults</v>
      </c>
      <c r="O282" t="s">
        <v>42</v>
      </c>
      <c r="P282" t="s">
        <v>4</v>
      </c>
    </row>
    <row r="283" spans="1:16" x14ac:dyDescent="0.25">
      <c r="A283">
        <v>4518274</v>
      </c>
      <c r="B283" t="s">
        <v>32</v>
      </c>
      <c r="C283" t="s">
        <v>29</v>
      </c>
      <c r="D283">
        <v>2.1</v>
      </c>
      <c r="E283" t="str">
        <f t="shared" si="25"/>
        <v>Good</v>
      </c>
      <c r="F283" s="1">
        <v>45296.371527777781</v>
      </c>
      <c r="G283" s="1" t="str">
        <f t="shared" si="26"/>
        <v>Friday</v>
      </c>
      <c r="H283" s="1" t="str">
        <f t="shared" si="27"/>
        <v>January</v>
      </c>
      <c r="I283" s="1" t="str">
        <f t="shared" si="28"/>
        <v>2024</v>
      </c>
      <c r="J283" t="b">
        <v>1</v>
      </c>
      <c r="K283" t="s">
        <v>58</v>
      </c>
      <c r="L283">
        <v>1153</v>
      </c>
      <c r="M283">
        <v>43</v>
      </c>
      <c r="N283" t="str">
        <f t="shared" si="24"/>
        <v>Adults</v>
      </c>
      <c r="O283" t="s">
        <v>3</v>
      </c>
      <c r="P283" t="s">
        <v>4</v>
      </c>
    </row>
    <row r="284" spans="1:16" x14ac:dyDescent="0.25">
      <c r="A284">
        <v>4457055</v>
      </c>
      <c r="B284" t="s">
        <v>80</v>
      </c>
      <c r="C284" t="s">
        <v>38</v>
      </c>
      <c r="D284">
        <v>1.6</v>
      </c>
      <c r="E284" t="str">
        <f t="shared" si="25"/>
        <v>Poor</v>
      </c>
      <c r="F284" s="1">
        <v>45284.243750000001</v>
      </c>
      <c r="G284" s="1" t="str">
        <f t="shared" si="26"/>
        <v>Sunday</v>
      </c>
      <c r="H284" s="1" t="str">
        <f t="shared" si="27"/>
        <v>December</v>
      </c>
      <c r="I284" s="1" t="str">
        <f t="shared" si="28"/>
        <v>2023</v>
      </c>
      <c r="J284" t="b">
        <v>1</v>
      </c>
      <c r="K284" t="s">
        <v>15</v>
      </c>
      <c r="L284">
        <v>811</v>
      </c>
      <c r="M284">
        <v>18</v>
      </c>
      <c r="N284" t="str">
        <f t="shared" si="24"/>
        <v>Adults</v>
      </c>
      <c r="O284" t="s">
        <v>53</v>
      </c>
      <c r="P284" t="s">
        <v>9</v>
      </c>
    </row>
    <row r="285" spans="1:16" x14ac:dyDescent="0.25">
      <c r="A285">
        <v>3389394</v>
      </c>
      <c r="B285" t="s">
        <v>35</v>
      </c>
      <c r="C285" t="s">
        <v>14</v>
      </c>
      <c r="D285">
        <v>2.5</v>
      </c>
      <c r="E285" t="str">
        <f t="shared" si="25"/>
        <v>Good</v>
      </c>
      <c r="F285" s="1">
        <v>45252.158333333333</v>
      </c>
      <c r="G285" s="1" t="str">
        <f t="shared" si="26"/>
        <v>Wednesday</v>
      </c>
      <c r="H285" s="1" t="str">
        <f t="shared" si="27"/>
        <v>November</v>
      </c>
      <c r="I285" s="1" t="str">
        <f t="shared" si="28"/>
        <v>2023</v>
      </c>
      <c r="J285" t="b">
        <v>0</v>
      </c>
      <c r="K285" t="s">
        <v>7</v>
      </c>
      <c r="L285">
        <v>494</v>
      </c>
      <c r="M285">
        <v>51</v>
      </c>
      <c r="N285" t="str">
        <f t="shared" si="24"/>
        <v>Adults</v>
      </c>
      <c r="O285" t="s">
        <v>59</v>
      </c>
      <c r="P285" t="s">
        <v>9</v>
      </c>
    </row>
    <row r="286" spans="1:16" x14ac:dyDescent="0.25">
      <c r="A286">
        <v>2609000</v>
      </c>
      <c r="B286" t="s">
        <v>70</v>
      </c>
      <c r="C286" t="s">
        <v>26</v>
      </c>
      <c r="D286">
        <v>2.9</v>
      </c>
      <c r="E286" t="str">
        <f t="shared" si="25"/>
        <v>Good</v>
      </c>
      <c r="F286" s="1">
        <v>45506.257638888892</v>
      </c>
      <c r="G286" s="1" t="str">
        <f t="shared" si="26"/>
        <v>Friday</v>
      </c>
      <c r="H286" s="1" t="str">
        <f t="shared" si="27"/>
        <v>August</v>
      </c>
      <c r="I286" s="1" t="str">
        <f t="shared" si="28"/>
        <v>2024</v>
      </c>
      <c r="J286" t="b">
        <v>1</v>
      </c>
      <c r="K286" t="s">
        <v>21</v>
      </c>
      <c r="L286">
        <v>794</v>
      </c>
      <c r="M286">
        <v>64</v>
      </c>
      <c r="N286" t="str">
        <f t="shared" si="24"/>
        <v>Seniors</v>
      </c>
      <c r="O286" t="s">
        <v>22</v>
      </c>
      <c r="P286" t="s">
        <v>9</v>
      </c>
    </row>
    <row r="287" spans="1:16" x14ac:dyDescent="0.25">
      <c r="A287">
        <v>3062978</v>
      </c>
      <c r="B287" t="s">
        <v>80</v>
      </c>
      <c r="C287" t="s">
        <v>38</v>
      </c>
      <c r="D287">
        <v>2.9</v>
      </c>
      <c r="E287" t="str">
        <f t="shared" si="25"/>
        <v>Good</v>
      </c>
      <c r="F287" s="1">
        <v>45466.282638888886</v>
      </c>
      <c r="G287" s="1" t="str">
        <f t="shared" si="26"/>
        <v>Sunday</v>
      </c>
      <c r="H287" s="1" t="str">
        <f t="shared" si="27"/>
        <v>June</v>
      </c>
      <c r="I287" s="1" t="str">
        <f t="shared" si="28"/>
        <v>2024</v>
      </c>
      <c r="J287" t="b">
        <v>1</v>
      </c>
      <c r="K287" t="s">
        <v>15</v>
      </c>
      <c r="L287">
        <v>11</v>
      </c>
      <c r="M287">
        <v>37</v>
      </c>
      <c r="N287" t="str">
        <f t="shared" si="24"/>
        <v>Adults</v>
      </c>
      <c r="O287" t="s">
        <v>27</v>
      </c>
      <c r="P287" t="s">
        <v>4</v>
      </c>
    </row>
    <row r="288" spans="1:16" x14ac:dyDescent="0.25">
      <c r="A288">
        <v>5714605</v>
      </c>
      <c r="B288" t="s">
        <v>71</v>
      </c>
      <c r="C288" t="s">
        <v>18</v>
      </c>
      <c r="D288">
        <v>3.2</v>
      </c>
      <c r="E288" t="str">
        <f t="shared" si="25"/>
        <v>Very Good</v>
      </c>
      <c r="F288" s="1">
        <v>45340.646527777775</v>
      </c>
      <c r="G288" s="1" t="str">
        <f t="shared" si="26"/>
        <v>Sunday</v>
      </c>
      <c r="H288" s="1" t="str">
        <f t="shared" si="27"/>
        <v>February</v>
      </c>
      <c r="I288" s="1" t="str">
        <f t="shared" si="28"/>
        <v>2024</v>
      </c>
      <c r="J288" t="b">
        <v>1</v>
      </c>
      <c r="K288" t="s">
        <v>21</v>
      </c>
      <c r="L288">
        <v>1227</v>
      </c>
      <c r="M288">
        <v>55</v>
      </c>
      <c r="N288" t="str">
        <f t="shared" ref="N288:N327" si="29">IF(M288&lt;=17,"Teenagers", IF(AND(M288&gt;=18,M288&lt;61),"Adults",IF(M288&gt;60,"Seniors")))</f>
        <v>Adults</v>
      </c>
      <c r="O288" t="s">
        <v>19</v>
      </c>
      <c r="P288" t="s">
        <v>4</v>
      </c>
    </row>
    <row r="289" spans="1:16" x14ac:dyDescent="0.25">
      <c r="A289">
        <v>6144941</v>
      </c>
      <c r="B289" t="s">
        <v>0</v>
      </c>
      <c r="C289" t="s">
        <v>14</v>
      </c>
      <c r="D289">
        <v>4.5999999999999996</v>
      </c>
      <c r="E289" t="str">
        <f t="shared" si="25"/>
        <v>Excellent</v>
      </c>
      <c r="F289" s="1">
        <v>45574.114583333336</v>
      </c>
      <c r="G289" s="1" t="str">
        <f t="shared" si="26"/>
        <v>Wednesday</v>
      </c>
      <c r="H289" s="1" t="str">
        <f t="shared" si="27"/>
        <v>October</v>
      </c>
      <c r="I289" s="1" t="str">
        <f t="shared" si="28"/>
        <v>2024</v>
      </c>
      <c r="J289" t="b">
        <v>1</v>
      </c>
      <c r="K289" t="s">
        <v>21</v>
      </c>
      <c r="L289">
        <v>391</v>
      </c>
      <c r="M289">
        <v>35</v>
      </c>
      <c r="N289" t="str">
        <f t="shared" si="29"/>
        <v>Adults</v>
      </c>
      <c r="O289" t="s">
        <v>65</v>
      </c>
      <c r="P289" t="s">
        <v>4</v>
      </c>
    </row>
    <row r="290" spans="1:16" x14ac:dyDescent="0.25">
      <c r="A290">
        <v>4874942</v>
      </c>
      <c r="B290" t="s">
        <v>40</v>
      </c>
      <c r="C290" t="s">
        <v>6</v>
      </c>
      <c r="D290">
        <v>1.1000000000000001</v>
      </c>
      <c r="E290" t="str">
        <f t="shared" si="25"/>
        <v>Poor</v>
      </c>
      <c r="F290" s="1">
        <v>45499.084722222222</v>
      </c>
      <c r="G290" s="1" t="str">
        <f t="shared" si="26"/>
        <v>Friday</v>
      </c>
      <c r="H290" s="1" t="str">
        <f t="shared" si="27"/>
        <v>July</v>
      </c>
      <c r="I290" s="1" t="str">
        <f t="shared" si="28"/>
        <v>2024</v>
      </c>
      <c r="J290" t="b">
        <v>0</v>
      </c>
      <c r="K290" t="s">
        <v>21</v>
      </c>
      <c r="L290">
        <v>648</v>
      </c>
      <c r="M290">
        <v>61</v>
      </c>
      <c r="N290" t="str">
        <f t="shared" si="29"/>
        <v>Seniors</v>
      </c>
      <c r="O290" t="s">
        <v>12</v>
      </c>
      <c r="P290" t="s">
        <v>4</v>
      </c>
    </row>
    <row r="291" spans="1:16" x14ac:dyDescent="0.25">
      <c r="A291">
        <v>2530151</v>
      </c>
      <c r="B291" t="s">
        <v>62</v>
      </c>
      <c r="C291" t="s">
        <v>63</v>
      </c>
      <c r="D291">
        <v>3.4</v>
      </c>
      <c r="E291" t="str">
        <f t="shared" si="25"/>
        <v>Very Good</v>
      </c>
      <c r="F291" s="1">
        <v>45453.274305555555</v>
      </c>
      <c r="G291" s="1" t="str">
        <f t="shared" si="26"/>
        <v>Monday</v>
      </c>
      <c r="H291" s="1" t="str">
        <f t="shared" si="27"/>
        <v>June</v>
      </c>
      <c r="I291" s="1" t="str">
        <f t="shared" si="28"/>
        <v>2024</v>
      </c>
      <c r="J291" t="b">
        <v>1</v>
      </c>
      <c r="K291" t="s">
        <v>15</v>
      </c>
      <c r="L291">
        <v>451</v>
      </c>
      <c r="M291">
        <v>30</v>
      </c>
      <c r="N291" t="str">
        <f t="shared" si="29"/>
        <v>Adults</v>
      </c>
      <c r="O291" t="s">
        <v>48</v>
      </c>
      <c r="P291" t="s">
        <v>9</v>
      </c>
    </row>
    <row r="292" spans="1:16" x14ac:dyDescent="0.25">
      <c r="A292">
        <v>1427277</v>
      </c>
      <c r="B292" t="s">
        <v>64</v>
      </c>
      <c r="C292" t="s">
        <v>6</v>
      </c>
      <c r="D292">
        <v>4</v>
      </c>
      <c r="E292" t="str">
        <f t="shared" si="25"/>
        <v>Very Good</v>
      </c>
      <c r="F292" s="1">
        <v>45264.706944444442</v>
      </c>
      <c r="G292" s="1" t="str">
        <f t="shared" si="26"/>
        <v>Monday</v>
      </c>
      <c r="H292" s="1" t="str">
        <f t="shared" si="27"/>
        <v>December</v>
      </c>
      <c r="I292" s="1" t="str">
        <f t="shared" si="28"/>
        <v>2023</v>
      </c>
      <c r="J292" t="b">
        <v>1</v>
      </c>
      <c r="K292" t="s">
        <v>58</v>
      </c>
      <c r="L292">
        <v>1108</v>
      </c>
      <c r="M292">
        <v>61</v>
      </c>
      <c r="N292" t="str">
        <f t="shared" si="29"/>
        <v>Seniors</v>
      </c>
      <c r="O292" t="s">
        <v>86</v>
      </c>
      <c r="P292" t="s">
        <v>4</v>
      </c>
    </row>
    <row r="293" spans="1:16" x14ac:dyDescent="0.25">
      <c r="A293">
        <v>3928861</v>
      </c>
      <c r="B293" t="s">
        <v>35</v>
      </c>
      <c r="C293" t="s">
        <v>57</v>
      </c>
      <c r="D293">
        <v>4.3</v>
      </c>
      <c r="E293" t="str">
        <f t="shared" si="25"/>
        <v>Excellent</v>
      </c>
      <c r="F293" s="1">
        <v>45382.366666666669</v>
      </c>
      <c r="G293" s="1" t="str">
        <f t="shared" si="26"/>
        <v>Sunday</v>
      </c>
      <c r="H293" s="1" t="str">
        <f t="shared" si="27"/>
        <v>March</v>
      </c>
      <c r="I293" s="1" t="str">
        <f t="shared" si="28"/>
        <v>2024</v>
      </c>
      <c r="J293" t="b">
        <v>1</v>
      </c>
      <c r="K293" t="s">
        <v>2</v>
      </c>
      <c r="L293">
        <v>344</v>
      </c>
      <c r="M293">
        <v>63</v>
      </c>
      <c r="N293" t="str">
        <f t="shared" si="29"/>
        <v>Seniors</v>
      </c>
      <c r="O293" t="s">
        <v>8</v>
      </c>
      <c r="P293" t="s">
        <v>4</v>
      </c>
    </row>
    <row r="294" spans="1:16" x14ac:dyDescent="0.25">
      <c r="A294">
        <v>3632803</v>
      </c>
      <c r="B294" t="s">
        <v>51</v>
      </c>
      <c r="C294" t="s">
        <v>36</v>
      </c>
      <c r="D294">
        <v>4.9000000000000004</v>
      </c>
      <c r="E294" t="str">
        <f t="shared" si="25"/>
        <v>Excellent</v>
      </c>
      <c r="F294" s="1">
        <v>45268.520833333336</v>
      </c>
      <c r="G294" s="1" t="str">
        <f t="shared" si="26"/>
        <v>Friday</v>
      </c>
      <c r="H294" s="1" t="str">
        <f t="shared" si="27"/>
        <v>December</v>
      </c>
      <c r="I294" s="1" t="str">
        <f t="shared" si="28"/>
        <v>2023</v>
      </c>
      <c r="J294" t="b">
        <v>1</v>
      </c>
      <c r="K294" t="s">
        <v>7</v>
      </c>
      <c r="L294">
        <v>98</v>
      </c>
      <c r="M294">
        <v>61</v>
      </c>
      <c r="N294" t="str">
        <f t="shared" si="29"/>
        <v>Seniors</v>
      </c>
      <c r="O294" t="s">
        <v>12</v>
      </c>
      <c r="P294" t="s">
        <v>9</v>
      </c>
    </row>
    <row r="295" spans="1:16" x14ac:dyDescent="0.25">
      <c r="A295">
        <v>1828209</v>
      </c>
      <c r="B295" t="s">
        <v>25</v>
      </c>
      <c r="C295" t="s">
        <v>63</v>
      </c>
      <c r="D295">
        <v>2.6</v>
      </c>
      <c r="E295" t="str">
        <f t="shared" si="25"/>
        <v>Good</v>
      </c>
      <c r="F295" s="1">
        <v>45213.09652777778</v>
      </c>
      <c r="G295" s="1" t="str">
        <f t="shared" si="26"/>
        <v>Saturday</v>
      </c>
      <c r="H295" s="1" t="str">
        <f t="shared" si="27"/>
        <v>October</v>
      </c>
      <c r="I295" s="1" t="str">
        <f t="shared" si="28"/>
        <v>2023</v>
      </c>
      <c r="J295" t="b">
        <v>1</v>
      </c>
      <c r="K295" t="s">
        <v>15</v>
      </c>
      <c r="L295">
        <v>1066</v>
      </c>
      <c r="M295">
        <v>17</v>
      </c>
      <c r="N295" t="str">
        <f t="shared" si="29"/>
        <v>Teenagers</v>
      </c>
      <c r="O295" t="s">
        <v>12</v>
      </c>
      <c r="P295" t="s">
        <v>9</v>
      </c>
    </row>
    <row r="296" spans="1:16" x14ac:dyDescent="0.25">
      <c r="A296">
        <v>542329</v>
      </c>
      <c r="B296" t="s">
        <v>54</v>
      </c>
      <c r="C296" t="s">
        <v>6</v>
      </c>
      <c r="D296">
        <v>3</v>
      </c>
      <c r="E296" t="str">
        <f t="shared" si="25"/>
        <v>Good</v>
      </c>
      <c r="F296" s="1">
        <v>45737.679861111108</v>
      </c>
      <c r="G296" s="1" t="str">
        <f t="shared" si="26"/>
        <v>Friday</v>
      </c>
      <c r="H296" s="1" t="str">
        <f t="shared" si="27"/>
        <v>March</v>
      </c>
      <c r="I296" s="1" t="str">
        <f t="shared" si="28"/>
        <v>2025</v>
      </c>
      <c r="J296" t="b">
        <v>1</v>
      </c>
      <c r="K296" t="s">
        <v>58</v>
      </c>
      <c r="L296">
        <v>806</v>
      </c>
      <c r="M296">
        <v>21</v>
      </c>
      <c r="N296" t="str">
        <f t="shared" si="29"/>
        <v>Adults</v>
      </c>
      <c r="O296" t="s">
        <v>39</v>
      </c>
      <c r="P296" t="s">
        <v>9</v>
      </c>
    </row>
    <row r="297" spans="1:16" x14ac:dyDescent="0.25">
      <c r="A297">
        <v>1843629</v>
      </c>
      <c r="B297" t="s">
        <v>25</v>
      </c>
      <c r="C297" t="s">
        <v>34</v>
      </c>
      <c r="D297">
        <v>3.1</v>
      </c>
      <c r="E297" t="str">
        <f t="shared" si="25"/>
        <v>Very Good</v>
      </c>
      <c r="F297" s="1">
        <v>45416.044444444444</v>
      </c>
      <c r="G297" s="1" t="str">
        <f t="shared" si="26"/>
        <v>Saturday</v>
      </c>
      <c r="H297" s="1" t="str">
        <f t="shared" si="27"/>
        <v>May</v>
      </c>
      <c r="I297" s="1" t="str">
        <f t="shared" si="28"/>
        <v>2024</v>
      </c>
      <c r="J297" t="b">
        <v>1</v>
      </c>
      <c r="K297" t="s">
        <v>2</v>
      </c>
      <c r="L297">
        <v>341</v>
      </c>
      <c r="M297">
        <v>45</v>
      </c>
      <c r="N297" t="str">
        <f t="shared" si="29"/>
        <v>Adults</v>
      </c>
      <c r="O297" t="s">
        <v>59</v>
      </c>
      <c r="P297" t="s">
        <v>4</v>
      </c>
    </row>
    <row r="298" spans="1:16" x14ac:dyDescent="0.25">
      <c r="A298">
        <v>4670355</v>
      </c>
      <c r="B298" t="s">
        <v>61</v>
      </c>
      <c r="C298" t="s">
        <v>63</v>
      </c>
      <c r="D298">
        <v>4.8</v>
      </c>
      <c r="E298" t="str">
        <f t="shared" si="25"/>
        <v>Excellent</v>
      </c>
      <c r="F298" s="1">
        <v>45576.9375</v>
      </c>
      <c r="G298" s="1" t="str">
        <f t="shared" si="26"/>
        <v>Friday</v>
      </c>
      <c r="H298" s="1" t="str">
        <f t="shared" si="27"/>
        <v>October</v>
      </c>
      <c r="I298" s="1" t="str">
        <f t="shared" si="28"/>
        <v>2024</v>
      </c>
      <c r="J298" t="b">
        <v>1</v>
      </c>
      <c r="K298" t="s">
        <v>15</v>
      </c>
      <c r="L298">
        <v>298</v>
      </c>
      <c r="M298">
        <v>70</v>
      </c>
      <c r="N298" t="str">
        <f t="shared" si="29"/>
        <v>Seniors</v>
      </c>
      <c r="O298" t="s">
        <v>24</v>
      </c>
      <c r="P298" t="s">
        <v>9</v>
      </c>
    </row>
    <row r="299" spans="1:16" x14ac:dyDescent="0.25">
      <c r="A299">
        <v>8882198</v>
      </c>
      <c r="B299" t="s">
        <v>78</v>
      </c>
      <c r="C299" t="s">
        <v>14</v>
      </c>
      <c r="D299">
        <v>2.4</v>
      </c>
      <c r="E299" t="str">
        <f t="shared" si="25"/>
        <v>Good</v>
      </c>
      <c r="F299" s="1">
        <v>45635.814583333333</v>
      </c>
      <c r="G299" s="1" t="str">
        <f t="shared" si="26"/>
        <v>Monday</v>
      </c>
      <c r="H299" s="1" t="str">
        <f t="shared" si="27"/>
        <v>December</v>
      </c>
      <c r="I299" s="1" t="str">
        <f t="shared" si="28"/>
        <v>2024</v>
      </c>
      <c r="J299" t="b">
        <v>0</v>
      </c>
      <c r="K299" t="s">
        <v>15</v>
      </c>
      <c r="L299">
        <v>635</v>
      </c>
      <c r="M299">
        <v>72</v>
      </c>
      <c r="N299" t="str">
        <f t="shared" si="29"/>
        <v>Seniors</v>
      </c>
      <c r="O299" t="s">
        <v>50</v>
      </c>
      <c r="P299" t="s">
        <v>4</v>
      </c>
    </row>
    <row r="300" spans="1:16" x14ac:dyDescent="0.25">
      <c r="A300">
        <v>7027377</v>
      </c>
      <c r="B300" t="s">
        <v>70</v>
      </c>
      <c r="C300" t="s">
        <v>31</v>
      </c>
      <c r="D300">
        <v>2</v>
      </c>
      <c r="E300" t="str">
        <f t="shared" si="25"/>
        <v>Good</v>
      </c>
      <c r="F300" s="1">
        <v>45284.902083333334</v>
      </c>
      <c r="G300" s="1" t="str">
        <f t="shared" si="26"/>
        <v>Sunday</v>
      </c>
      <c r="H300" s="1" t="str">
        <f t="shared" si="27"/>
        <v>December</v>
      </c>
      <c r="I300" s="1" t="str">
        <f t="shared" si="28"/>
        <v>2023</v>
      </c>
      <c r="J300" t="b">
        <v>1</v>
      </c>
      <c r="K300" t="s">
        <v>21</v>
      </c>
      <c r="L300">
        <v>985</v>
      </c>
      <c r="M300">
        <v>73</v>
      </c>
      <c r="N300" t="str">
        <f t="shared" si="29"/>
        <v>Seniors</v>
      </c>
      <c r="O300" t="s">
        <v>55</v>
      </c>
      <c r="P300" t="s">
        <v>9</v>
      </c>
    </row>
    <row r="301" spans="1:16" x14ac:dyDescent="0.25">
      <c r="A301">
        <v>1951472</v>
      </c>
      <c r="B301" t="s">
        <v>62</v>
      </c>
      <c r="C301" t="s">
        <v>1</v>
      </c>
      <c r="D301">
        <v>4.7</v>
      </c>
      <c r="E301" t="str">
        <f t="shared" si="25"/>
        <v>Excellent</v>
      </c>
      <c r="F301" s="1">
        <v>45633.567361111112</v>
      </c>
      <c r="G301" s="1" t="str">
        <f t="shared" si="26"/>
        <v>Saturday</v>
      </c>
      <c r="H301" s="1" t="str">
        <f t="shared" si="27"/>
        <v>December</v>
      </c>
      <c r="I301" s="1" t="str">
        <f t="shared" si="28"/>
        <v>2024</v>
      </c>
      <c r="J301" t="b">
        <v>1</v>
      </c>
      <c r="K301" t="s">
        <v>15</v>
      </c>
      <c r="L301">
        <v>105</v>
      </c>
      <c r="M301">
        <v>13</v>
      </c>
      <c r="N301" t="str">
        <f t="shared" si="29"/>
        <v>Teenagers</v>
      </c>
      <c r="O301" t="s">
        <v>59</v>
      </c>
      <c r="P301" t="s">
        <v>4</v>
      </c>
    </row>
    <row r="302" spans="1:16" x14ac:dyDescent="0.25">
      <c r="A302">
        <v>7696173</v>
      </c>
      <c r="B302" t="s">
        <v>49</v>
      </c>
      <c r="C302" t="s">
        <v>14</v>
      </c>
      <c r="D302">
        <v>5</v>
      </c>
      <c r="E302" t="str">
        <f t="shared" si="25"/>
        <v>Excellent</v>
      </c>
      <c r="F302" s="1">
        <v>45350.250694444447</v>
      </c>
      <c r="G302" s="1" t="str">
        <f t="shared" si="26"/>
        <v>Wednesday</v>
      </c>
      <c r="H302" s="1" t="str">
        <f t="shared" si="27"/>
        <v>February</v>
      </c>
      <c r="I302" s="1" t="str">
        <f t="shared" si="28"/>
        <v>2024</v>
      </c>
      <c r="J302" t="b">
        <v>0</v>
      </c>
      <c r="K302" t="s">
        <v>21</v>
      </c>
      <c r="L302">
        <v>0</v>
      </c>
      <c r="M302">
        <v>65</v>
      </c>
      <c r="N302" t="str">
        <f t="shared" si="29"/>
        <v>Seniors</v>
      </c>
      <c r="O302" t="s">
        <v>68</v>
      </c>
      <c r="P302" t="s">
        <v>4</v>
      </c>
    </row>
    <row r="303" spans="1:16" x14ac:dyDescent="0.25">
      <c r="A303">
        <v>8354323</v>
      </c>
      <c r="B303" t="s">
        <v>25</v>
      </c>
      <c r="C303" t="s">
        <v>14</v>
      </c>
      <c r="D303">
        <v>3.6</v>
      </c>
      <c r="E303" t="str">
        <f t="shared" si="25"/>
        <v>Very Good</v>
      </c>
      <c r="F303" s="1">
        <v>45284.738194444442</v>
      </c>
      <c r="G303" s="1" t="str">
        <f t="shared" si="26"/>
        <v>Sunday</v>
      </c>
      <c r="H303" s="1" t="str">
        <f t="shared" si="27"/>
        <v>December</v>
      </c>
      <c r="I303" s="1" t="str">
        <f t="shared" si="28"/>
        <v>2023</v>
      </c>
      <c r="J303" t="b">
        <v>1</v>
      </c>
      <c r="K303" t="s">
        <v>21</v>
      </c>
      <c r="L303">
        <v>196</v>
      </c>
      <c r="M303">
        <v>44</v>
      </c>
      <c r="N303" t="str">
        <f t="shared" si="29"/>
        <v>Adults</v>
      </c>
      <c r="O303" t="s">
        <v>72</v>
      </c>
      <c r="P303" t="s">
        <v>4</v>
      </c>
    </row>
    <row r="304" spans="1:16" x14ac:dyDescent="0.25">
      <c r="A304">
        <v>425400</v>
      </c>
      <c r="B304" t="s">
        <v>61</v>
      </c>
      <c r="C304" t="s">
        <v>47</v>
      </c>
      <c r="D304">
        <v>2.2999999999999998</v>
      </c>
      <c r="E304" t="str">
        <f t="shared" si="25"/>
        <v>Good</v>
      </c>
      <c r="F304" s="1">
        <v>45307.572916666664</v>
      </c>
      <c r="G304" s="1" t="str">
        <f t="shared" si="26"/>
        <v>Tuesday</v>
      </c>
      <c r="H304" s="1" t="str">
        <f t="shared" si="27"/>
        <v>January</v>
      </c>
      <c r="I304" s="1" t="str">
        <f t="shared" si="28"/>
        <v>2024</v>
      </c>
      <c r="J304" t="b">
        <v>1</v>
      </c>
      <c r="K304" t="s">
        <v>15</v>
      </c>
      <c r="L304">
        <v>944</v>
      </c>
      <c r="M304">
        <v>22</v>
      </c>
      <c r="N304" t="str">
        <f t="shared" si="29"/>
        <v>Adults</v>
      </c>
      <c r="O304" t="s">
        <v>37</v>
      </c>
      <c r="P304" t="s">
        <v>4</v>
      </c>
    </row>
    <row r="305" spans="1:16" x14ac:dyDescent="0.25">
      <c r="A305">
        <v>7150508</v>
      </c>
      <c r="B305" t="s">
        <v>79</v>
      </c>
      <c r="C305" t="s">
        <v>20</v>
      </c>
      <c r="D305">
        <v>2.6</v>
      </c>
      <c r="E305" t="str">
        <f t="shared" si="25"/>
        <v>Good</v>
      </c>
      <c r="F305" s="1">
        <v>45380.886805555558</v>
      </c>
      <c r="G305" s="1" t="str">
        <f t="shared" si="26"/>
        <v>Friday</v>
      </c>
      <c r="H305" s="1" t="str">
        <f t="shared" si="27"/>
        <v>March</v>
      </c>
      <c r="I305" s="1" t="str">
        <f t="shared" si="28"/>
        <v>2024</v>
      </c>
      <c r="J305" t="b">
        <v>1</v>
      </c>
      <c r="K305" t="s">
        <v>21</v>
      </c>
      <c r="L305">
        <v>1203</v>
      </c>
      <c r="M305">
        <v>32</v>
      </c>
      <c r="N305" t="str">
        <f t="shared" si="29"/>
        <v>Adults</v>
      </c>
      <c r="O305" t="s">
        <v>37</v>
      </c>
      <c r="P305" t="s">
        <v>4</v>
      </c>
    </row>
    <row r="306" spans="1:16" x14ac:dyDescent="0.25">
      <c r="A306">
        <v>632460</v>
      </c>
      <c r="B306" t="s">
        <v>80</v>
      </c>
      <c r="C306" t="s">
        <v>63</v>
      </c>
      <c r="D306">
        <v>3.1</v>
      </c>
      <c r="E306" t="str">
        <f t="shared" si="25"/>
        <v>Very Good</v>
      </c>
      <c r="F306" s="1">
        <v>45395.38958333333</v>
      </c>
      <c r="G306" s="1" t="str">
        <f t="shared" si="26"/>
        <v>Saturday</v>
      </c>
      <c r="H306" s="1" t="str">
        <f t="shared" si="27"/>
        <v>April</v>
      </c>
      <c r="I306" s="1" t="str">
        <f t="shared" si="28"/>
        <v>2024</v>
      </c>
      <c r="J306" t="b">
        <v>1</v>
      </c>
      <c r="K306" t="s">
        <v>2</v>
      </c>
      <c r="L306">
        <v>569</v>
      </c>
      <c r="M306">
        <v>71</v>
      </c>
      <c r="N306" t="str">
        <f t="shared" si="29"/>
        <v>Seniors</v>
      </c>
      <c r="O306" t="s">
        <v>68</v>
      </c>
      <c r="P306" t="s">
        <v>4</v>
      </c>
    </row>
    <row r="307" spans="1:16" x14ac:dyDescent="0.25">
      <c r="A307">
        <v>2146175</v>
      </c>
      <c r="B307" t="s">
        <v>84</v>
      </c>
      <c r="C307" t="s">
        <v>6</v>
      </c>
      <c r="D307">
        <v>2.6</v>
      </c>
      <c r="E307" t="str">
        <f t="shared" si="25"/>
        <v>Good</v>
      </c>
      <c r="F307" s="1">
        <v>45735.51458333333</v>
      </c>
      <c r="G307" s="1" t="str">
        <f t="shared" si="26"/>
        <v>Wednesday</v>
      </c>
      <c r="H307" s="1" t="str">
        <f t="shared" si="27"/>
        <v>March</v>
      </c>
      <c r="I307" s="1" t="str">
        <f t="shared" si="28"/>
        <v>2025</v>
      </c>
      <c r="J307" t="b">
        <v>0</v>
      </c>
      <c r="K307" t="s">
        <v>58</v>
      </c>
      <c r="L307">
        <v>1086</v>
      </c>
      <c r="M307">
        <v>27</v>
      </c>
      <c r="N307" t="str">
        <f t="shared" si="29"/>
        <v>Adults</v>
      </c>
      <c r="O307" t="s">
        <v>16</v>
      </c>
      <c r="P307" t="s">
        <v>4</v>
      </c>
    </row>
    <row r="308" spans="1:16" x14ac:dyDescent="0.25">
      <c r="A308">
        <v>2907840</v>
      </c>
      <c r="B308" t="s">
        <v>80</v>
      </c>
      <c r="C308" t="s">
        <v>47</v>
      </c>
      <c r="D308">
        <v>4.5</v>
      </c>
      <c r="E308" t="str">
        <f t="shared" si="25"/>
        <v>Excellent</v>
      </c>
      <c r="F308" s="1">
        <v>45755.899305555555</v>
      </c>
      <c r="G308" s="1" t="str">
        <f t="shared" si="26"/>
        <v>Tuesday</v>
      </c>
      <c r="H308" s="1" t="str">
        <f t="shared" si="27"/>
        <v>April</v>
      </c>
      <c r="I308" s="1" t="str">
        <f t="shared" si="28"/>
        <v>2025</v>
      </c>
      <c r="J308" t="b">
        <v>1</v>
      </c>
      <c r="K308" t="s">
        <v>58</v>
      </c>
      <c r="L308">
        <v>490</v>
      </c>
      <c r="M308">
        <v>17</v>
      </c>
      <c r="N308" t="str">
        <f t="shared" si="29"/>
        <v>Teenagers</v>
      </c>
      <c r="O308" t="s">
        <v>86</v>
      </c>
      <c r="P308" t="s">
        <v>4</v>
      </c>
    </row>
    <row r="309" spans="1:16" x14ac:dyDescent="0.25">
      <c r="A309">
        <v>9909585</v>
      </c>
      <c r="B309" t="s">
        <v>41</v>
      </c>
      <c r="C309" t="s">
        <v>57</v>
      </c>
      <c r="D309">
        <v>1.7</v>
      </c>
      <c r="E309" t="str">
        <f t="shared" si="25"/>
        <v>Poor</v>
      </c>
      <c r="F309" s="1">
        <v>45231.8125</v>
      </c>
      <c r="G309" s="1" t="str">
        <f t="shared" si="26"/>
        <v>Wednesday</v>
      </c>
      <c r="H309" s="1" t="str">
        <f t="shared" si="27"/>
        <v>November</v>
      </c>
      <c r="I309" s="1" t="str">
        <f t="shared" si="28"/>
        <v>2023</v>
      </c>
      <c r="J309" t="b">
        <v>1</v>
      </c>
      <c r="K309" t="s">
        <v>15</v>
      </c>
      <c r="L309">
        <v>1116</v>
      </c>
      <c r="M309">
        <v>73</v>
      </c>
      <c r="N309" t="str">
        <f t="shared" si="29"/>
        <v>Seniors</v>
      </c>
      <c r="O309" t="s">
        <v>86</v>
      </c>
      <c r="P309" t="s">
        <v>9</v>
      </c>
    </row>
    <row r="310" spans="1:16" x14ac:dyDescent="0.25">
      <c r="A310">
        <v>8242018</v>
      </c>
      <c r="B310" t="s">
        <v>45</v>
      </c>
      <c r="C310" t="s">
        <v>63</v>
      </c>
      <c r="D310">
        <v>3.2</v>
      </c>
      <c r="E310" t="str">
        <f t="shared" si="25"/>
        <v>Very Good</v>
      </c>
      <c r="F310" s="1">
        <v>45824.671527777777</v>
      </c>
      <c r="G310" s="1" t="str">
        <f t="shared" si="26"/>
        <v>Monday</v>
      </c>
      <c r="H310" s="1" t="str">
        <f t="shared" si="27"/>
        <v>June</v>
      </c>
      <c r="I310" s="1" t="str">
        <f t="shared" si="28"/>
        <v>2025</v>
      </c>
      <c r="J310" t="b">
        <v>1</v>
      </c>
      <c r="K310" t="s">
        <v>21</v>
      </c>
      <c r="L310">
        <v>609</v>
      </c>
      <c r="M310">
        <v>19</v>
      </c>
      <c r="N310" t="str">
        <f t="shared" si="29"/>
        <v>Adults</v>
      </c>
      <c r="O310" t="s">
        <v>8</v>
      </c>
      <c r="P310" t="s">
        <v>9</v>
      </c>
    </row>
    <row r="311" spans="1:16" x14ac:dyDescent="0.25">
      <c r="A311">
        <v>6208168</v>
      </c>
      <c r="B311" t="s">
        <v>79</v>
      </c>
      <c r="C311" t="s">
        <v>14</v>
      </c>
      <c r="D311">
        <v>3.2</v>
      </c>
      <c r="E311" t="str">
        <f t="shared" si="25"/>
        <v>Very Good</v>
      </c>
      <c r="F311" s="1">
        <v>45741.62777777778</v>
      </c>
      <c r="G311" s="1" t="str">
        <f t="shared" si="26"/>
        <v>Tuesday</v>
      </c>
      <c r="H311" s="1" t="str">
        <f t="shared" si="27"/>
        <v>March</v>
      </c>
      <c r="I311" s="1" t="str">
        <f t="shared" si="28"/>
        <v>2025</v>
      </c>
      <c r="J311" t="b">
        <v>0</v>
      </c>
      <c r="K311" t="s">
        <v>7</v>
      </c>
      <c r="L311">
        <v>325</v>
      </c>
      <c r="M311">
        <v>50</v>
      </c>
      <c r="N311" t="str">
        <f t="shared" si="29"/>
        <v>Adults</v>
      </c>
      <c r="O311" t="s">
        <v>22</v>
      </c>
      <c r="P311" t="s">
        <v>4</v>
      </c>
    </row>
    <row r="312" spans="1:16" x14ac:dyDescent="0.25">
      <c r="A312">
        <v>8921818</v>
      </c>
      <c r="B312" t="s">
        <v>10</v>
      </c>
      <c r="C312" t="s">
        <v>11</v>
      </c>
      <c r="D312">
        <v>4.9000000000000004</v>
      </c>
      <c r="E312" t="str">
        <f t="shared" si="25"/>
        <v>Excellent</v>
      </c>
      <c r="F312" s="1">
        <v>45623.529861111114</v>
      </c>
      <c r="G312" s="1" t="str">
        <f t="shared" si="26"/>
        <v>Wednesday</v>
      </c>
      <c r="H312" s="1" t="str">
        <f t="shared" si="27"/>
        <v>November</v>
      </c>
      <c r="I312" s="1" t="str">
        <f t="shared" si="28"/>
        <v>2024</v>
      </c>
      <c r="J312" t="b">
        <v>0</v>
      </c>
      <c r="K312" t="s">
        <v>15</v>
      </c>
      <c r="L312">
        <v>271</v>
      </c>
      <c r="M312">
        <v>58</v>
      </c>
      <c r="N312" t="str">
        <f t="shared" si="29"/>
        <v>Adults</v>
      </c>
      <c r="O312" t="s">
        <v>16</v>
      </c>
      <c r="P312" t="s">
        <v>4</v>
      </c>
    </row>
    <row r="313" spans="1:16" x14ac:dyDescent="0.25">
      <c r="A313">
        <v>4393936</v>
      </c>
      <c r="B313" t="s">
        <v>64</v>
      </c>
      <c r="C313" t="s">
        <v>63</v>
      </c>
      <c r="D313">
        <v>2.4</v>
      </c>
      <c r="E313" t="str">
        <f t="shared" si="25"/>
        <v>Good</v>
      </c>
      <c r="F313" s="1">
        <v>45419.217361111114</v>
      </c>
      <c r="G313" s="1" t="str">
        <f t="shared" si="26"/>
        <v>Tuesday</v>
      </c>
      <c r="H313" s="1" t="str">
        <f t="shared" si="27"/>
        <v>May</v>
      </c>
      <c r="I313" s="1" t="str">
        <f t="shared" si="28"/>
        <v>2024</v>
      </c>
      <c r="J313" t="b">
        <v>1</v>
      </c>
      <c r="K313" t="s">
        <v>2</v>
      </c>
      <c r="L313">
        <v>295</v>
      </c>
      <c r="M313">
        <v>22</v>
      </c>
      <c r="N313" t="str">
        <f t="shared" si="29"/>
        <v>Adults</v>
      </c>
      <c r="O313" t="s">
        <v>27</v>
      </c>
      <c r="P313" t="s">
        <v>9</v>
      </c>
    </row>
    <row r="314" spans="1:16" x14ac:dyDescent="0.25">
      <c r="A314">
        <v>7078536</v>
      </c>
      <c r="B314" t="s">
        <v>61</v>
      </c>
      <c r="C314" t="s">
        <v>85</v>
      </c>
      <c r="D314">
        <v>3</v>
      </c>
      <c r="E314" t="str">
        <f t="shared" si="25"/>
        <v>Good</v>
      </c>
      <c r="F314" s="1">
        <v>45777.364583333336</v>
      </c>
      <c r="G314" s="1" t="str">
        <f t="shared" si="26"/>
        <v>Wednesday</v>
      </c>
      <c r="H314" s="1" t="str">
        <f t="shared" si="27"/>
        <v>April</v>
      </c>
      <c r="I314" s="1" t="str">
        <f t="shared" si="28"/>
        <v>2025</v>
      </c>
      <c r="J314" t="b">
        <v>1</v>
      </c>
      <c r="K314" t="s">
        <v>7</v>
      </c>
      <c r="L314">
        <v>895</v>
      </c>
      <c r="M314">
        <v>16</v>
      </c>
      <c r="N314" t="str">
        <f t="shared" si="29"/>
        <v>Teenagers</v>
      </c>
      <c r="O314" t="s">
        <v>86</v>
      </c>
      <c r="P314" t="s">
        <v>9</v>
      </c>
    </row>
    <row r="315" spans="1:16" x14ac:dyDescent="0.25">
      <c r="A315">
        <v>4559646</v>
      </c>
      <c r="B315" t="s">
        <v>32</v>
      </c>
      <c r="C315" t="s">
        <v>11</v>
      </c>
      <c r="D315">
        <v>2.9</v>
      </c>
      <c r="E315" t="str">
        <f t="shared" si="25"/>
        <v>Good</v>
      </c>
      <c r="F315" s="1">
        <v>45551.831250000003</v>
      </c>
      <c r="G315" s="1" t="str">
        <f t="shared" si="26"/>
        <v>Monday</v>
      </c>
      <c r="H315" s="1" t="str">
        <f t="shared" si="27"/>
        <v>September</v>
      </c>
      <c r="I315" s="1" t="str">
        <f t="shared" si="28"/>
        <v>2024</v>
      </c>
      <c r="J315" t="b">
        <v>1</v>
      </c>
      <c r="K315" t="s">
        <v>15</v>
      </c>
      <c r="L315">
        <v>1129</v>
      </c>
      <c r="M315">
        <v>45</v>
      </c>
      <c r="N315" t="str">
        <f t="shared" si="29"/>
        <v>Adults</v>
      </c>
      <c r="O315" t="s">
        <v>24</v>
      </c>
      <c r="P315" t="s">
        <v>4</v>
      </c>
    </row>
    <row r="316" spans="1:16" x14ac:dyDescent="0.25">
      <c r="A316">
        <v>9773133</v>
      </c>
      <c r="B316" t="s">
        <v>49</v>
      </c>
      <c r="C316" t="s">
        <v>1</v>
      </c>
      <c r="D316">
        <v>2.9</v>
      </c>
      <c r="E316" t="str">
        <f t="shared" si="25"/>
        <v>Good</v>
      </c>
      <c r="F316" s="1">
        <v>45416.915972222225</v>
      </c>
      <c r="G316" s="1" t="str">
        <f t="shared" si="26"/>
        <v>Saturday</v>
      </c>
      <c r="H316" s="1" t="str">
        <f t="shared" si="27"/>
        <v>May</v>
      </c>
      <c r="I316" s="1" t="str">
        <f t="shared" si="28"/>
        <v>2024</v>
      </c>
      <c r="J316" t="b">
        <v>0</v>
      </c>
      <c r="K316" t="s">
        <v>15</v>
      </c>
      <c r="L316">
        <v>1090</v>
      </c>
      <c r="M316">
        <v>34</v>
      </c>
      <c r="N316" t="str">
        <f t="shared" si="29"/>
        <v>Adults</v>
      </c>
      <c r="O316" t="s">
        <v>59</v>
      </c>
      <c r="P316" t="s">
        <v>4</v>
      </c>
    </row>
    <row r="317" spans="1:16" x14ac:dyDescent="0.25">
      <c r="A317">
        <v>7796054</v>
      </c>
      <c r="B317" t="s">
        <v>74</v>
      </c>
      <c r="C317" t="s">
        <v>75</v>
      </c>
      <c r="D317">
        <v>3.7</v>
      </c>
      <c r="E317" t="str">
        <f t="shared" si="25"/>
        <v>Very Good</v>
      </c>
      <c r="F317" s="1">
        <v>45684.56527777778</v>
      </c>
      <c r="G317" s="1" t="str">
        <f t="shared" si="26"/>
        <v>Monday</v>
      </c>
      <c r="H317" s="1" t="str">
        <f t="shared" si="27"/>
        <v>January</v>
      </c>
      <c r="I317" s="1" t="str">
        <f t="shared" si="28"/>
        <v>2025</v>
      </c>
      <c r="J317" t="b">
        <v>0</v>
      </c>
      <c r="K317" t="s">
        <v>21</v>
      </c>
      <c r="L317">
        <v>903</v>
      </c>
      <c r="M317">
        <v>58</v>
      </c>
      <c r="N317" t="str">
        <f t="shared" si="29"/>
        <v>Adults</v>
      </c>
      <c r="O317" t="s">
        <v>81</v>
      </c>
      <c r="P317" t="s">
        <v>4</v>
      </c>
    </row>
    <row r="318" spans="1:16" x14ac:dyDescent="0.25">
      <c r="A318">
        <v>7265129</v>
      </c>
      <c r="B318" t="s">
        <v>5</v>
      </c>
      <c r="C318" t="s">
        <v>1</v>
      </c>
      <c r="D318">
        <v>1.5</v>
      </c>
      <c r="E318" t="str">
        <f t="shared" si="25"/>
        <v>Poor</v>
      </c>
      <c r="F318" s="1">
        <v>45824.587500000001</v>
      </c>
      <c r="G318" s="1" t="str">
        <f t="shared" si="26"/>
        <v>Monday</v>
      </c>
      <c r="H318" s="1" t="str">
        <f t="shared" si="27"/>
        <v>June</v>
      </c>
      <c r="I318" s="1" t="str">
        <f t="shared" si="28"/>
        <v>2025</v>
      </c>
      <c r="J318" t="b">
        <v>1</v>
      </c>
      <c r="K318" t="s">
        <v>7</v>
      </c>
      <c r="L318">
        <v>1225</v>
      </c>
      <c r="M318">
        <v>47</v>
      </c>
      <c r="N318" t="str">
        <f t="shared" si="29"/>
        <v>Adults</v>
      </c>
      <c r="O318" t="s">
        <v>27</v>
      </c>
      <c r="P318" t="s">
        <v>4</v>
      </c>
    </row>
    <row r="319" spans="1:16" x14ac:dyDescent="0.25">
      <c r="A319">
        <v>5762526</v>
      </c>
      <c r="B319" t="s">
        <v>64</v>
      </c>
      <c r="C319" t="s">
        <v>47</v>
      </c>
      <c r="D319">
        <v>2.5</v>
      </c>
      <c r="E319" t="str">
        <f t="shared" si="25"/>
        <v>Good</v>
      </c>
      <c r="F319" s="1">
        <v>45649.597916666666</v>
      </c>
      <c r="G319" s="1" t="str">
        <f t="shared" si="26"/>
        <v>Monday</v>
      </c>
      <c r="H319" s="1" t="str">
        <f t="shared" si="27"/>
        <v>December</v>
      </c>
      <c r="I319" s="1" t="str">
        <f t="shared" si="28"/>
        <v>2024</v>
      </c>
      <c r="J319" t="b">
        <v>1</v>
      </c>
      <c r="K319" t="s">
        <v>15</v>
      </c>
      <c r="L319">
        <v>767</v>
      </c>
      <c r="M319">
        <v>15</v>
      </c>
      <c r="N319" t="str">
        <f t="shared" si="29"/>
        <v>Teenagers</v>
      </c>
      <c r="O319" t="s">
        <v>22</v>
      </c>
      <c r="P319" t="s">
        <v>4</v>
      </c>
    </row>
    <row r="320" spans="1:16" x14ac:dyDescent="0.25">
      <c r="A320">
        <v>9057363</v>
      </c>
      <c r="B320" t="s">
        <v>83</v>
      </c>
      <c r="C320" t="s">
        <v>75</v>
      </c>
      <c r="D320">
        <v>3.1</v>
      </c>
      <c r="E320" t="str">
        <f t="shared" si="25"/>
        <v>Very Good</v>
      </c>
      <c r="F320" s="1">
        <v>45373.324999999997</v>
      </c>
      <c r="G320" s="1" t="str">
        <f t="shared" si="26"/>
        <v>Friday</v>
      </c>
      <c r="H320" s="1" t="str">
        <f t="shared" si="27"/>
        <v>March</v>
      </c>
      <c r="I320" s="1" t="str">
        <f t="shared" si="28"/>
        <v>2024</v>
      </c>
      <c r="J320" t="b">
        <v>1</v>
      </c>
      <c r="K320" t="s">
        <v>21</v>
      </c>
      <c r="L320">
        <v>1199</v>
      </c>
      <c r="M320">
        <v>34</v>
      </c>
      <c r="N320" t="str">
        <f t="shared" si="29"/>
        <v>Adults</v>
      </c>
      <c r="O320" t="s">
        <v>42</v>
      </c>
      <c r="P320" t="s">
        <v>4</v>
      </c>
    </row>
    <row r="321" spans="1:16" x14ac:dyDescent="0.25">
      <c r="A321">
        <v>9690055</v>
      </c>
      <c r="B321" t="s">
        <v>25</v>
      </c>
      <c r="C321" t="s">
        <v>31</v>
      </c>
      <c r="D321">
        <v>2.7</v>
      </c>
      <c r="E321" t="str">
        <f t="shared" si="25"/>
        <v>Good</v>
      </c>
      <c r="F321" s="1">
        <v>45259.048611111109</v>
      </c>
      <c r="G321" s="1" t="str">
        <f t="shared" si="26"/>
        <v>Wednesday</v>
      </c>
      <c r="H321" s="1" t="str">
        <f t="shared" si="27"/>
        <v>November</v>
      </c>
      <c r="I321" s="1" t="str">
        <f t="shared" si="28"/>
        <v>2023</v>
      </c>
      <c r="J321" t="b">
        <v>1</v>
      </c>
      <c r="K321" t="s">
        <v>15</v>
      </c>
      <c r="L321">
        <v>286</v>
      </c>
      <c r="M321">
        <v>64</v>
      </c>
      <c r="N321" t="str">
        <f t="shared" si="29"/>
        <v>Seniors</v>
      </c>
      <c r="O321" t="s">
        <v>12</v>
      </c>
      <c r="P321" t="s">
        <v>9</v>
      </c>
    </row>
    <row r="322" spans="1:16" x14ac:dyDescent="0.25">
      <c r="A322">
        <v>5547428</v>
      </c>
      <c r="B322" t="s">
        <v>89</v>
      </c>
      <c r="C322" t="s">
        <v>20</v>
      </c>
      <c r="D322">
        <v>2.7</v>
      </c>
      <c r="E322" t="str">
        <f t="shared" ref="E322:E385" si="30">IF(D322&lt;2,"Poor",IF(AND(D322&gt;=2,D322&lt;=3),"Good",IF(AND(D322&gt;3,D322&lt;=4),"Very Good",IF(D322&gt;4,"Excellent"))))</f>
        <v>Good</v>
      </c>
      <c r="F322" s="1">
        <v>45754.745138888888</v>
      </c>
      <c r="G322" s="1" t="str">
        <f t="shared" ref="G322:G385" si="31">TEXT(F322,"DDDD")</f>
        <v>Monday</v>
      </c>
      <c r="H322" s="1" t="str">
        <f t="shared" ref="H322:H385" si="32">TEXT(F322,"MMMM")</f>
        <v>April</v>
      </c>
      <c r="I322" s="1" t="str">
        <f t="shared" ref="I322:I385" si="33">TEXT(F322,"YYYY")</f>
        <v>2025</v>
      </c>
      <c r="J322" t="b">
        <v>1</v>
      </c>
      <c r="K322" t="s">
        <v>58</v>
      </c>
      <c r="L322">
        <v>90</v>
      </c>
      <c r="M322">
        <v>51</v>
      </c>
      <c r="N322" t="str">
        <f t="shared" si="29"/>
        <v>Adults</v>
      </c>
      <c r="O322" t="s">
        <v>16</v>
      </c>
      <c r="P322" t="s">
        <v>9</v>
      </c>
    </row>
    <row r="323" spans="1:16" x14ac:dyDescent="0.25">
      <c r="A323">
        <v>3000822</v>
      </c>
      <c r="B323" t="s">
        <v>25</v>
      </c>
      <c r="C323" t="s">
        <v>63</v>
      </c>
      <c r="D323">
        <v>4.2</v>
      </c>
      <c r="E323" t="str">
        <f t="shared" si="30"/>
        <v>Excellent</v>
      </c>
      <c r="F323" s="1">
        <v>45518.133333333331</v>
      </c>
      <c r="G323" s="1" t="str">
        <f t="shared" si="31"/>
        <v>Wednesday</v>
      </c>
      <c r="H323" s="1" t="str">
        <f t="shared" si="32"/>
        <v>August</v>
      </c>
      <c r="I323" s="1" t="str">
        <f t="shared" si="33"/>
        <v>2024</v>
      </c>
      <c r="J323" t="b">
        <v>0</v>
      </c>
      <c r="K323" t="s">
        <v>21</v>
      </c>
      <c r="L323">
        <v>466</v>
      </c>
      <c r="M323">
        <v>33</v>
      </c>
      <c r="N323" t="str">
        <f t="shared" si="29"/>
        <v>Adults</v>
      </c>
      <c r="O323" t="s">
        <v>77</v>
      </c>
      <c r="P323" t="s">
        <v>9</v>
      </c>
    </row>
    <row r="324" spans="1:16" x14ac:dyDescent="0.25">
      <c r="A324">
        <v>5583324</v>
      </c>
      <c r="B324" t="s">
        <v>28</v>
      </c>
      <c r="C324" t="s">
        <v>57</v>
      </c>
      <c r="D324">
        <v>3.8</v>
      </c>
      <c r="E324" t="str">
        <f t="shared" si="30"/>
        <v>Very Good</v>
      </c>
      <c r="F324" s="1">
        <v>45529.104861111111</v>
      </c>
      <c r="G324" s="1" t="str">
        <f t="shared" si="31"/>
        <v>Sunday</v>
      </c>
      <c r="H324" s="1" t="str">
        <f t="shared" si="32"/>
        <v>August</v>
      </c>
      <c r="I324" s="1" t="str">
        <f t="shared" si="33"/>
        <v>2024</v>
      </c>
      <c r="J324" t="b">
        <v>0</v>
      </c>
      <c r="K324" t="s">
        <v>58</v>
      </c>
      <c r="L324">
        <v>593</v>
      </c>
      <c r="M324">
        <v>56</v>
      </c>
      <c r="N324" t="str">
        <f t="shared" si="29"/>
        <v>Adults</v>
      </c>
      <c r="O324" t="s">
        <v>24</v>
      </c>
      <c r="P324" t="s">
        <v>9</v>
      </c>
    </row>
    <row r="325" spans="1:16" x14ac:dyDescent="0.25">
      <c r="A325">
        <v>4504991</v>
      </c>
      <c r="B325" t="s">
        <v>52</v>
      </c>
      <c r="C325" t="s">
        <v>6</v>
      </c>
      <c r="D325">
        <v>2.2999999999999998</v>
      </c>
      <c r="E325" t="str">
        <f t="shared" si="30"/>
        <v>Good</v>
      </c>
      <c r="F325" s="1">
        <v>45204.960416666669</v>
      </c>
      <c r="G325" s="1" t="str">
        <f t="shared" si="31"/>
        <v>Thursday</v>
      </c>
      <c r="H325" s="1" t="str">
        <f t="shared" si="32"/>
        <v>October</v>
      </c>
      <c r="I325" s="1" t="str">
        <f t="shared" si="33"/>
        <v>2023</v>
      </c>
      <c r="J325" t="b">
        <v>1</v>
      </c>
      <c r="K325" t="s">
        <v>15</v>
      </c>
      <c r="L325">
        <v>80</v>
      </c>
      <c r="M325">
        <v>69</v>
      </c>
      <c r="N325" t="str">
        <f t="shared" si="29"/>
        <v>Seniors</v>
      </c>
      <c r="O325" t="s">
        <v>53</v>
      </c>
      <c r="P325" t="s">
        <v>9</v>
      </c>
    </row>
    <row r="326" spans="1:16" x14ac:dyDescent="0.25">
      <c r="A326">
        <v>8895418</v>
      </c>
      <c r="B326" t="s">
        <v>87</v>
      </c>
      <c r="C326" t="s">
        <v>6</v>
      </c>
      <c r="D326">
        <v>1.5</v>
      </c>
      <c r="E326" t="str">
        <f t="shared" si="30"/>
        <v>Poor</v>
      </c>
      <c r="F326" s="1">
        <v>45330.143055555556</v>
      </c>
      <c r="G326" s="1" t="str">
        <f t="shared" si="31"/>
        <v>Thursday</v>
      </c>
      <c r="H326" s="1" t="str">
        <f t="shared" si="32"/>
        <v>February</v>
      </c>
      <c r="I326" s="1" t="str">
        <f t="shared" si="33"/>
        <v>2024</v>
      </c>
      <c r="J326" t="b">
        <v>1</v>
      </c>
      <c r="K326" t="s">
        <v>2</v>
      </c>
      <c r="L326">
        <v>6</v>
      </c>
      <c r="M326">
        <v>69</v>
      </c>
      <c r="N326" t="str">
        <f t="shared" si="29"/>
        <v>Seniors</v>
      </c>
      <c r="O326" t="s">
        <v>72</v>
      </c>
      <c r="P326" t="s">
        <v>4</v>
      </c>
    </row>
    <row r="327" spans="1:16" x14ac:dyDescent="0.25">
      <c r="A327">
        <v>9763982</v>
      </c>
      <c r="B327" t="s">
        <v>23</v>
      </c>
      <c r="C327" t="s">
        <v>6</v>
      </c>
      <c r="D327">
        <v>4</v>
      </c>
      <c r="E327" t="str">
        <f t="shared" si="30"/>
        <v>Very Good</v>
      </c>
      <c r="F327" s="1">
        <v>45208.468055555553</v>
      </c>
      <c r="G327" s="1" t="str">
        <f t="shared" si="31"/>
        <v>Monday</v>
      </c>
      <c r="H327" s="1" t="str">
        <f t="shared" si="32"/>
        <v>October</v>
      </c>
      <c r="I327" s="1" t="str">
        <f t="shared" si="33"/>
        <v>2023</v>
      </c>
      <c r="J327" t="b">
        <v>1</v>
      </c>
      <c r="K327" t="s">
        <v>2</v>
      </c>
      <c r="L327">
        <v>36</v>
      </c>
      <c r="M327">
        <v>73</v>
      </c>
      <c r="N327" t="str">
        <f t="shared" si="29"/>
        <v>Seniors</v>
      </c>
      <c r="O327" t="s">
        <v>16</v>
      </c>
      <c r="P327" t="s">
        <v>4</v>
      </c>
    </row>
    <row r="328" spans="1:16" x14ac:dyDescent="0.25">
      <c r="A328">
        <v>2577610</v>
      </c>
      <c r="B328" t="s">
        <v>67</v>
      </c>
      <c r="C328" t="s">
        <v>85</v>
      </c>
      <c r="D328">
        <v>2.6</v>
      </c>
      <c r="E328" t="str">
        <f t="shared" si="30"/>
        <v>Good</v>
      </c>
      <c r="F328" s="1">
        <v>45813.657638888886</v>
      </c>
      <c r="G328" s="1" t="str">
        <f t="shared" si="31"/>
        <v>Thursday</v>
      </c>
      <c r="H328" s="1" t="str">
        <f t="shared" si="32"/>
        <v>June</v>
      </c>
      <c r="I328" s="1" t="str">
        <f t="shared" si="33"/>
        <v>2025</v>
      </c>
      <c r="J328" t="b">
        <v>1</v>
      </c>
      <c r="K328" t="s">
        <v>21</v>
      </c>
      <c r="L328">
        <v>112</v>
      </c>
      <c r="M328">
        <v>39</v>
      </c>
      <c r="N328" t="str">
        <f t="shared" ref="N328:N360" si="34">IF(M328&lt;=17,"Teenagers", IF(AND(M328&gt;=18,M328&lt;61),"Adults",IF(M328&gt;60,"Seniors")))</f>
        <v>Adults</v>
      </c>
      <c r="O328" t="s">
        <v>72</v>
      </c>
      <c r="P328" t="s">
        <v>9</v>
      </c>
    </row>
    <row r="329" spans="1:16" x14ac:dyDescent="0.25">
      <c r="A329">
        <v>3606598</v>
      </c>
      <c r="B329" t="s">
        <v>13</v>
      </c>
      <c r="C329" t="s">
        <v>11</v>
      </c>
      <c r="D329">
        <v>4.4000000000000004</v>
      </c>
      <c r="E329" t="str">
        <f t="shared" si="30"/>
        <v>Excellent</v>
      </c>
      <c r="F329" s="1">
        <v>45647.443055555559</v>
      </c>
      <c r="G329" s="1" t="str">
        <f t="shared" si="31"/>
        <v>Saturday</v>
      </c>
      <c r="H329" s="1" t="str">
        <f t="shared" si="32"/>
        <v>December</v>
      </c>
      <c r="I329" s="1" t="str">
        <f t="shared" si="33"/>
        <v>2024</v>
      </c>
      <c r="J329" t="b">
        <v>1</v>
      </c>
      <c r="K329" t="s">
        <v>15</v>
      </c>
      <c r="L329">
        <v>979</v>
      </c>
      <c r="M329">
        <v>61</v>
      </c>
      <c r="N329" t="str">
        <f t="shared" si="34"/>
        <v>Seniors</v>
      </c>
      <c r="O329" t="s">
        <v>12</v>
      </c>
      <c r="P329" t="s">
        <v>9</v>
      </c>
    </row>
    <row r="330" spans="1:16" x14ac:dyDescent="0.25">
      <c r="A330">
        <v>4651832</v>
      </c>
      <c r="B330" t="s">
        <v>84</v>
      </c>
      <c r="C330" t="s">
        <v>38</v>
      </c>
      <c r="D330">
        <v>3.6</v>
      </c>
      <c r="E330" t="str">
        <f t="shared" si="30"/>
        <v>Very Good</v>
      </c>
      <c r="F330" s="1">
        <v>45653.831250000003</v>
      </c>
      <c r="G330" s="1" t="str">
        <f t="shared" si="31"/>
        <v>Friday</v>
      </c>
      <c r="H330" s="1" t="str">
        <f t="shared" si="32"/>
        <v>December</v>
      </c>
      <c r="I330" s="1" t="str">
        <f t="shared" si="33"/>
        <v>2024</v>
      </c>
      <c r="J330" t="b">
        <v>0</v>
      </c>
      <c r="K330" t="s">
        <v>15</v>
      </c>
      <c r="L330">
        <v>103</v>
      </c>
      <c r="M330">
        <v>59</v>
      </c>
      <c r="N330" t="str">
        <f t="shared" si="34"/>
        <v>Adults</v>
      </c>
      <c r="O330" t="s">
        <v>77</v>
      </c>
      <c r="P330" t="s">
        <v>4</v>
      </c>
    </row>
    <row r="331" spans="1:16" x14ac:dyDescent="0.25">
      <c r="A331">
        <v>6584783</v>
      </c>
      <c r="B331" t="s">
        <v>41</v>
      </c>
      <c r="C331" t="s">
        <v>31</v>
      </c>
      <c r="D331">
        <v>1.3</v>
      </c>
      <c r="E331" t="str">
        <f t="shared" si="30"/>
        <v>Poor</v>
      </c>
      <c r="F331" s="1">
        <v>45528.211111111108</v>
      </c>
      <c r="G331" s="1" t="str">
        <f t="shared" si="31"/>
        <v>Saturday</v>
      </c>
      <c r="H331" s="1" t="str">
        <f t="shared" si="32"/>
        <v>August</v>
      </c>
      <c r="I331" s="1" t="str">
        <f t="shared" si="33"/>
        <v>2024</v>
      </c>
      <c r="J331" t="b">
        <v>1</v>
      </c>
      <c r="K331" t="s">
        <v>15</v>
      </c>
      <c r="L331">
        <v>0</v>
      </c>
      <c r="M331">
        <v>37</v>
      </c>
      <c r="N331" t="str">
        <f t="shared" si="34"/>
        <v>Adults</v>
      </c>
      <c r="O331" t="s">
        <v>48</v>
      </c>
      <c r="P331" t="s">
        <v>4</v>
      </c>
    </row>
    <row r="332" spans="1:16" x14ac:dyDescent="0.25">
      <c r="A332">
        <v>1140350</v>
      </c>
      <c r="B332" t="s">
        <v>35</v>
      </c>
      <c r="C332" t="s">
        <v>31</v>
      </c>
      <c r="D332">
        <v>3.2</v>
      </c>
      <c r="E332" t="str">
        <f t="shared" si="30"/>
        <v>Very Good</v>
      </c>
      <c r="F332" s="1">
        <v>45624.945138888892</v>
      </c>
      <c r="G332" s="1" t="str">
        <f t="shared" si="31"/>
        <v>Thursday</v>
      </c>
      <c r="H332" s="1" t="str">
        <f t="shared" si="32"/>
        <v>November</v>
      </c>
      <c r="I332" s="1" t="str">
        <f t="shared" si="33"/>
        <v>2024</v>
      </c>
      <c r="J332" t="b">
        <v>1</v>
      </c>
      <c r="K332" t="s">
        <v>7</v>
      </c>
      <c r="L332">
        <v>541</v>
      </c>
      <c r="M332">
        <v>50</v>
      </c>
      <c r="N332" t="str">
        <f t="shared" si="34"/>
        <v>Adults</v>
      </c>
      <c r="O332" t="s">
        <v>16</v>
      </c>
      <c r="P332" t="s">
        <v>4</v>
      </c>
    </row>
    <row r="333" spans="1:16" x14ac:dyDescent="0.25">
      <c r="A333">
        <v>2645240</v>
      </c>
      <c r="B333" t="s">
        <v>78</v>
      </c>
      <c r="C333" t="s">
        <v>6</v>
      </c>
      <c r="D333">
        <v>1.1000000000000001</v>
      </c>
      <c r="E333" t="str">
        <f t="shared" si="30"/>
        <v>Poor</v>
      </c>
      <c r="F333" s="1">
        <v>45404.351388888892</v>
      </c>
      <c r="G333" s="1" t="str">
        <f t="shared" si="31"/>
        <v>Monday</v>
      </c>
      <c r="H333" s="1" t="str">
        <f t="shared" si="32"/>
        <v>April</v>
      </c>
      <c r="I333" s="1" t="str">
        <f t="shared" si="33"/>
        <v>2024</v>
      </c>
      <c r="J333" t="b">
        <v>1</v>
      </c>
      <c r="K333" t="s">
        <v>15</v>
      </c>
      <c r="L333">
        <v>1172</v>
      </c>
      <c r="M333">
        <v>61</v>
      </c>
      <c r="N333" t="str">
        <f t="shared" si="34"/>
        <v>Seniors</v>
      </c>
      <c r="O333" t="s">
        <v>42</v>
      </c>
      <c r="P333" t="s">
        <v>9</v>
      </c>
    </row>
    <row r="334" spans="1:16" x14ac:dyDescent="0.25">
      <c r="A334">
        <v>2402852</v>
      </c>
      <c r="B334" t="s">
        <v>10</v>
      </c>
      <c r="C334" t="s">
        <v>34</v>
      </c>
      <c r="D334">
        <v>2.5</v>
      </c>
      <c r="E334" t="str">
        <f t="shared" si="30"/>
        <v>Good</v>
      </c>
      <c r="F334" s="1">
        <v>45672.116666666669</v>
      </c>
      <c r="G334" s="1" t="str">
        <f t="shared" si="31"/>
        <v>Wednesday</v>
      </c>
      <c r="H334" s="1" t="str">
        <f t="shared" si="32"/>
        <v>January</v>
      </c>
      <c r="I334" s="1" t="str">
        <f t="shared" si="33"/>
        <v>2025</v>
      </c>
      <c r="J334" t="b">
        <v>1</v>
      </c>
      <c r="K334" t="s">
        <v>58</v>
      </c>
      <c r="L334">
        <v>770</v>
      </c>
      <c r="M334">
        <v>47</v>
      </c>
      <c r="N334" t="str">
        <f t="shared" si="34"/>
        <v>Adults</v>
      </c>
      <c r="O334" t="s">
        <v>81</v>
      </c>
      <c r="P334" t="s">
        <v>9</v>
      </c>
    </row>
    <row r="335" spans="1:16" x14ac:dyDescent="0.25">
      <c r="A335">
        <v>7101691</v>
      </c>
      <c r="B335" t="s">
        <v>62</v>
      </c>
      <c r="C335" t="s">
        <v>11</v>
      </c>
      <c r="D335">
        <v>2.6</v>
      </c>
      <c r="E335" t="str">
        <f t="shared" si="30"/>
        <v>Good</v>
      </c>
      <c r="F335" s="1">
        <v>45844.92083333333</v>
      </c>
      <c r="G335" s="1" t="str">
        <f t="shared" si="31"/>
        <v>Sunday</v>
      </c>
      <c r="H335" s="1" t="str">
        <f t="shared" si="32"/>
        <v>July</v>
      </c>
      <c r="I335" s="1" t="str">
        <f t="shared" si="33"/>
        <v>2025</v>
      </c>
      <c r="J335" t="b">
        <v>0</v>
      </c>
      <c r="K335" t="s">
        <v>15</v>
      </c>
      <c r="L335">
        <v>149</v>
      </c>
      <c r="M335">
        <v>46</v>
      </c>
      <c r="N335" t="str">
        <f t="shared" si="34"/>
        <v>Adults</v>
      </c>
      <c r="O335" t="s">
        <v>24</v>
      </c>
      <c r="P335" t="s">
        <v>4</v>
      </c>
    </row>
    <row r="336" spans="1:16" x14ac:dyDescent="0.25">
      <c r="A336">
        <v>2751604</v>
      </c>
      <c r="B336" t="s">
        <v>74</v>
      </c>
      <c r="C336" t="s">
        <v>31</v>
      </c>
      <c r="D336">
        <v>4.5</v>
      </c>
      <c r="E336" t="str">
        <f t="shared" si="30"/>
        <v>Excellent</v>
      </c>
      <c r="F336" s="1">
        <v>45161.77847222222</v>
      </c>
      <c r="G336" s="1" t="str">
        <f t="shared" si="31"/>
        <v>Wednesday</v>
      </c>
      <c r="H336" s="1" t="str">
        <f t="shared" si="32"/>
        <v>August</v>
      </c>
      <c r="I336" s="1" t="str">
        <f t="shared" si="33"/>
        <v>2023</v>
      </c>
      <c r="J336" t="b">
        <v>0</v>
      </c>
      <c r="K336" t="s">
        <v>7</v>
      </c>
      <c r="L336">
        <v>1248</v>
      </c>
      <c r="M336">
        <v>45</v>
      </c>
      <c r="N336" t="str">
        <f t="shared" si="34"/>
        <v>Adults</v>
      </c>
      <c r="O336" t="s">
        <v>22</v>
      </c>
      <c r="P336" t="s">
        <v>9</v>
      </c>
    </row>
    <row r="337" spans="1:16" x14ac:dyDescent="0.25">
      <c r="A337">
        <v>6999659</v>
      </c>
      <c r="B337" t="s">
        <v>41</v>
      </c>
      <c r="C337" t="s">
        <v>36</v>
      </c>
      <c r="D337">
        <v>4.7</v>
      </c>
      <c r="E337" t="str">
        <f t="shared" si="30"/>
        <v>Excellent</v>
      </c>
      <c r="F337" s="1">
        <v>45374.495138888888</v>
      </c>
      <c r="G337" s="1" t="str">
        <f t="shared" si="31"/>
        <v>Saturday</v>
      </c>
      <c r="H337" s="1" t="str">
        <f t="shared" si="32"/>
        <v>March</v>
      </c>
      <c r="I337" s="1" t="str">
        <f t="shared" si="33"/>
        <v>2024</v>
      </c>
      <c r="J337" t="b">
        <v>1</v>
      </c>
      <c r="K337" t="s">
        <v>21</v>
      </c>
      <c r="L337">
        <v>1018</v>
      </c>
      <c r="M337">
        <v>58</v>
      </c>
      <c r="N337" t="str">
        <f t="shared" si="34"/>
        <v>Adults</v>
      </c>
      <c r="O337" t="s">
        <v>81</v>
      </c>
      <c r="P337" t="s">
        <v>4</v>
      </c>
    </row>
    <row r="338" spans="1:16" x14ac:dyDescent="0.25">
      <c r="A338">
        <v>3974049</v>
      </c>
      <c r="B338" t="s">
        <v>23</v>
      </c>
      <c r="C338" t="s">
        <v>11</v>
      </c>
      <c r="D338">
        <v>3.1</v>
      </c>
      <c r="E338" t="str">
        <f t="shared" si="30"/>
        <v>Very Good</v>
      </c>
      <c r="F338" s="1">
        <v>45602.084722222222</v>
      </c>
      <c r="G338" s="1" t="str">
        <f t="shared" si="31"/>
        <v>Wednesday</v>
      </c>
      <c r="H338" s="1" t="str">
        <f t="shared" si="32"/>
        <v>November</v>
      </c>
      <c r="I338" s="1" t="str">
        <f t="shared" si="33"/>
        <v>2024</v>
      </c>
      <c r="J338" t="b">
        <v>1</v>
      </c>
      <c r="K338" t="s">
        <v>7</v>
      </c>
      <c r="L338">
        <v>209</v>
      </c>
      <c r="M338">
        <v>27</v>
      </c>
      <c r="N338" t="str">
        <f t="shared" si="34"/>
        <v>Adults</v>
      </c>
      <c r="O338" t="s">
        <v>50</v>
      </c>
      <c r="P338" t="s">
        <v>9</v>
      </c>
    </row>
    <row r="339" spans="1:16" x14ac:dyDescent="0.25">
      <c r="A339">
        <v>6127405</v>
      </c>
      <c r="B339" t="s">
        <v>10</v>
      </c>
      <c r="C339" t="s">
        <v>36</v>
      </c>
      <c r="D339">
        <v>1.9</v>
      </c>
      <c r="E339" t="str">
        <f t="shared" si="30"/>
        <v>Poor</v>
      </c>
      <c r="F339" s="1">
        <v>45200.60833333333</v>
      </c>
      <c r="G339" s="1" t="str">
        <f t="shared" si="31"/>
        <v>Sunday</v>
      </c>
      <c r="H339" s="1" t="str">
        <f t="shared" si="32"/>
        <v>October</v>
      </c>
      <c r="I339" s="1" t="str">
        <f t="shared" si="33"/>
        <v>2023</v>
      </c>
      <c r="J339" t="b">
        <v>0</v>
      </c>
      <c r="K339" t="s">
        <v>58</v>
      </c>
      <c r="L339">
        <v>176</v>
      </c>
      <c r="M339">
        <v>66</v>
      </c>
      <c r="N339" t="str">
        <f t="shared" si="34"/>
        <v>Seniors</v>
      </c>
      <c r="O339" t="s">
        <v>77</v>
      </c>
      <c r="P339" t="s">
        <v>4</v>
      </c>
    </row>
    <row r="340" spans="1:16" x14ac:dyDescent="0.25">
      <c r="A340">
        <v>8096058</v>
      </c>
      <c r="B340" t="s">
        <v>52</v>
      </c>
      <c r="C340" t="s">
        <v>1</v>
      </c>
      <c r="D340">
        <v>2</v>
      </c>
      <c r="E340" t="str">
        <f t="shared" si="30"/>
        <v>Good</v>
      </c>
      <c r="F340" s="1">
        <v>45243.026388888888</v>
      </c>
      <c r="G340" s="1" t="str">
        <f t="shared" si="31"/>
        <v>Monday</v>
      </c>
      <c r="H340" s="1" t="str">
        <f t="shared" si="32"/>
        <v>November</v>
      </c>
      <c r="I340" s="1" t="str">
        <f t="shared" si="33"/>
        <v>2023</v>
      </c>
      <c r="J340" t="b">
        <v>1</v>
      </c>
      <c r="K340" t="s">
        <v>2</v>
      </c>
      <c r="L340">
        <v>916</v>
      </c>
      <c r="M340">
        <v>67</v>
      </c>
      <c r="N340" t="str">
        <f t="shared" si="34"/>
        <v>Seniors</v>
      </c>
      <c r="O340" t="s">
        <v>44</v>
      </c>
      <c r="P340" t="s">
        <v>9</v>
      </c>
    </row>
    <row r="341" spans="1:16" x14ac:dyDescent="0.25">
      <c r="A341">
        <v>2847879</v>
      </c>
      <c r="B341" t="s">
        <v>62</v>
      </c>
      <c r="C341" t="s">
        <v>75</v>
      </c>
      <c r="D341">
        <v>3.6</v>
      </c>
      <c r="E341" t="str">
        <f t="shared" si="30"/>
        <v>Very Good</v>
      </c>
      <c r="F341" s="1">
        <v>45288.987500000003</v>
      </c>
      <c r="G341" s="1" t="str">
        <f t="shared" si="31"/>
        <v>Thursday</v>
      </c>
      <c r="H341" s="1" t="str">
        <f t="shared" si="32"/>
        <v>December</v>
      </c>
      <c r="I341" s="1" t="str">
        <f t="shared" si="33"/>
        <v>2023</v>
      </c>
      <c r="J341" t="b">
        <v>1</v>
      </c>
      <c r="K341" t="s">
        <v>21</v>
      </c>
      <c r="L341">
        <v>475</v>
      </c>
      <c r="M341">
        <v>17</v>
      </c>
      <c r="N341" t="str">
        <f t="shared" si="34"/>
        <v>Teenagers</v>
      </c>
      <c r="O341" t="s">
        <v>12</v>
      </c>
      <c r="P341" t="s">
        <v>4</v>
      </c>
    </row>
    <row r="342" spans="1:16" x14ac:dyDescent="0.25">
      <c r="A342">
        <v>351897</v>
      </c>
      <c r="B342" t="s">
        <v>35</v>
      </c>
      <c r="C342" t="s">
        <v>20</v>
      </c>
      <c r="D342">
        <v>1.6</v>
      </c>
      <c r="E342" t="str">
        <f t="shared" si="30"/>
        <v>Poor</v>
      </c>
      <c r="F342" s="1">
        <v>45698.274305555555</v>
      </c>
      <c r="G342" s="1" t="str">
        <f t="shared" si="31"/>
        <v>Monday</v>
      </c>
      <c r="H342" s="1" t="str">
        <f t="shared" si="32"/>
        <v>February</v>
      </c>
      <c r="I342" s="1" t="str">
        <f t="shared" si="33"/>
        <v>2025</v>
      </c>
      <c r="J342" t="b">
        <v>1</v>
      </c>
      <c r="K342" t="s">
        <v>58</v>
      </c>
      <c r="L342">
        <v>265</v>
      </c>
      <c r="M342">
        <v>36</v>
      </c>
      <c r="N342" t="str">
        <f t="shared" si="34"/>
        <v>Adults</v>
      </c>
      <c r="O342" t="s">
        <v>50</v>
      </c>
      <c r="P342" t="s">
        <v>4</v>
      </c>
    </row>
    <row r="343" spans="1:16" x14ac:dyDescent="0.25">
      <c r="A343">
        <v>9456669</v>
      </c>
      <c r="B343" t="s">
        <v>10</v>
      </c>
      <c r="C343" t="s">
        <v>36</v>
      </c>
      <c r="D343">
        <v>3.6</v>
      </c>
      <c r="E343" t="str">
        <f t="shared" si="30"/>
        <v>Very Good</v>
      </c>
      <c r="F343" s="1">
        <v>45439.77847222222</v>
      </c>
      <c r="G343" s="1" t="str">
        <f t="shared" si="31"/>
        <v>Monday</v>
      </c>
      <c r="H343" s="1" t="str">
        <f t="shared" si="32"/>
        <v>May</v>
      </c>
      <c r="I343" s="1" t="str">
        <f t="shared" si="33"/>
        <v>2024</v>
      </c>
      <c r="J343" t="b">
        <v>1</v>
      </c>
      <c r="K343" t="s">
        <v>15</v>
      </c>
      <c r="L343">
        <v>59</v>
      </c>
      <c r="M343">
        <v>33</v>
      </c>
      <c r="N343" t="str">
        <f t="shared" si="34"/>
        <v>Adults</v>
      </c>
      <c r="O343" t="s">
        <v>39</v>
      </c>
      <c r="P343" t="s">
        <v>4</v>
      </c>
    </row>
    <row r="344" spans="1:16" x14ac:dyDescent="0.25">
      <c r="A344">
        <v>7678236</v>
      </c>
      <c r="B344" t="s">
        <v>84</v>
      </c>
      <c r="C344" t="s">
        <v>20</v>
      </c>
      <c r="D344">
        <v>4.2</v>
      </c>
      <c r="E344" t="str">
        <f t="shared" si="30"/>
        <v>Excellent</v>
      </c>
      <c r="F344" s="1">
        <v>45209.125694444447</v>
      </c>
      <c r="G344" s="1" t="str">
        <f t="shared" si="31"/>
        <v>Tuesday</v>
      </c>
      <c r="H344" s="1" t="str">
        <f t="shared" si="32"/>
        <v>October</v>
      </c>
      <c r="I344" s="1" t="str">
        <f t="shared" si="33"/>
        <v>2023</v>
      </c>
      <c r="J344" t="b">
        <v>0</v>
      </c>
      <c r="K344" t="s">
        <v>2</v>
      </c>
      <c r="L344">
        <v>111</v>
      </c>
      <c r="M344">
        <v>48</v>
      </c>
      <c r="N344" t="str">
        <f t="shared" si="34"/>
        <v>Adults</v>
      </c>
      <c r="O344" t="s">
        <v>68</v>
      </c>
      <c r="P344" t="s">
        <v>4</v>
      </c>
    </row>
    <row r="345" spans="1:16" x14ac:dyDescent="0.25">
      <c r="A345">
        <v>9922182</v>
      </c>
      <c r="B345" t="s">
        <v>46</v>
      </c>
      <c r="C345" t="s">
        <v>85</v>
      </c>
      <c r="D345">
        <v>2.2999999999999998</v>
      </c>
      <c r="E345" t="str">
        <f t="shared" si="30"/>
        <v>Good</v>
      </c>
      <c r="F345" s="1">
        <v>45867.321527777778</v>
      </c>
      <c r="G345" s="1" t="str">
        <f t="shared" si="31"/>
        <v>Tuesday</v>
      </c>
      <c r="H345" s="1" t="str">
        <f t="shared" si="32"/>
        <v>July</v>
      </c>
      <c r="I345" s="1" t="str">
        <f t="shared" si="33"/>
        <v>2025</v>
      </c>
      <c r="J345" t="b">
        <v>0</v>
      </c>
      <c r="K345" t="s">
        <v>2</v>
      </c>
      <c r="L345">
        <v>136</v>
      </c>
      <c r="M345">
        <v>35</v>
      </c>
      <c r="N345" t="str">
        <f t="shared" si="34"/>
        <v>Adults</v>
      </c>
      <c r="O345" t="s">
        <v>39</v>
      </c>
      <c r="P345" t="s">
        <v>4</v>
      </c>
    </row>
    <row r="346" spans="1:16" x14ac:dyDescent="0.25">
      <c r="A346">
        <v>9267190</v>
      </c>
      <c r="B346" t="s">
        <v>17</v>
      </c>
      <c r="C346" t="s">
        <v>29</v>
      </c>
      <c r="D346">
        <v>2.1</v>
      </c>
      <c r="E346" t="str">
        <f t="shared" si="30"/>
        <v>Good</v>
      </c>
      <c r="F346" s="1">
        <v>45243.973611111112</v>
      </c>
      <c r="G346" s="1" t="str">
        <f t="shared" si="31"/>
        <v>Monday</v>
      </c>
      <c r="H346" s="1" t="str">
        <f t="shared" si="32"/>
        <v>November</v>
      </c>
      <c r="I346" s="1" t="str">
        <f t="shared" si="33"/>
        <v>2023</v>
      </c>
      <c r="J346" t="b">
        <v>1</v>
      </c>
      <c r="K346" t="s">
        <v>21</v>
      </c>
      <c r="L346">
        <v>394</v>
      </c>
      <c r="M346">
        <v>16</v>
      </c>
      <c r="N346" t="str">
        <f t="shared" si="34"/>
        <v>Teenagers</v>
      </c>
      <c r="O346" t="s">
        <v>72</v>
      </c>
      <c r="P346" t="s">
        <v>4</v>
      </c>
    </row>
    <row r="347" spans="1:16" x14ac:dyDescent="0.25">
      <c r="A347">
        <v>7038373</v>
      </c>
      <c r="B347" t="s">
        <v>35</v>
      </c>
      <c r="C347" t="s">
        <v>14</v>
      </c>
      <c r="D347">
        <v>1.8</v>
      </c>
      <c r="E347" t="str">
        <f t="shared" si="30"/>
        <v>Poor</v>
      </c>
      <c r="F347" s="1">
        <v>45390.117361111108</v>
      </c>
      <c r="G347" s="1" t="str">
        <f t="shared" si="31"/>
        <v>Monday</v>
      </c>
      <c r="H347" s="1" t="str">
        <f t="shared" si="32"/>
        <v>April</v>
      </c>
      <c r="I347" s="1" t="str">
        <f t="shared" si="33"/>
        <v>2024</v>
      </c>
      <c r="J347" t="b">
        <v>1</v>
      </c>
      <c r="K347" t="s">
        <v>58</v>
      </c>
      <c r="L347">
        <v>942</v>
      </c>
      <c r="M347">
        <v>39</v>
      </c>
      <c r="N347" t="str">
        <f t="shared" si="34"/>
        <v>Adults</v>
      </c>
      <c r="O347" t="s">
        <v>42</v>
      </c>
      <c r="P347" t="s">
        <v>4</v>
      </c>
    </row>
    <row r="348" spans="1:16" x14ac:dyDescent="0.25">
      <c r="A348">
        <v>517955</v>
      </c>
      <c r="B348" t="s">
        <v>76</v>
      </c>
      <c r="C348" t="s">
        <v>1</v>
      </c>
      <c r="D348">
        <v>2.4</v>
      </c>
      <c r="E348" t="str">
        <f t="shared" si="30"/>
        <v>Good</v>
      </c>
      <c r="F348" s="1">
        <v>45208.922222222223</v>
      </c>
      <c r="G348" s="1" t="str">
        <f t="shared" si="31"/>
        <v>Monday</v>
      </c>
      <c r="H348" s="1" t="str">
        <f t="shared" si="32"/>
        <v>October</v>
      </c>
      <c r="I348" s="1" t="str">
        <f t="shared" si="33"/>
        <v>2023</v>
      </c>
      <c r="J348" t="b">
        <v>1</v>
      </c>
      <c r="K348" t="s">
        <v>21</v>
      </c>
      <c r="L348">
        <v>896</v>
      </c>
      <c r="M348">
        <v>72</v>
      </c>
      <c r="N348" t="str">
        <f t="shared" si="34"/>
        <v>Seniors</v>
      </c>
      <c r="O348" t="s">
        <v>12</v>
      </c>
      <c r="P348" t="s">
        <v>4</v>
      </c>
    </row>
    <row r="349" spans="1:16" x14ac:dyDescent="0.25">
      <c r="A349">
        <v>836621</v>
      </c>
      <c r="B349" t="s">
        <v>78</v>
      </c>
      <c r="C349" t="s">
        <v>75</v>
      </c>
      <c r="D349">
        <v>3.6</v>
      </c>
      <c r="E349" t="str">
        <f t="shared" si="30"/>
        <v>Very Good</v>
      </c>
      <c r="F349" s="1">
        <v>45735.603472222225</v>
      </c>
      <c r="G349" s="1" t="str">
        <f t="shared" si="31"/>
        <v>Wednesday</v>
      </c>
      <c r="H349" s="1" t="str">
        <f t="shared" si="32"/>
        <v>March</v>
      </c>
      <c r="I349" s="1" t="str">
        <f t="shared" si="33"/>
        <v>2025</v>
      </c>
      <c r="J349" t="b">
        <v>1</v>
      </c>
      <c r="K349" t="s">
        <v>58</v>
      </c>
      <c r="L349">
        <v>701</v>
      </c>
      <c r="M349">
        <v>33</v>
      </c>
      <c r="N349" t="str">
        <f t="shared" si="34"/>
        <v>Adults</v>
      </c>
      <c r="O349" t="s">
        <v>86</v>
      </c>
      <c r="P349" t="s">
        <v>4</v>
      </c>
    </row>
    <row r="350" spans="1:16" x14ac:dyDescent="0.25">
      <c r="A350">
        <v>922609</v>
      </c>
      <c r="B350" t="s">
        <v>0</v>
      </c>
      <c r="C350" t="s">
        <v>63</v>
      </c>
      <c r="D350">
        <v>3.1</v>
      </c>
      <c r="E350" t="str">
        <f t="shared" si="30"/>
        <v>Very Good</v>
      </c>
      <c r="F350" s="1">
        <v>45223.453472222223</v>
      </c>
      <c r="G350" s="1" t="str">
        <f t="shared" si="31"/>
        <v>Tuesday</v>
      </c>
      <c r="H350" s="1" t="str">
        <f t="shared" si="32"/>
        <v>October</v>
      </c>
      <c r="I350" s="1" t="str">
        <f t="shared" si="33"/>
        <v>2023</v>
      </c>
      <c r="J350" t="b">
        <v>1</v>
      </c>
      <c r="K350" t="s">
        <v>21</v>
      </c>
      <c r="L350">
        <v>1197</v>
      </c>
      <c r="M350">
        <v>41</v>
      </c>
      <c r="N350" t="str">
        <f t="shared" si="34"/>
        <v>Adults</v>
      </c>
      <c r="O350" t="s">
        <v>81</v>
      </c>
      <c r="P350" t="s">
        <v>9</v>
      </c>
    </row>
    <row r="351" spans="1:16" x14ac:dyDescent="0.25">
      <c r="A351">
        <v>5409796</v>
      </c>
      <c r="B351" t="s">
        <v>13</v>
      </c>
      <c r="C351" t="s">
        <v>38</v>
      </c>
      <c r="D351">
        <v>1.4</v>
      </c>
      <c r="E351" t="str">
        <f t="shared" si="30"/>
        <v>Poor</v>
      </c>
      <c r="F351" s="1">
        <v>45759.918055555558</v>
      </c>
      <c r="G351" s="1" t="str">
        <f t="shared" si="31"/>
        <v>Saturday</v>
      </c>
      <c r="H351" s="1" t="str">
        <f t="shared" si="32"/>
        <v>April</v>
      </c>
      <c r="I351" s="1" t="str">
        <f t="shared" si="33"/>
        <v>2025</v>
      </c>
      <c r="J351" t="b">
        <v>0</v>
      </c>
      <c r="K351" t="s">
        <v>2</v>
      </c>
      <c r="L351">
        <v>90</v>
      </c>
      <c r="M351">
        <v>44</v>
      </c>
      <c r="N351" t="str">
        <f t="shared" si="34"/>
        <v>Adults</v>
      </c>
      <c r="O351" t="s">
        <v>22</v>
      </c>
      <c r="P351" t="s">
        <v>4</v>
      </c>
    </row>
    <row r="352" spans="1:16" x14ac:dyDescent="0.25">
      <c r="A352">
        <v>8138102</v>
      </c>
      <c r="B352" t="s">
        <v>40</v>
      </c>
      <c r="C352" t="s">
        <v>63</v>
      </c>
      <c r="D352">
        <v>1.3</v>
      </c>
      <c r="E352" t="str">
        <f t="shared" si="30"/>
        <v>Poor</v>
      </c>
      <c r="F352" s="1">
        <v>45850.482638888891</v>
      </c>
      <c r="G352" s="1" t="str">
        <f t="shared" si="31"/>
        <v>Saturday</v>
      </c>
      <c r="H352" s="1" t="str">
        <f t="shared" si="32"/>
        <v>July</v>
      </c>
      <c r="I352" s="1" t="str">
        <f t="shared" si="33"/>
        <v>2025</v>
      </c>
      <c r="J352" t="b">
        <v>1</v>
      </c>
      <c r="K352" t="s">
        <v>58</v>
      </c>
      <c r="L352">
        <v>313</v>
      </c>
      <c r="M352">
        <v>48</v>
      </c>
      <c r="N352" t="str">
        <f t="shared" si="34"/>
        <v>Adults</v>
      </c>
      <c r="O352" t="s">
        <v>44</v>
      </c>
      <c r="P352" t="s">
        <v>9</v>
      </c>
    </row>
    <row r="353" spans="1:16" x14ac:dyDescent="0.25">
      <c r="A353">
        <v>696568</v>
      </c>
      <c r="B353" t="s">
        <v>0</v>
      </c>
      <c r="C353" t="s">
        <v>75</v>
      </c>
      <c r="D353">
        <v>2.1</v>
      </c>
      <c r="E353" t="str">
        <f t="shared" si="30"/>
        <v>Good</v>
      </c>
      <c r="F353" s="1">
        <v>45640.370833333334</v>
      </c>
      <c r="G353" s="1" t="str">
        <f t="shared" si="31"/>
        <v>Saturday</v>
      </c>
      <c r="H353" s="1" t="str">
        <f t="shared" si="32"/>
        <v>December</v>
      </c>
      <c r="I353" s="1" t="str">
        <f t="shared" si="33"/>
        <v>2024</v>
      </c>
      <c r="J353" t="b">
        <v>1</v>
      </c>
      <c r="K353" t="s">
        <v>2</v>
      </c>
      <c r="L353">
        <v>1090</v>
      </c>
      <c r="M353">
        <v>57</v>
      </c>
      <c r="N353" t="str">
        <f t="shared" si="34"/>
        <v>Adults</v>
      </c>
      <c r="O353" t="s">
        <v>50</v>
      </c>
      <c r="P353" t="s">
        <v>4</v>
      </c>
    </row>
    <row r="354" spans="1:16" x14ac:dyDescent="0.25">
      <c r="A354">
        <v>8178154</v>
      </c>
      <c r="B354" t="s">
        <v>25</v>
      </c>
      <c r="C354" t="s">
        <v>34</v>
      </c>
      <c r="D354">
        <v>2.2000000000000002</v>
      </c>
      <c r="E354" t="str">
        <f t="shared" si="30"/>
        <v>Good</v>
      </c>
      <c r="F354" s="1">
        <v>45259.570138888892</v>
      </c>
      <c r="G354" s="1" t="str">
        <f t="shared" si="31"/>
        <v>Wednesday</v>
      </c>
      <c r="H354" s="1" t="str">
        <f t="shared" si="32"/>
        <v>November</v>
      </c>
      <c r="I354" s="1" t="str">
        <f t="shared" si="33"/>
        <v>2023</v>
      </c>
      <c r="J354" t="b">
        <v>0</v>
      </c>
      <c r="K354" t="s">
        <v>15</v>
      </c>
      <c r="L354">
        <v>231</v>
      </c>
      <c r="M354">
        <v>50</v>
      </c>
      <c r="N354" t="str">
        <f t="shared" si="34"/>
        <v>Adults</v>
      </c>
      <c r="O354" t="s">
        <v>27</v>
      </c>
      <c r="P354" t="s">
        <v>4</v>
      </c>
    </row>
    <row r="355" spans="1:16" x14ac:dyDescent="0.25">
      <c r="A355">
        <v>7827886</v>
      </c>
      <c r="B355" t="s">
        <v>64</v>
      </c>
      <c r="C355" t="s">
        <v>75</v>
      </c>
      <c r="D355">
        <v>1.2</v>
      </c>
      <c r="E355" t="str">
        <f t="shared" si="30"/>
        <v>Poor</v>
      </c>
      <c r="F355" s="1">
        <v>45665.649305555555</v>
      </c>
      <c r="G355" s="1" t="str">
        <f t="shared" si="31"/>
        <v>Wednesday</v>
      </c>
      <c r="H355" s="1" t="str">
        <f t="shared" si="32"/>
        <v>January</v>
      </c>
      <c r="I355" s="1" t="str">
        <f t="shared" si="33"/>
        <v>2025</v>
      </c>
      <c r="J355" t="b">
        <v>1</v>
      </c>
      <c r="K355" t="s">
        <v>7</v>
      </c>
      <c r="L355">
        <v>657</v>
      </c>
      <c r="M355">
        <v>48</v>
      </c>
      <c r="N355" t="str">
        <f t="shared" si="34"/>
        <v>Adults</v>
      </c>
      <c r="O355" t="s">
        <v>50</v>
      </c>
      <c r="P355" t="s">
        <v>9</v>
      </c>
    </row>
    <row r="356" spans="1:16" x14ac:dyDescent="0.25">
      <c r="A356">
        <v>3594064</v>
      </c>
      <c r="B356" t="s">
        <v>89</v>
      </c>
      <c r="C356" t="s">
        <v>57</v>
      </c>
      <c r="D356">
        <v>3.2</v>
      </c>
      <c r="E356" t="str">
        <f t="shared" si="30"/>
        <v>Very Good</v>
      </c>
      <c r="F356" s="1">
        <v>45430.336111111108</v>
      </c>
      <c r="G356" s="1" t="str">
        <f t="shared" si="31"/>
        <v>Saturday</v>
      </c>
      <c r="H356" s="1" t="str">
        <f t="shared" si="32"/>
        <v>May</v>
      </c>
      <c r="I356" s="1" t="str">
        <f t="shared" si="33"/>
        <v>2024</v>
      </c>
      <c r="J356" t="b">
        <v>0</v>
      </c>
      <c r="K356" t="s">
        <v>58</v>
      </c>
      <c r="L356">
        <v>820</v>
      </c>
      <c r="M356">
        <v>42</v>
      </c>
      <c r="N356" t="str">
        <f t="shared" si="34"/>
        <v>Adults</v>
      </c>
      <c r="O356" t="s">
        <v>22</v>
      </c>
      <c r="P356" t="s">
        <v>4</v>
      </c>
    </row>
    <row r="357" spans="1:16" x14ac:dyDescent="0.25">
      <c r="A357">
        <v>3243696</v>
      </c>
      <c r="B357" t="s">
        <v>10</v>
      </c>
      <c r="C357" t="s">
        <v>14</v>
      </c>
      <c r="D357">
        <v>1.8</v>
      </c>
      <c r="E357" t="str">
        <f t="shared" si="30"/>
        <v>Poor</v>
      </c>
      <c r="F357" s="1">
        <v>45286.619444444441</v>
      </c>
      <c r="G357" s="1" t="str">
        <f t="shared" si="31"/>
        <v>Tuesday</v>
      </c>
      <c r="H357" s="1" t="str">
        <f t="shared" si="32"/>
        <v>December</v>
      </c>
      <c r="I357" s="1" t="str">
        <f t="shared" si="33"/>
        <v>2023</v>
      </c>
      <c r="J357" t="b">
        <v>1</v>
      </c>
      <c r="K357" t="s">
        <v>7</v>
      </c>
      <c r="L357">
        <v>509</v>
      </c>
      <c r="M357">
        <v>39</v>
      </c>
      <c r="N357" t="str">
        <f t="shared" si="34"/>
        <v>Adults</v>
      </c>
      <c r="O357" t="s">
        <v>37</v>
      </c>
      <c r="P357" t="s">
        <v>4</v>
      </c>
    </row>
    <row r="358" spans="1:16" x14ac:dyDescent="0.25">
      <c r="A358">
        <v>5342557</v>
      </c>
      <c r="B358" t="s">
        <v>74</v>
      </c>
      <c r="C358" t="s">
        <v>85</v>
      </c>
      <c r="D358">
        <v>4.2</v>
      </c>
      <c r="E358" t="str">
        <f t="shared" si="30"/>
        <v>Excellent</v>
      </c>
      <c r="F358" s="1">
        <v>45156.338888888888</v>
      </c>
      <c r="G358" s="1" t="str">
        <f t="shared" si="31"/>
        <v>Friday</v>
      </c>
      <c r="H358" s="1" t="str">
        <f t="shared" si="32"/>
        <v>August</v>
      </c>
      <c r="I358" s="1" t="str">
        <f t="shared" si="33"/>
        <v>2023</v>
      </c>
      <c r="J358" t="b">
        <v>1</v>
      </c>
      <c r="K358" t="s">
        <v>2</v>
      </c>
      <c r="L358">
        <v>267</v>
      </c>
      <c r="M358">
        <v>67</v>
      </c>
      <c r="N358" t="str">
        <f t="shared" si="34"/>
        <v>Seniors</v>
      </c>
      <c r="O358" t="s">
        <v>24</v>
      </c>
      <c r="P358" t="s">
        <v>4</v>
      </c>
    </row>
    <row r="359" spans="1:16" x14ac:dyDescent="0.25">
      <c r="A359">
        <v>2605186</v>
      </c>
      <c r="B359" t="s">
        <v>62</v>
      </c>
      <c r="C359" t="s">
        <v>29</v>
      </c>
      <c r="D359">
        <v>3.6</v>
      </c>
      <c r="E359" t="str">
        <f t="shared" si="30"/>
        <v>Very Good</v>
      </c>
      <c r="F359" s="1">
        <v>45663.551388888889</v>
      </c>
      <c r="G359" s="1" t="str">
        <f t="shared" si="31"/>
        <v>Monday</v>
      </c>
      <c r="H359" s="1" t="str">
        <f t="shared" si="32"/>
        <v>January</v>
      </c>
      <c r="I359" s="1" t="str">
        <f t="shared" si="33"/>
        <v>2025</v>
      </c>
      <c r="J359" t="b">
        <v>1</v>
      </c>
      <c r="K359" t="s">
        <v>58</v>
      </c>
      <c r="L359">
        <v>12</v>
      </c>
      <c r="M359">
        <v>61</v>
      </c>
      <c r="N359" t="str">
        <f t="shared" si="34"/>
        <v>Seniors</v>
      </c>
      <c r="O359" t="s">
        <v>22</v>
      </c>
      <c r="P359" t="s">
        <v>9</v>
      </c>
    </row>
    <row r="360" spans="1:16" x14ac:dyDescent="0.25">
      <c r="A360">
        <v>7913071</v>
      </c>
      <c r="B360" t="s">
        <v>10</v>
      </c>
      <c r="C360" t="s">
        <v>29</v>
      </c>
      <c r="D360">
        <v>2.7</v>
      </c>
      <c r="E360" t="str">
        <f t="shared" si="30"/>
        <v>Good</v>
      </c>
      <c r="F360" s="1">
        <v>45851.338194444441</v>
      </c>
      <c r="G360" s="1" t="str">
        <f t="shared" si="31"/>
        <v>Sunday</v>
      </c>
      <c r="H360" s="1" t="str">
        <f t="shared" si="32"/>
        <v>July</v>
      </c>
      <c r="I360" s="1" t="str">
        <f t="shared" si="33"/>
        <v>2025</v>
      </c>
      <c r="J360" t="b">
        <v>0</v>
      </c>
      <c r="K360" t="s">
        <v>21</v>
      </c>
      <c r="L360">
        <v>790</v>
      </c>
      <c r="M360">
        <v>68</v>
      </c>
      <c r="N360" t="str">
        <f t="shared" si="34"/>
        <v>Seniors</v>
      </c>
      <c r="O360" t="s">
        <v>22</v>
      </c>
      <c r="P360" t="s">
        <v>9</v>
      </c>
    </row>
    <row r="361" spans="1:16" x14ac:dyDescent="0.25">
      <c r="A361">
        <v>5948796</v>
      </c>
      <c r="B361" t="s">
        <v>88</v>
      </c>
      <c r="C361" t="s">
        <v>14</v>
      </c>
      <c r="D361">
        <v>3.6</v>
      </c>
      <c r="E361" t="str">
        <f t="shared" si="30"/>
        <v>Very Good</v>
      </c>
      <c r="F361" s="1">
        <v>45496.927777777775</v>
      </c>
      <c r="G361" s="1" t="str">
        <f t="shared" si="31"/>
        <v>Tuesday</v>
      </c>
      <c r="H361" s="1" t="str">
        <f t="shared" si="32"/>
        <v>July</v>
      </c>
      <c r="I361" s="1" t="str">
        <f t="shared" si="33"/>
        <v>2024</v>
      </c>
      <c r="J361" t="b">
        <v>1</v>
      </c>
      <c r="K361" t="s">
        <v>7</v>
      </c>
      <c r="L361">
        <v>493</v>
      </c>
      <c r="M361">
        <v>54</v>
      </c>
      <c r="N361" t="str">
        <f t="shared" ref="N361:N389" si="35">IF(M361&lt;=17,"Teenagers", IF(AND(M361&gt;=18,M361&lt;61),"Adults",IF(M361&gt;60,"Seniors")))</f>
        <v>Adults</v>
      </c>
      <c r="O361" t="s">
        <v>72</v>
      </c>
      <c r="P361" t="s">
        <v>9</v>
      </c>
    </row>
    <row r="362" spans="1:16" x14ac:dyDescent="0.25">
      <c r="A362">
        <v>4188457</v>
      </c>
      <c r="B362" t="s">
        <v>71</v>
      </c>
      <c r="C362" t="s">
        <v>31</v>
      </c>
      <c r="D362">
        <v>3.6</v>
      </c>
      <c r="E362" t="str">
        <f t="shared" si="30"/>
        <v>Very Good</v>
      </c>
      <c r="F362" s="1">
        <v>45564.482638888891</v>
      </c>
      <c r="G362" s="1" t="str">
        <f t="shared" si="31"/>
        <v>Sunday</v>
      </c>
      <c r="H362" s="1" t="str">
        <f t="shared" si="32"/>
        <v>September</v>
      </c>
      <c r="I362" s="1" t="str">
        <f t="shared" si="33"/>
        <v>2024</v>
      </c>
      <c r="J362" t="b">
        <v>1</v>
      </c>
      <c r="K362" t="s">
        <v>21</v>
      </c>
      <c r="L362">
        <v>920</v>
      </c>
      <c r="M362">
        <v>23</v>
      </c>
      <c r="N362" t="str">
        <f t="shared" si="35"/>
        <v>Adults</v>
      </c>
      <c r="O362" t="s">
        <v>50</v>
      </c>
      <c r="P362" t="s">
        <v>4</v>
      </c>
    </row>
    <row r="363" spans="1:16" x14ac:dyDescent="0.25">
      <c r="A363">
        <v>8192903</v>
      </c>
      <c r="B363" t="s">
        <v>28</v>
      </c>
      <c r="C363" t="s">
        <v>36</v>
      </c>
      <c r="D363">
        <v>3.8</v>
      </c>
      <c r="E363" t="str">
        <f t="shared" si="30"/>
        <v>Very Good</v>
      </c>
      <c r="F363" s="1">
        <v>45603.55972222222</v>
      </c>
      <c r="G363" s="1" t="str">
        <f t="shared" si="31"/>
        <v>Thursday</v>
      </c>
      <c r="H363" s="1" t="str">
        <f t="shared" si="32"/>
        <v>November</v>
      </c>
      <c r="I363" s="1" t="str">
        <f t="shared" si="33"/>
        <v>2024</v>
      </c>
      <c r="J363" t="b">
        <v>1</v>
      </c>
      <c r="K363" t="s">
        <v>21</v>
      </c>
      <c r="L363">
        <v>434</v>
      </c>
      <c r="M363">
        <v>23</v>
      </c>
      <c r="N363" t="str">
        <f t="shared" si="35"/>
        <v>Adults</v>
      </c>
      <c r="O363" t="s">
        <v>81</v>
      </c>
      <c r="P363" t="s">
        <v>9</v>
      </c>
    </row>
    <row r="364" spans="1:16" x14ac:dyDescent="0.25">
      <c r="A364">
        <v>103092</v>
      </c>
      <c r="B364" t="s">
        <v>69</v>
      </c>
      <c r="C364" t="s">
        <v>38</v>
      </c>
      <c r="D364">
        <v>4.5999999999999996</v>
      </c>
      <c r="E364" t="str">
        <f t="shared" si="30"/>
        <v>Excellent</v>
      </c>
      <c r="F364" s="1">
        <v>45726.917361111111</v>
      </c>
      <c r="G364" s="1" t="str">
        <f t="shared" si="31"/>
        <v>Monday</v>
      </c>
      <c r="H364" s="1" t="str">
        <f t="shared" si="32"/>
        <v>March</v>
      </c>
      <c r="I364" s="1" t="str">
        <f t="shared" si="33"/>
        <v>2025</v>
      </c>
      <c r="J364" t="b">
        <v>1</v>
      </c>
      <c r="K364" t="s">
        <v>2</v>
      </c>
      <c r="L364">
        <v>759</v>
      </c>
      <c r="M364">
        <v>32</v>
      </c>
      <c r="N364" t="str">
        <f t="shared" si="35"/>
        <v>Adults</v>
      </c>
      <c r="O364" t="s">
        <v>3</v>
      </c>
      <c r="P364" t="s">
        <v>9</v>
      </c>
    </row>
    <row r="365" spans="1:16" x14ac:dyDescent="0.25">
      <c r="A365">
        <v>5875801</v>
      </c>
      <c r="B365" t="s">
        <v>88</v>
      </c>
      <c r="C365" t="s">
        <v>75</v>
      </c>
      <c r="D365">
        <v>3.8</v>
      </c>
      <c r="E365" t="str">
        <f t="shared" si="30"/>
        <v>Very Good</v>
      </c>
      <c r="F365" s="1">
        <v>45208.229166666664</v>
      </c>
      <c r="G365" s="1" t="str">
        <f t="shared" si="31"/>
        <v>Monday</v>
      </c>
      <c r="H365" s="1" t="str">
        <f t="shared" si="32"/>
        <v>October</v>
      </c>
      <c r="I365" s="1" t="str">
        <f t="shared" si="33"/>
        <v>2023</v>
      </c>
      <c r="J365" t="b">
        <v>1</v>
      </c>
      <c r="K365" t="s">
        <v>15</v>
      </c>
      <c r="L365">
        <v>259</v>
      </c>
      <c r="M365">
        <v>14</v>
      </c>
      <c r="N365" t="str">
        <f t="shared" si="35"/>
        <v>Teenagers</v>
      </c>
      <c r="O365" t="s">
        <v>3</v>
      </c>
      <c r="P365" t="s">
        <v>4</v>
      </c>
    </row>
    <row r="366" spans="1:16" x14ac:dyDescent="0.25">
      <c r="A366">
        <v>2377939</v>
      </c>
      <c r="B366" t="s">
        <v>82</v>
      </c>
      <c r="C366" t="s">
        <v>20</v>
      </c>
      <c r="D366">
        <v>3.3</v>
      </c>
      <c r="E366" t="str">
        <f t="shared" si="30"/>
        <v>Very Good</v>
      </c>
      <c r="F366" s="1">
        <v>45204.638194444444</v>
      </c>
      <c r="G366" s="1" t="str">
        <f t="shared" si="31"/>
        <v>Thursday</v>
      </c>
      <c r="H366" s="1" t="str">
        <f t="shared" si="32"/>
        <v>October</v>
      </c>
      <c r="I366" s="1" t="str">
        <f t="shared" si="33"/>
        <v>2023</v>
      </c>
      <c r="J366" t="b">
        <v>1</v>
      </c>
      <c r="K366" t="s">
        <v>58</v>
      </c>
      <c r="L366">
        <v>129</v>
      </c>
      <c r="M366">
        <v>53</v>
      </c>
      <c r="N366" t="str">
        <f t="shared" si="35"/>
        <v>Adults</v>
      </c>
      <c r="O366" t="s">
        <v>8</v>
      </c>
      <c r="P366" t="s">
        <v>4</v>
      </c>
    </row>
    <row r="367" spans="1:16" x14ac:dyDescent="0.25">
      <c r="A367">
        <v>6992714</v>
      </c>
      <c r="B367" t="s">
        <v>61</v>
      </c>
      <c r="C367" t="s">
        <v>6</v>
      </c>
      <c r="D367">
        <v>2.9</v>
      </c>
      <c r="E367" t="str">
        <f t="shared" si="30"/>
        <v>Good</v>
      </c>
      <c r="F367" s="1">
        <v>45743.84375</v>
      </c>
      <c r="G367" s="1" t="str">
        <f t="shared" si="31"/>
        <v>Thursday</v>
      </c>
      <c r="H367" s="1" t="str">
        <f t="shared" si="32"/>
        <v>March</v>
      </c>
      <c r="I367" s="1" t="str">
        <f t="shared" si="33"/>
        <v>2025</v>
      </c>
      <c r="J367" t="b">
        <v>1</v>
      </c>
      <c r="K367" t="s">
        <v>58</v>
      </c>
      <c r="L367">
        <v>719</v>
      </c>
      <c r="M367">
        <v>73</v>
      </c>
      <c r="N367" t="str">
        <f t="shared" si="35"/>
        <v>Seniors</v>
      </c>
      <c r="O367" t="s">
        <v>22</v>
      </c>
      <c r="P367" t="s">
        <v>9</v>
      </c>
    </row>
    <row r="368" spans="1:16" x14ac:dyDescent="0.25">
      <c r="A368">
        <v>4994806</v>
      </c>
      <c r="B368" t="s">
        <v>51</v>
      </c>
      <c r="C368" t="s">
        <v>63</v>
      </c>
      <c r="D368">
        <v>1.8</v>
      </c>
      <c r="E368" t="str">
        <f t="shared" si="30"/>
        <v>Poor</v>
      </c>
      <c r="F368" s="1">
        <v>45338.461111111108</v>
      </c>
      <c r="G368" s="1" t="str">
        <f t="shared" si="31"/>
        <v>Friday</v>
      </c>
      <c r="H368" s="1" t="str">
        <f t="shared" si="32"/>
        <v>February</v>
      </c>
      <c r="I368" s="1" t="str">
        <f t="shared" si="33"/>
        <v>2024</v>
      </c>
      <c r="J368" t="b">
        <v>1</v>
      </c>
      <c r="K368" t="s">
        <v>7</v>
      </c>
      <c r="L368">
        <v>1102</v>
      </c>
      <c r="M368">
        <v>18</v>
      </c>
      <c r="N368" t="str">
        <f t="shared" si="35"/>
        <v>Adults</v>
      </c>
      <c r="O368" t="s">
        <v>68</v>
      </c>
      <c r="P368" t="s">
        <v>9</v>
      </c>
    </row>
    <row r="369" spans="1:16" x14ac:dyDescent="0.25">
      <c r="A369">
        <v>4673311</v>
      </c>
      <c r="B369" t="s">
        <v>46</v>
      </c>
      <c r="C369" t="s">
        <v>31</v>
      </c>
      <c r="D369">
        <v>1.1000000000000001</v>
      </c>
      <c r="E369" t="str">
        <f t="shared" si="30"/>
        <v>Poor</v>
      </c>
      <c r="F369" s="1">
        <v>45399.054861111108</v>
      </c>
      <c r="G369" s="1" t="str">
        <f t="shared" si="31"/>
        <v>Wednesday</v>
      </c>
      <c r="H369" s="1" t="str">
        <f t="shared" si="32"/>
        <v>April</v>
      </c>
      <c r="I369" s="1" t="str">
        <f t="shared" si="33"/>
        <v>2024</v>
      </c>
      <c r="J369" t="b">
        <v>1</v>
      </c>
      <c r="K369" t="s">
        <v>21</v>
      </c>
      <c r="L369">
        <v>208</v>
      </c>
      <c r="M369">
        <v>69</v>
      </c>
      <c r="N369" t="str">
        <f t="shared" si="35"/>
        <v>Seniors</v>
      </c>
      <c r="O369" t="s">
        <v>12</v>
      </c>
      <c r="P369" t="s">
        <v>9</v>
      </c>
    </row>
    <row r="370" spans="1:16" x14ac:dyDescent="0.25">
      <c r="A370">
        <v>4383960</v>
      </c>
      <c r="B370" t="s">
        <v>87</v>
      </c>
      <c r="C370" t="s">
        <v>14</v>
      </c>
      <c r="D370">
        <v>1</v>
      </c>
      <c r="E370" t="str">
        <f t="shared" si="30"/>
        <v>Poor</v>
      </c>
      <c r="F370" s="1">
        <v>45458.304166666669</v>
      </c>
      <c r="G370" s="1" t="str">
        <f t="shared" si="31"/>
        <v>Saturday</v>
      </c>
      <c r="H370" s="1" t="str">
        <f t="shared" si="32"/>
        <v>June</v>
      </c>
      <c r="I370" s="1" t="str">
        <f t="shared" si="33"/>
        <v>2024</v>
      </c>
      <c r="J370" t="b">
        <v>1</v>
      </c>
      <c r="K370" t="s">
        <v>2</v>
      </c>
      <c r="L370">
        <v>103</v>
      </c>
      <c r="M370">
        <v>18</v>
      </c>
      <c r="N370" t="str">
        <f t="shared" si="35"/>
        <v>Adults</v>
      </c>
      <c r="O370" t="s">
        <v>44</v>
      </c>
      <c r="P370" t="s">
        <v>9</v>
      </c>
    </row>
    <row r="371" spans="1:16" x14ac:dyDescent="0.25">
      <c r="A371">
        <v>3191420</v>
      </c>
      <c r="B371" t="s">
        <v>5</v>
      </c>
      <c r="C371" t="s">
        <v>36</v>
      </c>
      <c r="D371">
        <v>1.3</v>
      </c>
      <c r="E371" t="str">
        <f t="shared" si="30"/>
        <v>Poor</v>
      </c>
      <c r="F371" s="1">
        <v>45335.649305555555</v>
      </c>
      <c r="G371" s="1" t="str">
        <f t="shared" si="31"/>
        <v>Tuesday</v>
      </c>
      <c r="H371" s="1" t="str">
        <f t="shared" si="32"/>
        <v>February</v>
      </c>
      <c r="I371" s="1" t="str">
        <f t="shared" si="33"/>
        <v>2024</v>
      </c>
      <c r="J371" t="b">
        <v>1</v>
      </c>
      <c r="K371" t="s">
        <v>2</v>
      </c>
      <c r="L371">
        <v>899</v>
      </c>
      <c r="M371">
        <v>43</v>
      </c>
      <c r="N371" t="str">
        <f t="shared" si="35"/>
        <v>Adults</v>
      </c>
      <c r="O371" t="s">
        <v>86</v>
      </c>
      <c r="P371" t="s">
        <v>9</v>
      </c>
    </row>
    <row r="372" spans="1:16" x14ac:dyDescent="0.25">
      <c r="A372">
        <v>7707523</v>
      </c>
      <c r="B372" t="s">
        <v>35</v>
      </c>
      <c r="C372" t="s">
        <v>85</v>
      </c>
      <c r="D372">
        <v>3.1</v>
      </c>
      <c r="E372" t="str">
        <f t="shared" si="30"/>
        <v>Very Good</v>
      </c>
      <c r="F372" s="1">
        <v>45855.556944444441</v>
      </c>
      <c r="G372" s="1" t="str">
        <f t="shared" si="31"/>
        <v>Thursday</v>
      </c>
      <c r="H372" s="1" t="str">
        <f t="shared" si="32"/>
        <v>July</v>
      </c>
      <c r="I372" s="1" t="str">
        <f t="shared" si="33"/>
        <v>2025</v>
      </c>
      <c r="J372" t="b">
        <v>1</v>
      </c>
      <c r="K372" t="s">
        <v>15</v>
      </c>
      <c r="L372">
        <v>1192</v>
      </c>
      <c r="M372">
        <v>16</v>
      </c>
      <c r="N372" t="str">
        <f t="shared" si="35"/>
        <v>Teenagers</v>
      </c>
      <c r="O372" t="s">
        <v>24</v>
      </c>
      <c r="P372" t="s">
        <v>4</v>
      </c>
    </row>
    <row r="373" spans="1:16" x14ac:dyDescent="0.25">
      <c r="A373">
        <v>1882574</v>
      </c>
      <c r="B373" t="s">
        <v>80</v>
      </c>
      <c r="C373" t="s">
        <v>75</v>
      </c>
      <c r="D373">
        <v>4.2</v>
      </c>
      <c r="E373" t="str">
        <f t="shared" si="30"/>
        <v>Excellent</v>
      </c>
      <c r="F373" s="1">
        <v>45585.213888888888</v>
      </c>
      <c r="G373" s="1" t="str">
        <f t="shared" si="31"/>
        <v>Sunday</v>
      </c>
      <c r="H373" s="1" t="str">
        <f t="shared" si="32"/>
        <v>October</v>
      </c>
      <c r="I373" s="1" t="str">
        <f t="shared" si="33"/>
        <v>2024</v>
      </c>
      <c r="J373" t="b">
        <v>1</v>
      </c>
      <c r="K373" t="s">
        <v>15</v>
      </c>
      <c r="L373">
        <v>17</v>
      </c>
      <c r="M373">
        <v>69</v>
      </c>
      <c r="N373" t="str">
        <f t="shared" si="35"/>
        <v>Seniors</v>
      </c>
      <c r="O373" t="s">
        <v>37</v>
      </c>
      <c r="P373" t="s">
        <v>4</v>
      </c>
    </row>
    <row r="374" spans="1:16" x14ac:dyDescent="0.25">
      <c r="A374">
        <v>8746691</v>
      </c>
      <c r="B374" t="s">
        <v>69</v>
      </c>
      <c r="C374" t="s">
        <v>20</v>
      </c>
      <c r="D374">
        <v>1</v>
      </c>
      <c r="E374" t="str">
        <f t="shared" si="30"/>
        <v>Poor</v>
      </c>
      <c r="F374" s="1">
        <v>45729.539583333331</v>
      </c>
      <c r="G374" s="1" t="str">
        <f t="shared" si="31"/>
        <v>Thursday</v>
      </c>
      <c r="H374" s="1" t="str">
        <f t="shared" si="32"/>
        <v>March</v>
      </c>
      <c r="I374" s="1" t="str">
        <f t="shared" si="33"/>
        <v>2025</v>
      </c>
      <c r="J374" t="b">
        <v>0</v>
      </c>
      <c r="K374" t="s">
        <v>15</v>
      </c>
      <c r="L374">
        <v>883</v>
      </c>
      <c r="M374">
        <v>57</v>
      </c>
      <c r="N374" t="str">
        <f t="shared" si="35"/>
        <v>Adults</v>
      </c>
      <c r="O374" t="s">
        <v>39</v>
      </c>
      <c r="P374" t="s">
        <v>9</v>
      </c>
    </row>
    <row r="375" spans="1:16" x14ac:dyDescent="0.25">
      <c r="A375">
        <v>7448147</v>
      </c>
      <c r="B375" t="s">
        <v>0</v>
      </c>
      <c r="C375" t="s">
        <v>6</v>
      </c>
      <c r="D375">
        <v>3.6</v>
      </c>
      <c r="E375" t="str">
        <f t="shared" si="30"/>
        <v>Very Good</v>
      </c>
      <c r="F375" s="1">
        <v>45710.020833333336</v>
      </c>
      <c r="G375" s="1" t="str">
        <f t="shared" si="31"/>
        <v>Saturday</v>
      </c>
      <c r="H375" s="1" t="str">
        <f t="shared" si="32"/>
        <v>February</v>
      </c>
      <c r="I375" s="1" t="str">
        <f t="shared" si="33"/>
        <v>2025</v>
      </c>
      <c r="J375" t="b">
        <v>1</v>
      </c>
      <c r="K375" t="s">
        <v>15</v>
      </c>
      <c r="L375">
        <v>1074</v>
      </c>
      <c r="M375">
        <v>60</v>
      </c>
      <c r="N375" t="str">
        <f t="shared" si="35"/>
        <v>Adults</v>
      </c>
      <c r="O375" t="s">
        <v>48</v>
      </c>
      <c r="P375" t="s">
        <v>9</v>
      </c>
    </row>
    <row r="376" spans="1:16" x14ac:dyDescent="0.25">
      <c r="A376">
        <v>9102006</v>
      </c>
      <c r="B376" t="s">
        <v>69</v>
      </c>
      <c r="C376" t="s">
        <v>63</v>
      </c>
      <c r="D376">
        <v>3.3</v>
      </c>
      <c r="E376" t="str">
        <f t="shared" si="30"/>
        <v>Very Good</v>
      </c>
      <c r="F376" s="1">
        <v>45254.573611111111</v>
      </c>
      <c r="G376" s="1" t="str">
        <f t="shared" si="31"/>
        <v>Friday</v>
      </c>
      <c r="H376" s="1" t="str">
        <f t="shared" si="32"/>
        <v>November</v>
      </c>
      <c r="I376" s="1" t="str">
        <f t="shared" si="33"/>
        <v>2023</v>
      </c>
      <c r="J376" t="b">
        <v>0</v>
      </c>
      <c r="K376" t="s">
        <v>15</v>
      </c>
      <c r="L376">
        <v>242</v>
      </c>
      <c r="M376">
        <v>39</v>
      </c>
      <c r="N376" t="str">
        <f t="shared" si="35"/>
        <v>Adults</v>
      </c>
      <c r="O376" t="s">
        <v>59</v>
      </c>
      <c r="P376" t="s">
        <v>9</v>
      </c>
    </row>
    <row r="377" spans="1:16" x14ac:dyDescent="0.25">
      <c r="A377">
        <v>3800592</v>
      </c>
      <c r="B377" t="s">
        <v>78</v>
      </c>
      <c r="C377" t="s">
        <v>11</v>
      </c>
      <c r="D377">
        <v>2.2000000000000002</v>
      </c>
      <c r="E377" t="str">
        <f t="shared" si="30"/>
        <v>Good</v>
      </c>
      <c r="F377" s="1">
        <v>45187.897222222222</v>
      </c>
      <c r="G377" s="1" t="str">
        <f t="shared" si="31"/>
        <v>Monday</v>
      </c>
      <c r="H377" s="1" t="str">
        <f t="shared" si="32"/>
        <v>September</v>
      </c>
      <c r="I377" s="1" t="str">
        <f t="shared" si="33"/>
        <v>2023</v>
      </c>
      <c r="J377" t="b">
        <v>1</v>
      </c>
      <c r="K377" t="s">
        <v>21</v>
      </c>
      <c r="L377">
        <v>771</v>
      </c>
      <c r="M377">
        <v>23</v>
      </c>
      <c r="N377" t="str">
        <f t="shared" si="35"/>
        <v>Adults</v>
      </c>
      <c r="O377" t="s">
        <v>42</v>
      </c>
      <c r="P377" t="s">
        <v>4</v>
      </c>
    </row>
    <row r="378" spans="1:16" x14ac:dyDescent="0.25">
      <c r="A378">
        <v>9384641</v>
      </c>
      <c r="B378" t="s">
        <v>73</v>
      </c>
      <c r="C378" t="s">
        <v>1</v>
      </c>
      <c r="D378">
        <v>3.6</v>
      </c>
      <c r="E378" t="str">
        <f t="shared" si="30"/>
        <v>Very Good</v>
      </c>
      <c r="F378" s="1">
        <v>45635.845138888886</v>
      </c>
      <c r="G378" s="1" t="str">
        <f t="shared" si="31"/>
        <v>Monday</v>
      </c>
      <c r="H378" s="1" t="str">
        <f t="shared" si="32"/>
        <v>December</v>
      </c>
      <c r="I378" s="1" t="str">
        <f t="shared" si="33"/>
        <v>2024</v>
      </c>
      <c r="J378" t="b">
        <v>1</v>
      </c>
      <c r="K378" t="s">
        <v>21</v>
      </c>
      <c r="L378">
        <v>778</v>
      </c>
      <c r="M378">
        <v>29</v>
      </c>
      <c r="N378" t="str">
        <f t="shared" si="35"/>
        <v>Adults</v>
      </c>
      <c r="O378" t="s">
        <v>12</v>
      </c>
      <c r="P378" t="s">
        <v>4</v>
      </c>
    </row>
    <row r="379" spans="1:16" x14ac:dyDescent="0.25">
      <c r="A379">
        <v>8875941</v>
      </c>
      <c r="B379" t="s">
        <v>56</v>
      </c>
      <c r="C379" t="s">
        <v>34</v>
      </c>
      <c r="D379">
        <v>2</v>
      </c>
      <c r="E379" t="str">
        <f t="shared" si="30"/>
        <v>Good</v>
      </c>
      <c r="F379" s="1">
        <v>45488.728472222225</v>
      </c>
      <c r="G379" s="1" t="str">
        <f t="shared" si="31"/>
        <v>Monday</v>
      </c>
      <c r="H379" s="1" t="str">
        <f t="shared" si="32"/>
        <v>July</v>
      </c>
      <c r="I379" s="1" t="str">
        <f t="shared" si="33"/>
        <v>2024</v>
      </c>
      <c r="J379" t="b">
        <v>1</v>
      </c>
      <c r="K379" t="s">
        <v>15</v>
      </c>
      <c r="L379">
        <v>71</v>
      </c>
      <c r="M379">
        <v>64</v>
      </c>
      <c r="N379" t="str">
        <f t="shared" si="35"/>
        <v>Seniors</v>
      </c>
      <c r="O379" t="s">
        <v>37</v>
      </c>
      <c r="P379" t="s">
        <v>4</v>
      </c>
    </row>
    <row r="380" spans="1:16" x14ac:dyDescent="0.25">
      <c r="A380">
        <v>3778843</v>
      </c>
      <c r="B380" t="s">
        <v>40</v>
      </c>
      <c r="C380" t="s">
        <v>75</v>
      </c>
      <c r="D380">
        <v>2.5</v>
      </c>
      <c r="E380" t="str">
        <f t="shared" si="30"/>
        <v>Good</v>
      </c>
      <c r="F380" s="1">
        <v>45499.445138888892</v>
      </c>
      <c r="G380" s="1" t="str">
        <f t="shared" si="31"/>
        <v>Friday</v>
      </c>
      <c r="H380" s="1" t="str">
        <f t="shared" si="32"/>
        <v>July</v>
      </c>
      <c r="I380" s="1" t="str">
        <f t="shared" si="33"/>
        <v>2024</v>
      </c>
      <c r="J380" t="b">
        <v>0</v>
      </c>
      <c r="K380" t="s">
        <v>58</v>
      </c>
      <c r="L380">
        <v>882</v>
      </c>
      <c r="M380">
        <v>26</v>
      </c>
      <c r="N380" t="str">
        <f t="shared" si="35"/>
        <v>Adults</v>
      </c>
      <c r="O380" t="s">
        <v>86</v>
      </c>
      <c r="P380" t="s">
        <v>4</v>
      </c>
    </row>
    <row r="381" spans="1:16" x14ac:dyDescent="0.25">
      <c r="A381">
        <v>980075</v>
      </c>
      <c r="B381" t="s">
        <v>67</v>
      </c>
      <c r="C381" t="s">
        <v>18</v>
      </c>
      <c r="D381">
        <v>4.0999999999999996</v>
      </c>
      <c r="E381" t="str">
        <f t="shared" si="30"/>
        <v>Excellent</v>
      </c>
      <c r="F381" s="1">
        <v>45857.238888888889</v>
      </c>
      <c r="G381" s="1" t="str">
        <f t="shared" si="31"/>
        <v>Saturday</v>
      </c>
      <c r="H381" s="1" t="str">
        <f t="shared" si="32"/>
        <v>July</v>
      </c>
      <c r="I381" s="1" t="str">
        <f t="shared" si="33"/>
        <v>2025</v>
      </c>
      <c r="J381" t="b">
        <v>1</v>
      </c>
      <c r="K381" t="s">
        <v>15</v>
      </c>
      <c r="L381">
        <v>213</v>
      </c>
      <c r="M381">
        <v>74</v>
      </c>
      <c r="N381" t="str">
        <f t="shared" si="35"/>
        <v>Seniors</v>
      </c>
      <c r="O381" t="s">
        <v>55</v>
      </c>
      <c r="P381" t="s">
        <v>9</v>
      </c>
    </row>
    <row r="382" spans="1:16" x14ac:dyDescent="0.25">
      <c r="A382">
        <v>8237979</v>
      </c>
      <c r="B382" t="s">
        <v>13</v>
      </c>
      <c r="C382" t="s">
        <v>36</v>
      </c>
      <c r="D382">
        <v>3.8</v>
      </c>
      <c r="E382" t="str">
        <f t="shared" si="30"/>
        <v>Very Good</v>
      </c>
      <c r="F382" s="1">
        <v>45612.238888888889</v>
      </c>
      <c r="G382" s="1" t="str">
        <f t="shared" si="31"/>
        <v>Saturday</v>
      </c>
      <c r="H382" s="1" t="str">
        <f t="shared" si="32"/>
        <v>November</v>
      </c>
      <c r="I382" s="1" t="str">
        <f t="shared" si="33"/>
        <v>2024</v>
      </c>
      <c r="J382" t="b">
        <v>1</v>
      </c>
      <c r="K382" t="s">
        <v>2</v>
      </c>
      <c r="L382">
        <v>699</v>
      </c>
      <c r="M382">
        <v>69</v>
      </c>
      <c r="N382" t="str">
        <f t="shared" si="35"/>
        <v>Seniors</v>
      </c>
      <c r="O382" t="s">
        <v>27</v>
      </c>
      <c r="P382" t="s">
        <v>4</v>
      </c>
    </row>
    <row r="383" spans="1:16" x14ac:dyDescent="0.25">
      <c r="A383">
        <v>3357379</v>
      </c>
      <c r="B383" t="s">
        <v>76</v>
      </c>
      <c r="C383" t="s">
        <v>57</v>
      </c>
      <c r="D383">
        <v>3.5</v>
      </c>
      <c r="E383" t="str">
        <f t="shared" si="30"/>
        <v>Very Good</v>
      </c>
      <c r="F383" s="1">
        <v>45629.783333333333</v>
      </c>
      <c r="G383" s="1" t="str">
        <f t="shared" si="31"/>
        <v>Tuesday</v>
      </c>
      <c r="H383" s="1" t="str">
        <f t="shared" si="32"/>
        <v>December</v>
      </c>
      <c r="I383" s="1" t="str">
        <f t="shared" si="33"/>
        <v>2024</v>
      </c>
      <c r="J383" t="b">
        <v>1</v>
      </c>
      <c r="K383" t="s">
        <v>7</v>
      </c>
      <c r="L383">
        <v>315</v>
      </c>
      <c r="M383">
        <v>46</v>
      </c>
      <c r="N383" t="str">
        <f t="shared" si="35"/>
        <v>Adults</v>
      </c>
      <c r="O383" t="s">
        <v>8</v>
      </c>
      <c r="P383" t="s">
        <v>4</v>
      </c>
    </row>
    <row r="384" spans="1:16" x14ac:dyDescent="0.25">
      <c r="A384">
        <v>2234259</v>
      </c>
      <c r="B384" t="s">
        <v>32</v>
      </c>
      <c r="C384" t="s">
        <v>6</v>
      </c>
      <c r="D384">
        <v>2.4</v>
      </c>
      <c r="E384" t="str">
        <f t="shared" si="30"/>
        <v>Good</v>
      </c>
      <c r="F384" s="1">
        <v>45163.806250000001</v>
      </c>
      <c r="G384" s="1" t="str">
        <f t="shared" si="31"/>
        <v>Friday</v>
      </c>
      <c r="H384" s="1" t="str">
        <f t="shared" si="32"/>
        <v>August</v>
      </c>
      <c r="I384" s="1" t="str">
        <f t="shared" si="33"/>
        <v>2023</v>
      </c>
      <c r="J384" t="b">
        <v>0</v>
      </c>
      <c r="K384" t="s">
        <v>58</v>
      </c>
      <c r="L384">
        <v>961</v>
      </c>
      <c r="M384">
        <v>38</v>
      </c>
      <c r="N384" t="str">
        <f t="shared" si="35"/>
        <v>Adults</v>
      </c>
      <c r="O384" t="s">
        <v>3</v>
      </c>
      <c r="P384" t="s">
        <v>9</v>
      </c>
    </row>
    <row r="385" spans="1:16" x14ac:dyDescent="0.25">
      <c r="A385">
        <v>9640629</v>
      </c>
      <c r="B385" t="s">
        <v>10</v>
      </c>
      <c r="C385" t="s">
        <v>57</v>
      </c>
      <c r="D385">
        <v>1.6</v>
      </c>
      <c r="E385" t="str">
        <f t="shared" si="30"/>
        <v>Poor</v>
      </c>
      <c r="F385" s="1">
        <v>45185.211111111108</v>
      </c>
      <c r="G385" s="1" t="str">
        <f t="shared" si="31"/>
        <v>Saturday</v>
      </c>
      <c r="H385" s="1" t="str">
        <f t="shared" si="32"/>
        <v>September</v>
      </c>
      <c r="I385" s="1" t="str">
        <f t="shared" si="33"/>
        <v>2023</v>
      </c>
      <c r="J385" t="b">
        <v>1</v>
      </c>
      <c r="K385" t="s">
        <v>58</v>
      </c>
      <c r="L385">
        <v>725</v>
      </c>
      <c r="M385">
        <v>54</v>
      </c>
      <c r="N385" t="str">
        <f t="shared" si="35"/>
        <v>Adults</v>
      </c>
      <c r="O385" t="s">
        <v>22</v>
      </c>
      <c r="P385" t="s">
        <v>4</v>
      </c>
    </row>
    <row r="386" spans="1:16" x14ac:dyDescent="0.25">
      <c r="A386">
        <v>7793677</v>
      </c>
      <c r="B386" t="s">
        <v>71</v>
      </c>
      <c r="C386" t="s">
        <v>43</v>
      </c>
      <c r="D386">
        <v>3.9</v>
      </c>
      <c r="E386" t="str">
        <f t="shared" ref="E386:E449" si="36">IF(D386&lt;2,"Poor",IF(AND(D386&gt;=2,D386&lt;=3),"Good",IF(AND(D386&gt;3,D386&lt;=4),"Very Good",IF(D386&gt;4,"Excellent"))))</f>
        <v>Very Good</v>
      </c>
      <c r="F386" s="1">
        <v>45463.722222222219</v>
      </c>
      <c r="G386" s="1" t="str">
        <f t="shared" ref="G386:G449" si="37">TEXT(F386,"DDDD")</f>
        <v>Thursday</v>
      </c>
      <c r="H386" s="1" t="str">
        <f t="shared" ref="H386:H449" si="38">TEXT(F386,"MMMM")</f>
        <v>June</v>
      </c>
      <c r="I386" s="1" t="str">
        <f t="shared" ref="I386:I449" si="39">TEXT(F386,"YYYY")</f>
        <v>2024</v>
      </c>
      <c r="J386" t="b">
        <v>1</v>
      </c>
      <c r="K386" t="s">
        <v>7</v>
      </c>
      <c r="L386">
        <v>829</v>
      </c>
      <c r="M386">
        <v>16</v>
      </c>
      <c r="N386" t="str">
        <f t="shared" si="35"/>
        <v>Teenagers</v>
      </c>
      <c r="O386" t="s">
        <v>8</v>
      </c>
      <c r="P386" t="s">
        <v>4</v>
      </c>
    </row>
    <row r="387" spans="1:16" x14ac:dyDescent="0.25">
      <c r="A387">
        <v>5864248</v>
      </c>
      <c r="B387" t="s">
        <v>60</v>
      </c>
      <c r="C387" t="s">
        <v>6</v>
      </c>
      <c r="D387">
        <v>3.7</v>
      </c>
      <c r="E387" t="str">
        <f t="shared" si="36"/>
        <v>Very Good</v>
      </c>
      <c r="F387" s="1">
        <v>45309.643055555556</v>
      </c>
      <c r="G387" s="1" t="str">
        <f t="shared" si="37"/>
        <v>Thursday</v>
      </c>
      <c r="H387" s="1" t="str">
        <f t="shared" si="38"/>
        <v>January</v>
      </c>
      <c r="I387" s="1" t="str">
        <f t="shared" si="39"/>
        <v>2024</v>
      </c>
      <c r="J387" t="b">
        <v>1</v>
      </c>
      <c r="K387" t="s">
        <v>2</v>
      </c>
      <c r="L387">
        <v>564</v>
      </c>
      <c r="M387">
        <v>19</v>
      </c>
      <c r="N387" t="str">
        <f t="shared" si="35"/>
        <v>Adults</v>
      </c>
      <c r="O387" t="s">
        <v>12</v>
      </c>
      <c r="P387" t="s">
        <v>9</v>
      </c>
    </row>
    <row r="388" spans="1:16" x14ac:dyDescent="0.25">
      <c r="A388">
        <v>4626314</v>
      </c>
      <c r="B388" t="s">
        <v>69</v>
      </c>
      <c r="C388" t="s">
        <v>75</v>
      </c>
      <c r="D388">
        <v>2.5</v>
      </c>
      <c r="E388" t="str">
        <f t="shared" si="36"/>
        <v>Good</v>
      </c>
      <c r="F388" s="1">
        <v>45681.072916666664</v>
      </c>
      <c r="G388" s="1" t="str">
        <f t="shared" si="37"/>
        <v>Friday</v>
      </c>
      <c r="H388" s="1" t="str">
        <f t="shared" si="38"/>
        <v>January</v>
      </c>
      <c r="I388" s="1" t="str">
        <f t="shared" si="39"/>
        <v>2025</v>
      </c>
      <c r="J388" t="b">
        <v>0</v>
      </c>
      <c r="K388" t="s">
        <v>7</v>
      </c>
      <c r="L388">
        <v>1157</v>
      </c>
      <c r="M388">
        <v>40</v>
      </c>
      <c r="N388" t="str">
        <f t="shared" si="35"/>
        <v>Adults</v>
      </c>
      <c r="O388" t="s">
        <v>72</v>
      </c>
      <c r="P388" t="s">
        <v>4</v>
      </c>
    </row>
    <row r="389" spans="1:16" x14ac:dyDescent="0.25">
      <c r="A389">
        <v>3260048</v>
      </c>
      <c r="B389" t="s">
        <v>62</v>
      </c>
      <c r="C389" t="s">
        <v>85</v>
      </c>
      <c r="D389">
        <v>2.2999999999999998</v>
      </c>
      <c r="E389" t="str">
        <f t="shared" si="36"/>
        <v>Good</v>
      </c>
      <c r="F389" s="1">
        <v>45831.63958333333</v>
      </c>
      <c r="G389" s="1" t="str">
        <f t="shared" si="37"/>
        <v>Monday</v>
      </c>
      <c r="H389" s="1" t="str">
        <f t="shared" si="38"/>
        <v>June</v>
      </c>
      <c r="I389" s="1" t="str">
        <f t="shared" si="39"/>
        <v>2025</v>
      </c>
      <c r="J389" t="b">
        <v>1</v>
      </c>
      <c r="K389" t="s">
        <v>2</v>
      </c>
      <c r="L389">
        <v>453</v>
      </c>
      <c r="M389">
        <v>18</v>
      </c>
      <c r="N389" t="str">
        <f t="shared" si="35"/>
        <v>Adults</v>
      </c>
      <c r="O389" t="s">
        <v>3</v>
      </c>
      <c r="P389" t="s">
        <v>4</v>
      </c>
    </row>
    <row r="390" spans="1:16" x14ac:dyDescent="0.25">
      <c r="A390">
        <v>1564797</v>
      </c>
      <c r="B390" t="s">
        <v>52</v>
      </c>
      <c r="C390" t="s">
        <v>75</v>
      </c>
      <c r="D390">
        <v>2.1</v>
      </c>
      <c r="E390" t="str">
        <f t="shared" si="36"/>
        <v>Good</v>
      </c>
      <c r="F390" s="1">
        <v>45201.147916666669</v>
      </c>
      <c r="G390" s="1" t="str">
        <f t="shared" si="37"/>
        <v>Monday</v>
      </c>
      <c r="H390" s="1" t="str">
        <f t="shared" si="38"/>
        <v>October</v>
      </c>
      <c r="I390" s="1" t="str">
        <f t="shared" si="39"/>
        <v>2023</v>
      </c>
      <c r="J390" t="b">
        <v>1</v>
      </c>
      <c r="K390" t="s">
        <v>15</v>
      </c>
      <c r="L390">
        <v>220</v>
      </c>
      <c r="M390">
        <v>14</v>
      </c>
      <c r="N390" t="str">
        <f t="shared" ref="N390:N422" si="40">IF(M390&lt;=17,"Teenagers", IF(AND(M390&gt;=18,M390&lt;61),"Adults",IF(M390&gt;60,"Seniors")))</f>
        <v>Teenagers</v>
      </c>
      <c r="O390" t="s">
        <v>65</v>
      </c>
      <c r="P390" t="s">
        <v>4</v>
      </c>
    </row>
    <row r="391" spans="1:16" x14ac:dyDescent="0.25">
      <c r="A391">
        <v>3099964</v>
      </c>
      <c r="B391" t="s">
        <v>76</v>
      </c>
      <c r="C391" t="s">
        <v>31</v>
      </c>
      <c r="D391">
        <v>2.5</v>
      </c>
      <c r="E391" t="str">
        <f t="shared" si="36"/>
        <v>Good</v>
      </c>
      <c r="F391" s="1">
        <v>45761.801388888889</v>
      </c>
      <c r="G391" s="1" t="str">
        <f t="shared" si="37"/>
        <v>Monday</v>
      </c>
      <c r="H391" s="1" t="str">
        <f t="shared" si="38"/>
        <v>April</v>
      </c>
      <c r="I391" s="1" t="str">
        <f t="shared" si="39"/>
        <v>2025</v>
      </c>
      <c r="J391" t="b">
        <v>1</v>
      </c>
      <c r="K391" t="s">
        <v>21</v>
      </c>
      <c r="L391">
        <v>102</v>
      </c>
      <c r="M391">
        <v>22</v>
      </c>
      <c r="N391" t="str">
        <f t="shared" si="40"/>
        <v>Adults</v>
      </c>
      <c r="O391" t="s">
        <v>24</v>
      </c>
      <c r="P391" t="s">
        <v>9</v>
      </c>
    </row>
    <row r="392" spans="1:16" x14ac:dyDescent="0.25">
      <c r="A392">
        <v>7007041</v>
      </c>
      <c r="B392" t="s">
        <v>80</v>
      </c>
      <c r="C392" t="s">
        <v>85</v>
      </c>
      <c r="D392">
        <v>1.5</v>
      </c>
      <c r="E392" t="str">
        <f t="shared" si="36"/>
        <v>Poor</v>
      </c>
      <c r="F392" s="1">
        <v>45241.370138888888</v>
      </c>
      <c r="G392" s="1" t="str">
        <f t="shared" si="37"/>
        <v>Saturday</v>
      </c>
      <c r="H392" s="1" t="str">
        <f t="shared" si="38"/>
        <v>November</v>
      </c>
      <c r="I392" s="1" t="str">
        <f t="shared" si="39"/>
        <v>2023</v>
      </c>
      <c r="J392" t="b">
        <v>1</v>
      </c>
      <c r="K392" t="s">
        <v>2</v>
      </c>
      <c r="L392">
        <v>1174</v>
      </c>
      <c r="M392">
        <v>19</v>
      </c>
      <c r="N392" t="str">
        <f t="shared" si="40"/>
        <v>Adults</v>
      </c>
      <c r="O392" t="s">
        <v>68</v>
      </c>
      <c r="P392" t="s">
        <v>4</v>
      </c>
    </row>
    <row r="393" spans="1:16" x14ac:dyDescent="0.25">
      <c r="A393">
        <v>2981270</v>
      </c>
      <c r="B393" t="s">
        <v>89</v>
      </c>
      <c r="C393" t="s">
        <v>1</v>
      </c>
      <c r="D393">
        <v>4.0999999999999996</v>
      </c>
      <c r="E393" t="str">
        <f t="shared" si="36"/>
        <v>Excellent</v>
      </c>
      <c r="F393" s="1">
        <v>45751.920138888891</v>
      </c>
      <c r="G393" s="1" t="str">
        <f t="shared" si="37"/>
        <v>Friday</v>
      </c>
      <c r="H393" s="1" t="str">
        <f t="shared" si="38"/>
        <v>April</v>
      </c>
      <c r="I393" s="1" t="str">
        <f t="shared" si="39"/>
        <v>2025</v>
      </c>
      <c r="J393" t="b">
        <v>1</v>
      </c>
      <c r="K393" t="s">
        <v>21</v>
      </c>
      <c r="L393">
        <v>1249</v>
      </c>
      <c r="M393">
        <v>35</v>
      </c>
      <c r="N393" t="str">
        <f t="shared" si="40"/>
        <v>Adults</v>
      </c>
      <c r="O393" t="s">
        <v>44</v>
      </c>
      <c r="P393" t="s">
        <v>4</v>
      </c>
    </row>
    <row r="394" spans="1:16" x14ac:dyDescent="0.25">
      <c r="A394">
        <v>2675047</v>
      </c>
      <c r="B394" t="s">
        <v>89</v>
      </c>
      <c r="C394" t="s">
        <v>29</v>
      </c>
      <c r="D394">
        <v>4</v>
      </c>
      <c r="E394" t="str">
        <f t="shared" si="36"/>
        <v>Very Good</v>
      </c>
      <c r="F394" s="1">
        <v>45253.789583333331</v>
      </c>
      <c r="G394" s="1" t="str">
        <f t="shared" si="37"/>
        <v>Thursday</v>
      </c>
      <c r="H394" s="1" t="str">
        <f t="shared" si="38"/>
        <v>November</v>
      </c>
      <c r="I394" s="1" t="str">
        <f t="shared" si="39"/>
        <v>2023</v>
      </c>
      <c r="J394" t="b">
        <v>1</v>
      </c>
      <c r="K394" t="s">
        <v>7</v>
      </c>
      <c r="L394">
        <v>521</v>
      </c>
      <c r="M394">
        <v>71</v>
      </c>
      <c r="N394" t="str">
        <f t="shared" si="40"/>
        <v>Seniors</v>
      </c>
      <c r="O394" t="s">
        <v>50</v>
      </c>
      <c r="P394" t="s">
        <v>4</v>
      </c>
    </row>
    <row r="395" spans="1:16" x14ac:dyDescent="0.25">
      <c r="A395">
        <v>9053043</v>
      </c>
      <c r="B395" t="s">
        <v>35</v>
      </c>
      <c r="C395" t="s">
        <v>43</v>
      </c>
      <c r="D395">
        <v>4.9000000000000004</v>
      </c>
      <c r="E395" t="str">
        <f t="shared" si="36"/>
        <v>Excellent</v>
      </c>
      <c r="F395" s="1">
        <v>45373.106249999997</v>
      </c>
      <c r="G395" s="1" t="str">
        <f t="shared" si="37"/>
        <v>Friday</v>
      </c>
      <c r="H395" s="1" t="str">
        <f t="shared" si="38"/>
        <v>March</v>
      </c>
      <c r="I395" s="1" t="str">
        <f t="shared" si="39"/>
        <v>2024</v>
      </c>
      <c r="J395" t="b">
        <v>1</v>
      </c>
      <c r="K395" t="s">
        <v>21</v>
      </c>
      <c r="L395">
        <v>515</v>
      </c>
      <c r="M395">
        <v>57</v>
      </c>
      <c r="N395" t="str">
        <f t="shared" si="40"/>
        <v>Adults</v>
      </c>
      <c r="O395" t="s">
        <v>77</v>
      </c>
      <c r="P395" t="s">
        <v>4</v>
      </c>
    </row>
    <row r="396" spans="1:16" x14ac:dyDescent="0.25">
      <c r="A396">
        <v>518175</v>
      </c>
      <c r="B396" t="s">
        <v>54</v>
      </c>
      <c r="C396" t="s">
        <v>20</v>
      </c>
      <c r="D396">
        <v>1.7</v>
      </c>
      <c r="E396" t="str">
        <f t="shared" si="36"/>
        <v>Poor</v>
      </c>
      <c r="F396" s="1">
        <v>45453.111111111109</v>
      </c>
      <c r="G396" s="1" t="str">
        <f t="shared" si="37"/>
        <v>Monday</v>
      </c>
      <c r="H396" s="1" t="str">
        <f t="shared" si="38"/>
        <v>June</v>
      </c>
      <c r="I396" s="1" t="str">
        <f t="shared" si="39"/>
        <v>2024</v>
      </c>
      <c r="J396" t="b">
        <v>1</v>
      </c>
      <c r="K396" t="s">
        <v>7</v>
      </c>
      <c r="L396">
        <v>592</v>
      </c>
      <c r="M396">
        <v>22</v>
      </c>
      <c r="N396" t="str">
        <f t="shared" si="40"/>
        <v>Adults</v>
      </c>
      <c r="O396" t="s">
        <v>81</v>
      </c>
      <c r="P396" t="s">
        <v>9</v>
      </c>
    </row>
    <row r="397" spans="1:16" x14ac:dyDescent="0.25">
      <c r="A397">
        <v>2439134</v>
      </c>
      <c r="B397" t="s">
        <v>33</v>
      </c>
      <c r="C397" t="s">
        <v>14</v>
      </c>
      <c r="D397">
        <v>3.4</v>
      </c>
      <c r="E397" t="str">
        <f t="shared" si="36"/>
        <v>Very Good</v>
      </c>
      <c r="F397" s="1">
        <v>45665.50277777778</v>
      </c>
      <c r="G397" s="1" t="str">
        <f t="shared" si="37"/>
        <v>Wednesday</v>
      </c>
      <c r="H397" s="1" t="str">
        <f t="shared" si="38"/>
        <v>January</v>
      </c>
      <c r="I397" s="1" t="str">
        <f t="shared" si="39"/>
        <v>2025</v>
      </c>
      <c r="J397" t="b">
        <v>1</v>
      </c>
      <c r="K397" t="s">
        <v>58</v>
      </c>
      <c r="L397">
        <v>146</v>
      </c>
      <c r="M397">
        <v>33</v>
      </c>
      <c r="N397" t="str">
        <f t="shared" si="40"/>
        <v>Adults</v>
      </c>
      <c r="O397" t="s">
        <v>53</v>
      </c>
      <c r="P397" t="s">
        <v>4</v>
      </c>
    </row>
    <row r="398" spans="1:16" x14ac:dyDescent="0.25">
      <c r="A398">
        <v>2060855</v>
      </c>
      <c r="B398" t="s">
        <v>74</v>
      </c>
      <c r="C398" t="s">
        <v>75</v>
      </c>
      <c r="D398">
        <v>2.2000000000000002</v>
      </c>
      <c r="E398" t="str">
        <f t="shared" si="36"/>
        <v>Good</v>
      </c>
      <c r="F398" s="1">
        <v>45378.172222222223</v>
      </c>
      <c r="G398" s="1" t="str">
        <f t="shared" si="37"/>
        <v>Wednesday</v>
      </c>
      <c r="H398" s="1" t="str">
        <f t="shared" si="38"/>
        <v>March</v>
      </c>
      <c r="I398" s="1" t="str">
        <f t="shared" si="39"/>
        <v>2024</v>
      </c>
      <c r="J398" t="b">
        <v>1</v>
      </c>
      <c r="K398" t="s">
        <v>15</v>
      </c>
      <c r="L398">
        <v>87</v>
      </c>
      <c r="M398">
        <v>40</v>
      </c>
      <c r="N398" t="str">
        <f t="shared" si="40"/>
        <v>Adults</v>
      </c>
      <c r="O398" t="s">
        <v>8</v>
      </c>
      <c r="P398" t="s">
        <v>9</v>
      </c>
    </row>
    <row r="399" spans="1:16" x14ac:dyDescent="0.25">
      <c r="A399">
        <v>6838231</v>
      </c>
      <c r="B399" t="s">
        <v>70</v>
      </c>
      <c r="C399" t="s">
        <v>85</v>
      </c>
      <c r="D399">
        <v>4.4000000000000004</v>
      </c>
      <c r="E399" t="str">
        <f t="shared" si="36"/>
        <v>Excellent</v>
      </c>
      <c r="F399" s="1">
        <v>45618.521527777775</v>
      </c>
      <c r="G399" s="1" t="str">
        <f t="shared" si="37"/>
        <v>Friday</v>
      </c>
      <c r="H399" s="1" t="str">
        <f t="shared" si="38"/>
        <v>November</v>
      </c>
      <c r="I399" s="1" t="str">
        <f t="shared" si="39"/>
        <v>2024</v>
      </c>
      <c r="J399" t="b">
        <v>1</v>
      </c>
      <c r="K399" t="s">
        <v>15</v>
      </c>
      <c r="L399">
        <v>321</v>
      </c>
      <c r="M399">
        <v>17</v>
      </c>
      <c r="N399" t="str">
        <f t="shared" si="40"/>
        <v>Teenagers</v>
      </c>
      <c r="O399" t="s">
        <v>24</v>
      </c>
      <c r="P399" t="s">
        <v>9</v>
      </c>
    </row>
    <row r="400" spans="1:16" x14ac:dyDescent="0.25">
      <c r="A400">
        <v>7582180</v>
      </c>
      <c r="B400" t="s">
        <v>56</v>
      </c>
      <c r="C400" t="s">
        <v>57</v>
      </c>
      <c r="D400">
        <v>2.7</v>
      </c>
      <c r="E400" t="str">
        <f t="shared" si="36"/>
        <v>Good</v>
      </c>
      <c r="F400" s="1">
        <v>45416.473611111112</v>
      </c>
      <c r="G400" s="1" t="str">
        <f t="shared" si="37"/>
        <v>Saturday</v>
      </c>
      <c r="H400" s="1" t="str">
        <f t="shared" si="38"/>
        <v>May</v>
      </c>
      <c r="I400" s="1" t="str">
        <f t="shared" si="39"/>
        <v>2024</v>
      </c>
      <c r="J400" t="b">
        <v>1</v>
      </c>
      <c r="K400" t="s">
        <v>2</v>
      </c>
      <c r="L400">
        <v>822</v>
      </c>
      <c r="M400">
        <v>32</v>
      </c>
      <c r="N400" t="str">
        <f t="shared" si="40"/>
        <v>Adults</v>
      </c>
      <c r="O400" t="s">
        <v>66</v>
      </c>
      <c r="P400" t="s">
        <v>9</v>
      </c>
    </row>
    <row r="401" spans="1:16" x14ac:dyDescent="0.25">
      <c r="A401">
        <v>304527</v>
      </c>
      <c r="B401" t="s">
        <v>46</v>
      </c>
      <c r="C401" t="s">
        <v>43</v>
      </c>
      <c r="D401">
        <v>2.9</v>
      </c>
      <c r="E401" t="str">
        <f t="shared" si="36"/>
        <v>Good</v>
      </c>
      <c r="F401" s="1">
        <v>45704.802777777775</v>
      </c>
      <c r="G401" s="1" t="str">
        <f t="shared" si="37"/>
        <v>Sunday</v>
      </c>
      <c r="H401" s="1" t="str">
        <f t="shared" si="38"/>
        <v>February</v>
      </c>
      <c r="I401" s="1" t="str">
        <f t="shared" si="39"/>
        <v>2025</v>
      </c>
      <c r="J401" t="b">
        <v>1</v>
      </c>
      <c r="K401" t="s">
        <v>21</v>
      </c>
      <c r="L401">
        <v>1163</v>
      </c>
      <c r="M401">
        <v>62</v>
      </c>
      <c r="N401" t="str">
        <f t="shared" si="40"/>
        <v>Seniors</v>
      </c>
      <c r="O401" t="s">
        <v>37</v>
      </c>
      <c r="P401" t="s">
        <v>9</v>
      </c>
    </row>
    <row r="402" spans="1:16" x14ac:dyDescent="0.25">
      <c r="A402">
        <v>4206228</v>
      </c>
      <c r="B402" t="s">
        <v>79</v>
      </c>
      <c r="C402" t="s">
        <v>34</v>
      </c>
      <c r="D402">
        <v>4.9000000000000004</v>
      </c>
      <c r="E402" t="str">
        <f t="shared" si="36"/>
        <v>Excellent</v>
      </c>
      <c r="F402" s="1">
        <v>45190.704861111109</v>
      </c>
      <c r="G402" s="1" t="str">
        <f t="shared" si="37"/>
        <v>Thursday</v>
      </c>
      <c r="H402" s="1" t="str">
        <f t="shared" si="38"/>
        <v>September</v>
      </c>
      <c r="I402" s="1" t="str">
        <f t="shared" si="39"/>
        <v>2023</v>
      </c>
      <c r="J402" t="b">
        <v>1</v>
      </c>
      <c r="K402" t="s">
        <v>2</v>
      </c>
      <c r="L402">
        <v>1186</v>
      </c>
      <c r="M402">
        <v>67</v>
      </c>
      <c r="N402" t="str">
        <f t="shared" si="40"/>
        <v>Seniors</v>
      </c>
      <c r="O402" t="s">
        <v>22</v>
      </c>
      <c r="P402" t="s">
        <v>4</v>
      </c>
    </row>
    <row r="403" spans="1:16" x14ac:dyDescent="0.25">
      <c r="A403">
        <v>6182121</v>
      </c>
      <c r="B403" t="s">
        <v>69</v>
      </c>
      <c r="C403" t="s">
        <v>63</v>
      </c>
      <c r="D403">
        <v>4.5</v>
      </c>
      <c r="E403" t="str">
        <f t="shared" si="36"/>
        <v>Excellent</v>
      </c>
      <c r="F403" s="1">
        <v>45213.313888888886</v>
      </c>
      <c r="G403" s="1" t="str">
        <f t="shared" si="37"/>
        <v>Saturday</v>
      </c>
      <c r="H403" s="1" t="str">
        <f t="shared" si="38"/>
        <v>October</v>
      </c>
      <c r="I403" s="1" t="str">
        <f t="shared" si="39"/>
        <v>2023</v>
      </c>
      <c r="J403" t="b">
        <v>1</v>
      </c>
      <c r="K403" t="s">
        <v>7</v>
      </c>
      <c r="L403">
        <v>350</v>
      </c>
      <c r="M403">
        <v>20</v>
      </c>
      <c r="N403" t="str">
        <f t="shared" si="40"/>
        <v>Adults</v>
      </c>
      <c r="O403" t="s">
        <v>16</v>
      </c>
      <c r="P403" t="s">
        <v>4</v>
      </c>
    </row>
    <row r="404" spans="1:16" x14ac:dyDescent="0.25">
      <c r="A404">
        <v>415519</v>
      </c>
      <c r="B404" t="s">
        <v>32</v>
      </c>
      <c r="C404" t="s">
        <v>26</v>
      </c>
      <c r="D404">
        <v>1.5</v>
      </c>
      <c r="E404" t="str">
        <f t="shared" si="36"/>
        <v>Poor</v>
      </c>
      <c r="F404" s="1">
        <v>45740.599305555559</v>
      </c>
      <c r="G404" s="1" t="str">
        <f t="shared" si="37"/>
        <v>Monday</v>
      </c>
      <c r="H404" s="1" t="str">
        <f t="shared" si="38"/>
        <v>March</v>
      </c>
      <c r="I404" s="1" t="str">
        <f t="shared" si="39"/>
        <v>2025</v>
      </c>
      <c r="J404" t="b">
        <v>1</v>
      </c>
      <c r="K404" t="s">
        <v>15</v>
      </c>
      <c r="L404">
        <v>875</v>
      </c>
      <c r="M404">
        <v>36</v>
      </c>
      <c r="N404" t="str">
        <f t="shared" si="40"/>
        <v>Adults</v>
      </c>
      <c r="O404" t="s">
        <v>37</v>
      </c>
      <c r="P404" t="s">
        <v>9</v>
      </c>
    </row>
    <row r="405" spans="1:16" x14ac:dyDescent="0.25">
      <c r="A405">
        <v>7335132</v>
      </c>
      <c r="B405" t="s">
        <v>71</v>
      </c>
      <c r="C405" t="s">
        <v>38</v>
      </c>
      <c r="D405">
        <v>1.7</v>
      </c>
      <c r="E405" t="str">
        <f t="shared" si="36"/>
        <v>Poor</v>
      </c>
      <c r="F405" s="1">
        <v>45171.902083333334</v>
      </c>
      <c r="G405" s="1" t="str">
        <f t="shared" si="37"/>
        <v>Saturday</v>
      </c>
      <c r="H405" s="1" t="str">
        <f t="shared" si="38"/>
        <v>September</v>
      </c>
      <c r="I405" s="1" t="str">
        <f t="shared" si="39"/>
        <v>2023</v>
      </c>
      <c r="J405" t="b">
        <v>1</v>
      </c>
      <c r="K405" t="s">
        <v>58</v>
      </c>
      <c r="L405">
        <v>773</v>
      </c>
      <c r="M405">
        <v>22</v>
      </c>
      <c r="N405" t="str">
        <f t="shared" si="40"/>
        <v>Adults</v>
      </c>
      <c r="O405" t="s">
        <v>81</v>
      </c>
      <c r="P405" t="s">
        <v>9</v>
      </c>
    </row>
    <row r="406" spans="1:16" x14ac:dyDescent="0.25">
      <c r="A406">
        <v>8714751</v>
      </c>
      <c r="B406" t="s">
        <v>84</v>
      </c>
      <c r="C406" t="s">
        <v>47</v>
      </c>
      <c r="D406">
        <v>1.9</v>
      </c>
      <c r="E406" t="str">
        <f t="shared" si="36"/>
        <v>Poor</v>
      </c>
      <c r="F406" s="1">
        <v>45599.611805555556</v>
      </c>
      <c r="G406" s="1" t="str">
        <f t="shared" si="37"/>
        <v>Sunday</v>
      </c>
      <c r="H406" s="1" t="str">
        <f t="shared" si="38"/>
        <v>November</v>
      </c>
      <c r="I406" s="1" t="str">
        <f t="shared" si="39"/>
        <v>2024</v>
      </c>
      <c r="J406" t="b">
        <v>1</v>
      </c>
      <c r="K406" t="s">
        <v>58</v>
      </c>
      <c r="L406">
        <v>1001</v>
      </c>
      <c r="M406">
        <v>66</v>
      </c>
      <c r="N406" t="str">
        <f t="shared" si="40"/>
        <v>Seniors</v>
      </c>
      <c r="O406" t="s">
        <v>3</v>
      </c>
      <c r="P406" t="s">
        <v>4</v>
      </c>
    </row>
    <row r="407" spans="1:16" x14ac:dyDescent="0.25">
      <c r="A407">
        <v>3546060</v>
      </c>
      <c r="B407" t="s">
        <v>49</v>
      </c>
      <c r="C407" t="s">
        <v>31</v>
      </c>
      <c r="D407">
        <v>3.7</v>
      </c>
      <c r="E407" t="str">
        <f t="shared" si="36"/>
        <v>Very Good</v>
      </c>
      <c r="F407" s="1">
        <v>45595.282638888886</v>
      </c>
      <c r="G407" s="1" t="str">
        <f t="shared" si="37"/>
        <v>Wednesday</v>
      </c>
      <c r="H407" s="1" t="str">
        <f t="shared" si="38"/>
        <v>October</v>
      </c>
      <c r="I407" s="1" t="str">
        <f t="shared" si="39"/>
        <v>2024</v>
      </c>
      <c r="J407" t="b">
        <v>1</v>
      </c>
      <c r="K407" t="s">
        <v>7</v>
      </c>
      <c r="L407">
        <v>286</v>
      </c>
      <c r="M407">
        <v>58</v>
      </c>
      <c r="N407" t="str">
        <f t="shared" si="40"/>
        <v>Adults</v>
      </c>
      <c r="O407" t="s">
        <v>44</v>
      </c>
      <c r="P407" t="s">
        <v>9</v>
      </c>
    </row>
    <row r="408" spans="1:16" x14ac:dyDescent="0.25">
      <c r="A408">
        <v>8064404</v>
      </c>
      <c r="B408" t="s">
        <v>33</v>
      </c>
      <c r="C408" t="s">
        <v>36</v>
      </c>
      <c r="D408">
        <v>1.7</v>
      </c>
      <c r="E408" t="str">
        <f t="shared" si="36"/>
        <v>Poor</v>
      </c>
      <c r="F408" s="1">
        <v>45423.518055555556</v>
      </c>
      <c r="G408" s="1" t="str">
        <f t="shared" si="37"/>
        <v>Saturday</v>
      </c>
      <c r="H408" s="1" t="str">
        <f t="shared" si="38"/>
        <v>May</v>
      </c>
      <c r="I408" s="1" t="str">
        <f t="shared" si="39"/>
        <v>2024</v>
      </c>
      <c r="J408" t="b">
        <v>0</v>
      </c>
      <c r="K408" t="s">
        <v>2</v>
      </c>
      <c r="L408">
        <v>626</v>
      </c>
      <c r="M408">
        <v>39</v>
      </c>
      <c r="N408" t="str">
        <f t="shared" si="40"/>
        <v>Adults</v>
      </c>
      <c r="O408" t="s">
        <v>44</v>
      </c>
      <c r="P408" t="s">
        <v>4</v>
      </c>
    </row>
    <row r="409" spans="1:16" x14ac:dyDescent="0.25">
      <c r="A409">
        <v>9988165</v>
      </c>
      <c r="B409" t="s">
        <v>70</v>
      </c>
      <c r="C409" t="s">
        <v>57</v>
      </c>
      <c r="D409">
        <v>3</v>
      </c>
      <c r="E409" t="str">
        <f t="shared" si="36"/>
        <v>Good</v>
      </c>
      <c r="F409" s="1">
        <v>45282.669444444444</v>
      </c>
      <c r="G409" s="1" t="str">
        <f t="shared" si="37"/>
        <v>Friday</v>
      </c>
      <c r="H409" s="1" t="str">
        <f t="shared" si="38"/>
        <v>December</v>
      </c>
      <c r="I409" s="1" t="str">
        <f t="shared" si="39"/>
        <v>2023</v>
      </c>
      <c r="J409" t="b">
        <v>1</v>
      </c>
      <c r="K409" t="s">
        <v>2</v>
      </c>
      <c r="L409">
        <v>906</v>
      </c>
      <c r="M409">
        <v>60</v>
      </c>
      <c r="N409" t="str">
        <f t="shared" si="40"/>
        <v>Adults</v>
      </c>
      <c r="O409" t="s">
        <v>8</v>
      </c>
      <c r="P409" t="s">
        <v>4</v>
      </c>
    </row>
    <row r="410" spans="1:16" x14ac:dyDescent="0.25">
      <c r="A410">
        <v>1185660</v>
      </c>
      <c r="B410" t="s">
        <v>23</v>
      </c>
      <c r="C410" t="s">
        <v>57</v>
      </c>
      <c r="D410">
        <v>4</v>
      </c>
      <c r="E410" t="str">
        <f t="shared" si="36"/>
        <v>Very Good</v>
      </c>
      <c r="F410" s="1">
        <v>45508.463194444441</v>
      </c>
      <c r="G410" s="1" t="str">
        <f t="shared" si="37"/>
        <v>Sunday</v>
      </c>
      <c r="H410" s="1" t="str">
        <f t="shared" si="38"/>
        <v>August</v>
      </c>
      <c r="I410" s="1" t="str">
        <f t="shared" si="39"/>
        <v>2024</v>
      </c>
      <c r="J410" t="b">
        <v>0</v>
      </c>
      <c r="K410" t="s">
        <v>15</v>
      </c>
      <c r="L410">
        <v>1071</v>
      </c>
      <c r="M410">
        <v>38</v>
      </c>
      <c r="N410" t="str">
        <f t="shared" si="40"/>
        <v>Adults</v>
      </c>
      <c r="O410" t="s">
        <v>50</v>
      </c>
      <c r="P410" t="s">
        <v>9</v>
      </c>
    </row>
    <row r="411" spans="1:16" x14ac:dyDescent="0.25">
      <c r="A411">
        <v>5953181</v>
      </c>
      <c r="B411" t="s">
        <v>30</v>
      </c>
      <c r="C411" t="s">
        <v>18</v>
      </c>
      <c r="D411">
        <v>3</v>
      </c>
      <c r="E411" t="str">
        <f t="shared" si="36"/>
        <v>Good</v>
      </c>
      <c r="F411" s="1">
        <v>45767.676388888889</v>
      </c>
      <c r="G411" s="1" t="str">
        <f t="shared" si="37"/>
        <v>Sunday</v>
      </c>
      <c r="H411" s="1" t="str">
        <f t="shared" si="38"/>
        <v>April</v>
      </c>
      <c r="I411" s="1" t="str">
        <f t="shared" si="39"/>
        <v>2025</v>
      </c>
      <c r="J411" t="b">
        <v>0</v>
      </c>
      <c r="K411" t="s">
        <v>7</v>
      </c>
      <c r="L411">
        <v>1242</v>
      </c>
      <c r="M411">
        <v>53</v>
      </c>
      <c r="N411" t="str">
        <f t="shared" si="40"/>
        <v>Adults</v>
      </c>
      <c r="O411" t="s">
        <v>37</v>
      </c>
      <c r="P411" t="s">
        <v>9</v>
      </c>
    </row>
    <row r="412" spans="1:16" x14ac:dyDescent="0.25">
      <c r="A412">
        <v>9897340</v>
      </c>
      <c r="B412" t="s">
        <v>82</v>
      </c>
      <c r="C412" t="s">
        <v>34</v>
      </c>
      <c r="D412">
        <v>4</v>
      </c>
      <c r="E412" t="str">
        <f t="shared" si="36"/>
        <v>Very Good</v>
      </c>
      <c r="F412" s="1">
        <v>45599.111111111109</v>
      </c>
      <c r="G412" s="1" t="str">
        <f t="shared" si="37"/>
        <v>Sunday</v>
      </c>
      <c r="H412" s="1" t="str">
        <f t="shared" si="38"/>
        <v>November</v>
      </c>
      <c r="I412" s="1" t="str">
        <f t="shared" si="39"/>
        <v>2024</v>
      </c>
      <c r="J412" t="b">
        <v>1</v>
      </c>
      <c r="K412" t="s">
        <v>2</v>
      </c>
      <c r="L412">
        <v>278</v>
      </c>
      <c r="M412">
        <v>67</v>
      </c>
      <c r="N412" t="str">
        <f t="shared" si="40"/>
        <v>Seniors</v>
      </c>
      <c r="O412" t="s">
        <v>59</v>
      </c>
      <c r="P412" t="s">
        <v>9</v>
      </c>
    </row>
    <row r="413" spans="1:16" x14ac:dyDescent="0.25">
      <c r="A413">
        <v>1198911</v>
      </c>
      <c r="B413" t="s">
        <v>28</v>
      </c>
      <c r="C413" t="s">
        <v>1</v>
      </c>
      <c r="D413">
        <v>2.2000000000000002</v>
      </c>
      <c r="E413" t="str">
        <f t="shared" si="36"/>
        <v>Good</v>
      </c>
      <c r="F413" s="1">
        <v>45467.022222222222</v>
      </c>
      <c r="G413" s="1" t="str">
        <f t="shared" si="37"/>
        <v>Monday</v>
      </c>
      <c r="H413" s="1" t="str">
        <f t="shared" si="38"/>
        <v>June</v>
      </c>
      <c r="I413" s="1" t="str">
        <f t="shared" si="39"/>
        <v>2024</v>
      </c>
      <c r="J413" t="b">
        <v>1</v>
      </c>
      <c r="K413" t="s">
        <v>15</v>
      </c>
      <c r="L413">
        <v>1209</v>
      </c>
      <c r="M413">
        <v>45</v>
      </c>
      <c r="N413" t="str">
        <f t="shared" si="40"/>
        <v>Adults</v>
      </c>
      <c r="O413" t="s">
        <v>50</v>
      </c>
      <c r="P413" t="s">
        <v>9</v>
      </c>
    </row>
    <row r="414" spans="1:16" x14ac:dyDescent="0.25">
      <c r="A414">
        <v>8736236</v>
      </c>
      <c r="B414" t="s">
        <v>82</v>
      </c>
      <c r="C414" t="s">
        <v>6</v>
      </c>
      <c r="D414">
        <v>1.4</v>
      </c>
      <c r="E414" t="str">
        <f t="shared" si="36"/>
        <v>Poor</v>
      </c>
      <c r="F414" s="1">
        <v>45583.581944444442</v>
      </c>
      <c r="G414" s="1" t="str">
        <f t="shared" si="37"/>
        <v>Friday</v>
      </c>
      <c r="H414" s="1" t="str">
        <f t="shared" si="38"/>
        <v>October</v>
      </c>
      <c r="I414" s="1" t="str">
        <f t="shared" si="39"/>
        <v>2024</v>
      </c>
      <c r="J414" t="b">
        <v>1</v>
      </c>
      <c r="K414" t="s">
        <v>58</v>
      </c>
      <c r="L414">
        <v>1239</v>
      </c>
      <c r="M414">
        <v>13</v>
      </c>
      <c r="N414" t="str">
        <f t="shared" si="40"/>
        <v>Teenagers</v>
      </c>
      <c r="O414" t="s">
        <v>72</v>
      </c>
      <c r="P414" t="s">
        <v>9</v>
      </c>
    </row>
    <row r="415" spans="1:16" x14ac:dyDescent="0.25">
      <c r="A415">
        <v>8293298</v>
      </c>
      <c r="B415" t="s">
        <v>69</v>
      </c>
      <c r="C415" t="s">
        <v>29</v>
      </c>
      <c r="D415">
        <v>4.7</v>
      </c>
      <c r="E415" t="str">
        <f t="shared" si="36"/>
        <v>Excellent</v>
      </c>
      <c r="F415" s="1">
        <v>45216.594444444447</v>
      </c>
      <c r="G415" s="1" t="str">
        <f t="shared" si="37"/>
        <v>Tuesday</v>
      </c>
      <c r="H415" s="1" t="str">
        <f t="shared" si="38"/>
        <v>October</v>
      </c>
      <c r="I415" s="1" t="str">
        <f t="shared" si="39"/>
        <v>2023</v>
      </c>
      <c r="J415" t="b">
        <v>0</v>
      </c>
      <c r="K415" t="s">
        <v>58</v>
      </c>
      <c r="L415">
        <v>348</v>
      </c>
      <c r="M415">
        <v>68</v>
      </c>
      <c r="N415" t="str">
        <f t="shared" si="40"/>
        <v>Seniors</v>
      </c>
      <c r="O415" t="s">
        <v>12</v>
      </c>
      <c r="P415" t="s">
        <v>9</v>
      </c>
    </row>
    <row r="416" spans="1:16" x14ac:dyDescent="0.25">
      <c r="A416">
        <v>6844899</v>
      </c>
      <c r="B416" t="s">
        <v>71</v>
      </c>
      <c r="C416" t="s">
        <v>18</v>
      </c>
      <c r="D416">
        <v>1.1000000000000001</v>
      </c>
      <c r="E416" t="str">
        <f t="shared" si="36"/>
        <v>Poor</v>
      </c>
      <c r="F416" s="1">
        <v>45763.831250000003</v>
      </c>
      <c r="G416" s="1" t="str">
        <f t="shared" si="37"/>
        <v>Wednesday</v>
      </c>
      <c r="H416" s="1" t="str">
        <f t="shared" si="38"/>
        <v>April</v>
      </c>
      <c r="I416" s="1" t="str">
        <f t="shared" si="39"/>
        <v>2025</v>
      </c>
      <c r="J416" t="b">
        <v>1</v>
      </c>
      <c r="K416" t="s">
        <v>2</v>
      </c>
      <c r="L416">
        <v>442</v>
      </c>
      <c r="M416">
        <v>52</v>
      </c>
      <c r="N416" t="str">
        <f t="shared" si="40"/>
        <v>Adults</v>
      </c>
      <c r="O416" t="s">
        <v>42</v>
      </c>
      <c r="P416" t="s">
        <v>9</v>
      </c>
    </row>
    <row r="417" spans="1:16" x14ac:dyDescent="0.25">
      <c r="A417">
        <v>8760803</v>
      </c>
      <c r="B417" t="s">
        <v>54</v>
      </c>
      <c r="C417" t="s">
        <v>75</v>
      </c>
      <c r="D417">
        <v>3.6</v>
      </c>
      <c r="E417" t="str">
        <f t="shared" si="36"/>
        <v>Very Good</v>
      </c>
      <c r="F417" s="1">
        <v>45185.38958333333</v>
      </c>
      <c r="G417" s="1" t="str">
        <f t="shared" si="37"/>
        <v>Saturday</v>
      </c>
      <c r="H417" s="1" t="str">
        <f t="shared" si="38"/>
        <v>September</v>
      </c>
      <c r="I417" s="1" t="str">
        <f t="shared" si="39"/>
        <v>2023</v>
      </c>
      <c r="J417" t="b">
        <v>1</v>
      </c>
      <c r="K417" t="s">
        <v>21</v>
      </c>
      <c r="L417">
        <v>614</v>
      </c>
      <c r="M417">
        <v>59</v>
      </c>
      <c r="N417" t="str">
        <f t="shared" si="40"/>
        <v>Adults</v>
      </c>
      <c r="O417" t="s">
        <v>22</v>
      </c>
      <c r="P417" t="s">
        <v>9</v>
      </c>
    </row>
    <row r="418" spans="1:16" x14ac:dyDescent="0.25">
      <c r="A418">
        <v>3466315</v>
      </c>
      <c r="B418" t="s">
        <v>30</v>
      </c>
      <c r="C418" t="s">
        <v>31</v>
      </c>
      <c r="D418">
        <v>1.4</v>
      </c>
      <c r="E418" t="str">
        <f t="shared" si="36"/>
        <v>Poor</v>
      </c>
      <c r="F418" s="1">
        <v>45421.818749999999</v>
      </c>
      <c r="G418" s="1" t="str">
        <f t="shared" si="37"/>
        <v>Thursday</v>
      </c>
      <c r="H418" s="1" t="str">
        <f t="shared" si="38"/>
        <v>May</v>
      </c>
      <c r="I418" s="1" t="str">
        <f t="shared" si="39"/>
        <v>2024</v>
      </c>
      <c r="J418" t="b">
        <v>1</v>
      </c>
      <c r="K418" t="s">
        <v>21</v>
      </c>
      <c r="L418">
        <v>1190</v>
      </c>
      <c r="M418">
        <v>72</v>
      </c>
      <c r="N418" t="str">
        <f t="shared" si="40"/>
        <v>Seniors</v>
      </c>
      <c r="O418" t="s">
        <v>3</v>
      </c>
      <c r="P418" t="s">
        <v>4</v>
      </c>
    </row>
    <row r="419" spans="1:16" x14ac:dyDescent="0.25">
      <c r="A419">
        <v>6983025</v>
      </c>
      <c r="B419" t="s">
        <v>52</v>
      </c>
      <c r="C419" t="s">
        <v>11</v>
      </c>
      <c r="D419">
        <v>2.7</v>
      </c>
      <c r="E419" t="str">
        <f t="shared" si="36"/>
        <v>Good</v>
      </c>
      <c r="F419" s="1">
        <v>45386.383333333331</v>
      </c>
      <c r="G419" s="1" t="str">
        <f t="shared" si="37"/>
        <v>Thursday</v>
      </c>
      <c r="H419" s="1" t="str">
        <f t="shared" si="38"/>
        <v>April</v>
      </c>
      <c r="I419" s="1" t="str">
        <f t="shared" si="39"/>
        <v>2024</v>
      </c>
      <c r="J419" t="b">
        <v>1</v>
      </c>
      <c r="K419" t="s">
        <v>2</v>
      </c>
      <c r="L419">
        <v>80</v>
      </c>
      <c r="M419">
        <v>45</v>
      </c>
      <c r="N419" t="str">
        <f t="shared" si="40"/>
        <v>Adults</v>
      </c>
      <c r="O419" t="s">
        <v>39</v>
      </c>
      <c r="P419" t="s">
        <v>9</v>
      </c>
    </row>
    <row r="420" spans="1:16" x14ac:dyDescent="0.25">
      <c r="A420">
        <v>3515137</v>
      </c>
      <c r="B420" t="s">
        <v>87</v>
      </c>
      <c r="C420" t="s">
        <v>29</v>
      </c>
      <c r="D420">
        <v>4.5</v>
      </c>
      <c r="E420" t="str">
        <f t="shared" si="36"/>
        <v>Excellent</v>
      </c>
      <c r="F420" s="1">
        <v>45573.706944444442</v>
      </c>
      <c r="G420" s="1" t="str">
        <f t="shared" si="37"/>
        <v>Tuesday</v>
      </c>
      <c r="H420" s="1" t="str">
        <f t="shared" si="38"/>
        <v>October</v>
      </c>
      <c r="I420" s="1" t="str">
        <f t="shared" si="39"/>
        <v>2024</v>
      </c>
      <c r="J420" t="b">
        <v>1</v>
      </c>
      <c r="K420" t="s">
        <v>15</v>
      </c>
      <c r="L420">
        <v>4</v>
      </c>
      <c r="M420">
        <v>16</v>
      </c>
      <c r="N420" t="str">
        <f t="shared" si="40"/>
        <v>Teenagers</v>
      </c>
      <c r="O420" t="s">
        <v>66</v>
      </c>
      <c r="P420" t="s">
        <v>9</v>
      </c>
    </row>
    <row r="421" spans="1:16" x14ac:dyDescent="0.25">
      <c r="A421">
        <v>7180306</v>
      </c>
      <c r="B421" t="s">
        <v>41</v>
      </c>
      <c r="C421" t="s">
        <v>6</v>
      </c>
      <c r="D421">
        <v>5</v>
      </c>
      <c r="E421" t="str">
        <f t="shared" si="36"/>
        <v>Excellent</v>
      </c>
      <c r="F421" s="1">
        <v>45641.356944444444</v>
      </c>
      <c r="G421" s="1" t="str">
        <f t="shared" si="37"/>
        <v>Sunday</v>
      </c>
      <c r="H421" s="1" t="str">
        <f t="shared" si="38"/>
        <v>December</v>
      </c>
      <c r="I421" s="1" t="str">
        <f t="shared" si="39"/>
        <v>2024</v>
      </c>
      <c r="J421" t="b">
        <v>1</v>
      </c>
      <c r="K421" t="s">
        <v>58</v>
      </c>
      <c r="L421">
        <v>516</v>
      </c>
      <c r="M421">
        <v>20</v>
      </c>
      <c r="N421" t="str">
        <f t="shared" si="40"/>
        <v>Adults</v>
      </c>
      <c r="O421" t="s">
        <v>8</v>
      </c>
      <c r="P421" t="s">
        <v>9</v>
      </c>
    </row>
    <row r="422" spans="1:16" x14ac:dyDescent="0.25">
      <c r="A422">
        <v>4060113</v>
      </c>
      <c r="B422" t="s">
        <v>62</v>
      </c>
      <c r="C422" t="s">
        <v>31</v>
      </c>
      <c r="D422">
        <v>4.3</v>
      </c>
      <c r="E422" t="str">
        <f t="shared" si="36"/>
        <v>Excellent</v>
      </c>
      <c r="F422" s="1">
        <v>45225.818055555559</v>
      </c>
      <c r="G422" s="1" t="str">
        <f t="shared" si="37"/>
        <v>Thursday</v>
      </c>
      <c r="H422" s="1" t="str">
        <f t="shared" si="38"/>
        <v>October</v>
      </c>
      <c r="I422" s="1" t="str">
        <f t="shared" si="39"/>
        <v>2023</v>
      </c>
      <c r="J422" t="b">
        <v>1</v>
      </c>
      <c r="K422" t="s">
        <v>21</v>
      </c>
      <c r="L422">
        <v>1054</v>
      </c>
      <c r="M422">
        <v>30</v>
      </c>
      <c r="N422" t="str">
        <f t="shared" si="40"/>
        <v>Adults</v>
      </c>
      <c r="O422" t="s">
        <v>55</v>
      </c>
      <c r="P422" t="s">
        <v>4</v>
      </c>
    </row>
    <row r="423" spans="1:16" x14ac:dyDescent="0.25">
      <c r="A423">
        <v>6269641</v>
      </c>
      <c r="B423" t="s">
        <v>46</v>
      </c>
      <c r="C423" t="s">
        <v>38</v>
      </c>
      <c r="D423">
        <v>1.2</v>
      </c>
      <c r="E423" t="str">
        <f t="shared" si="36"/>
        <v>Poor</v>
      </c>
      <c r="F423" s="1">
        <v>45776.851388888892</v>
      </c>
      <c r="G423" s="1" t="str">
        <f t="shared" si="37"/>
        <v>Tuesday</v>
      </c>
      <c r="H423" s="1" t="str">
        <f t="shared" si="38"/>
        <v>April</v>
      </c>
      <c r="I423" s="1" t="str">
        <f t="shared" si="39"/>
        <v>2025</v>
      </c>
      <c r="J423" t="b">
        <v>1</v>
      </c>
      <c r="K423" t="s">
        <v>15</v>
      </c>
      <c r="L423">
        <v>1150</v>
      </c>
      <c r="M423">
        <v>28</v>
      </c>
      <c r="N423" t="str">
        <f t="shared" ref="N423:N454" si="41">IF(M423&lt;=17,"Teenagers", IF(AND(M423&gt;=18,M423&lt;61),"Adults",IF(M423&gt;60,"Seniors")))</f>
        <v>Adults</v>
      </c>
      <c r="O423" t="s">
        <v>50</v>
      </c>
      <c r="P423" t="s">
        <v>4</v>
      </c>
    </row>
    <row r="424" spans="1:16" x14ac:dyDescent="0.25">
      <c r="A424">
        <v>7028341</v>
      </c>
      <c r="B424" t="s">
        <v>88</v>
      </c>
      <c r="C424" t="s">
        <v>43</v>
      </c>
      <c r="D424">
        <v>1.2</v>
      </c>
      <c r="E424" t="str">
        <f t="shared" si="36"/>
        <v>Poor</v>
      </c>
      <c r="F424" s="1">
        <v>45626.890277777777</v>
      </c>
      <c r="G424" s="1" t="str">
        <f t="shared" si="37"/>
        <v>Saturday</v>
      </c>
      <c r="H424" s="1" t="str">
        <f t="shared" si="38"/>
        <v>November</v>
      </c>
      <c r="I424" s="1" t="str">
        <f t="shared" si="39"/>
        <v>2024</v>
      </c>
      <c r="J424" t="b">
        <v>1</v>
      </c>
      <c r="K424" t="s">
        <v>21</v>
      </c>
      <c r="L424">
        <v>1081</v>
      </c>
      <c r="M424">
        <v>40</v>
      </c>
      <c r="N424" t="str">
        <f t="shared" si="41"/>
        <v>Adults</v>
      </c>
      <c r="O424" t="s">
        <v>66</v>
      </c>
      <c r="P424" t="s">
        <v>4</v>
      </c>
    </row>
    <row r="425" spans="1:16" x14ac:dyDescent="0.25">
      <c r="A425">
        <v>5363378</v>
      </c>
      <c r="B425" t="s">
        <v>45</v>
      </c>
      <c r="C425" t="s">
        <v>85</v>
      </c>
      <c r="D425">
        <v>3.5</v>
      </c>
      <c r="E425" t="str">
        <f t="shared" si="36"/>
        <v>Very Good</v>
      </c>
      <c r="F425" s="1">
        <v>45586.12222222222</v>
      </c>
      <c r="G425" s="1" t="str">
        <f t="shared" si="37"/>
        <v>Monday</v>
      </c>
      <c r="H425" s="1" t="str">
        <f t="shared" si="38"/>
        <v>October</v>
      </c>
      <c r="I425" s="1" t="str">
        <f t="shared" si="39"/>
        <v>2024</v>
      </c>
      <c r="J425" t="b">
        <v>1</v>
      </c>
      <c r="K425" t="s">
        <v>58</v>
      </c>
      <c r="L425">
        <v>164</v>
      </c>
      <c r="M425">
        <v>18</v>
      </c>
      <c r="N425" t="str">
        <f t="shared" si="41"/>
        <v>Adults</v>
      </c>
      <c r="O425" t="s">
        <v>86</v>
      </c>
      <c r="P425" t="s">
        <v>9</v>
      </c>
    </row>
    <row r="426" spans="1:16" x14ac:dyDescent="0.25">
      <c r="A426">
        <v>8763182</v>
      </c>
      <c r="B426" t="s">
        <v>56</v>
      </c>
      <c r="C426" t="s">
        <v>34</v>
      </c>
      <c r="D426">
        <v>4.8</v>
      </c>
      <c r="E426" t="str">
        <f t="shared" si="36"/>
        <v>Excellent</v>
      </c>
      <c r="F426" s="1">
        <v>45693.119444444441</v>
      </c>
      <c r="G426" s="1" t="str">
        <f t="shared" si="37"/>
        <v>Wednesday</v>
      </c>
      <c r="H426" s="1" t="str">
        <f t="shared" si="38"/>
        <v>February</v>
      </c>
      <c r="I426" s="1" t="str">
        <f t="shared" si="39"/>
        <v>2025</v>
      </c>
      <c r="J426" t="b">
        <v>0</v>
      </c>
      <c r="K426" t="s">
        <v>7</v>
      </c>
      <c r="L426">
        <v>457</v>
      </c>
      <c r="M426">
        <v>34</v>
      </c>
      <c r="N426" t="str">
        <f t="shared" si="41"/>
        <v>Adults</v>
      </c>
      <c r="O426" t="s">
        <v>50</v>
      </c>
      <c r="P426" t="s">
        <v>4</v>
      </c>
    </row>
    <row r="427" spans="1:16" x14ac:dyDescent="0.25">
      <c r="A427">
        <v>2282597</v>
      </c>
      <c r="B427" t="s">
        <v>61</v>
      </c>
      <c r="C427" t="s">
        <v>57</v>
      </c>
      <c r="D427">
        <v>1.9</v>
      </c>
      <c r="E427" t="str">
        <f t="shared" si="36"/>
        <v>Poor</v>
      </c>
      <c r="F427" s="1">
        <v>45796.731249999997</v>
      </c>
      <c r="G427" s="1" t="str">
        <f t="shared" si="37"/>
        <v>Monday</v>
      </c>
      <c r="H427" s="1" t="str">
        <f t="shared" si="38"/>
        <v>May</v>
      </c>
      <c r="I427" s="1" t="str">
        <f t="shared" si="39"/>
        <v>2025</v>
      </c>
      <c r="J427" t="b">
        <v>1</v>
      </c>
      <c r="K427" t="s">
        <v>58</v>
      </c>
      <c r="L427">
        <v>850</v>
      </c>
      <c r="M427">
        <v>19</v>
      </c>
      <c r="N427" t="str">
        <f t="shared" si="41"/>
        <v>Adults</v>
      </c>
      <c r="O427" t="s">
        <v>53</v>
      </c>
      <c r="P427" t="s">
        <v>9</v>
      </c>
    </row>
    <row r="428" spans="1:16" x14ac:dyDescent="0.25">
      <c r="A428">
        <v>6983963</v>
      </c>
      <c r="B428" t="s">
        <v>79</v>
      </c>
      <c r="C428" t="s">
        <v>85</v>
      </c>
      <c r="D428">
        <v>3.1</v>
      </c>
      <c r="E428" t="str">
        <f t="shared" si="36"/>
        <v>Very Good</v>
      </c>
      <c r="F428" s="1">
        <v>45754.541666666664</v>
      </c>
      <c r="G428" s="1" t="str">
        <f t="shared" si="37"/>
        <v>Monday</v>
      </c>
      <c r="H428" s="1" t="str">
        <f t="shared" si="38"/>
        <v>April</v>
      </c>
      <c r="I428" s="1" t="str">
        <f t="shared" si="39"/>
        <v>2025</v>
      </c>
      <c r="J428" t="b">
        <v>1</v>
      </c>
      <c r="K428" t="s">
        <v>2</v>
      </c>
      <c r="L428">
        <v>693</v>
      </c>
      <c r="M428">
        <v>66</v>
      </c>
      <c r="N428" t="str">
        <f t="shared" si="41"/>
        <v>Seniors</v>
      </c>
      <c r="O428" t="s">
        <v>12</v>
      </c>
      <c r="P428" t="s">
        <v>9</v>
      </c>
    </row>
    <row r="429" spans="1:16" x14ac:dyDescent="0.25">
      <c r="A429">
        <v>7674743</v>
      </c>
      <c r="B429" t="s">
        <v>56</v>
      </c>
      <c r="C429" t="s">
        <v>31</v>
      </c>
      <c r="D429">
        <v>1.7</v>
      </c>
      <c r="E429" t="str">
        <f t="shared" si="36"/>
        <v>Poor</v>
      </c>
      <c r="F429" s="1">
        <v>45424.400694444441</v>
      </c>
      <c r="G429" s="1" t="str">
        <f t="shared" si="37"/>
        <v>Sunday</v>
      </c>
      <c r="H429" s="1" t="str">
        <f t="shared" si="38"/>
        <v>May</v>
      </c>
      <c r="I429" s="1" t="str">
        <f t="shared" si="39"/>
        <v>2024</v>
      </c>
      <c r="J429" t="b">
        <v>1</v>
      </c>
      <c r="K429" t="s">
        <v>7</v>
      </c>
      <c r="L429">
        <v>600</v>
      </c>
      <c r="M429">
        <v>25</v>
      </c>
      <c r="N429" t="str">
        <f t="shared" si="41"/>
        <v>Adults</v>
      </c>
      <c r="O429" t="s">
        <v>81</v>
      </c>
      <c r="P429" t="s">
        <v>4</v>
      </c>
    </row>
    <row r="430" spans="1:16" x14ac:dyDescent="0.25">
      <c r="A430">
        <v>3426354</v>
      </c>
      <c r="B430" t="s">
        <v>80</v>
      </c>
      <c r="C430" t="s">
        <v>43</v>
      </c>
      <c r="D430">
        <v>1.5</v>
      </c>
      <c r="E430" t="str">
        <f t="shared" si="36"/>
        <v>Poor</v>
      </c>
      <c r="F430" s="1">
        <v>45342.211111111108</v>
      </c>
      <c r="G430" s="1" t="str">
        <f t="shared" si="37"/>
        <v>Tuesday</v>
      </c>
      <c r="H430" s="1" t="str">
        <f t="shared" si="38"/>
        <v>February</v>
      </c>
      <c r="I430" s="1" t="str">
        <f t="shared" si="39"/>
        <v>2024</v>
      </c>
      <c r="J430" t="b">
        <v>0</v>
      </c>
      <c r="K430" t="s">
        <v>21</v>
      </c>
      <c r="L430">
        <v>599</v>
      </c>
      <c r="M430">
        <v>45</v>
      </c>
      <c r="N430" t="str">
        <f t="shared" si="41"/>
        <v>Adults</v>
      </c>
      <c r="O430" t="s">
        <v>3</v>
      </c>
      <c r="P430" t="s">
        <v>4</v>
      </c>
    </row>
    <row r="431" spans="1:16" x14ac:dyDescent="0.25">
      <c r="A431">
        <v>3296800</v>
      </c>
      <c r="B431" t="s">
        <v>41</v>
      </c>
      <c r="C431" t="s">
        <v>85</v>
      </c>
      <c r="D431">
        <v>2.9</v>
      </c>
      <c r="E431" t="str">
        <f t="shared" si="36"/>
        <v>Good</v>
      </c>
      <c r="F431" s="1">
        <v>45808.363888888889</v>
      </c>
      <c r="G431" s="1" t="str">
        <f t="shared" si="37"/>
        <v>Saturday</v>
      </c>
      <c r="H431" s="1" t="str">
        <f t="shared" si="38"/>
        <v>May</v>
      </c>
      <c r="I431" s="1" t="str">
        <f t="shared" si="39"/>
        <v>2025</v>
      </c>
      <c r="J431" t="b">
        <v>1</v>
      </c>
      <c r="K431" t="s">
        <v>15</v>
      </c>
      <c r="L431">
        <v>985</v>
      </c>
      <c r="M431">
        <v>55</v>
      </c>
      <c r="N431" t="str">
        <f t="shared" si="41"/>
        <v>Adults</v>
      </c>
      <c r="O431" t="s">
        <v>27</v>
      </c>
      <c r="P431" t="s">
        <v>9</v>
      </c>
    </row>
    <row r="432" spans="1:16" x14ac:dyDescent="0.25">
      <c r="A432">
        <v>2548514</v>
      </c>
      <c r="B432" t="s">
        <v>67</v>
      </c>
      <c r="C432" t="s">
        <v>38</v>
      </c>
      <c r="D432">
        <v>1.8</v>
      </c>
      <c r="E432" t="str">
        <f t="shared" si="36"/>
        <v>Poor</v>
      </c>
      <c r="F432" s="1">
        <v>45161.226388888892</v>
      </c>
      <c r="G432" s="1" t="str">
        <f t="shared" si="37"/>
        <v>Wednesday</v>
      </c>
      <c r="H432" s="1" t="str">
        <f t="shared" si="38"/>
        <v>August</v>
      </c>
      <c r="I432" s="1" t="str">
        <f t="shared" si="39"/>
        <v>2023</v>
      </c>
      <c r="J432" t="b">
        <v>1</v>
      </c>
      <c r="K432" t="s">
        <v>2</v>
      </c>
      <c r="L432">
        <v>138</v>
      </c>
      <c r="M432">
        <v>68</v>
      </c>
      <c r="N432" t="str">
        <f t="shared" si="41"/>
        <v>Seniors</v>
      </c>
      <c r="O432" t="s">
        <v>37</v>
      </c>
      <c r="P432" t="s">
        <v>4</v>
      </c>
    </row>
    <row r="433" spans="1:16" x14ac:dyDescent="0.25">
      <c r="A433">
        <v>6044195</v>
      </c>
      <c r="B433" t="s">
        <v>5</v>
      </c>
      <c r="C433" t="s">
        <v>34</v>
      </c>
      <c r="D433">
        <v>2</v>
      </c>
      <c r="E433" t="str">
        <f t="shared" si="36"/>
        <v>Good</v>
      </c>
      <c r="F433" s="1">
        <v>45609.863194444442</v>
      </c>
      <c r="G433" s="1" t="str">
        <f t="shared" si="37"/>
        <v>Wednesday</v>
      </c>
      <c r="H433" s="1" t="str">
        <f t="shared" si="38"/>
        <v>November</v>
      </c>
      <c r="I433" s="1" t="str">
        <f t="shared" si="39"/>
        <v>2024</v>
      </c>
      <c r="J433" t="b">
        <v>0</v>
      </c>
      <c r="K433" t="s">
        <v>2</v>
      </c>
      <c r="L433">
        <v>157</v>
      </c>
      <c r="M433">
        <v>50</v>
      </c>
      <c r="N433" t="str">
        <f t="shared" si="41"/>
        <v>Adults</v>
      </c>
      <c r="O433" t="s">
        <v>37</v>
      </c>
      <c r="P433" t="s">
        <v>9</v>
      </c>
    </row>
    <row r="434" spans="1:16" x14ac:dyDescent="0.25">
      <c r="A434">
        <v>5175231</v>
      </c>
      <c r="B434" t="s">
        <v>54</v>
      </c>
      <c r="C434" t="s">
        <v>26</v>
      </c>
      <c r="D434">
        <v>1.7</v>
      </c>
      <c r="E434" t="str">
        <f t="shared" si="36"/>
        <v>Poor</v>
      </c>
      <c r="F434" s="1">
        <v>45521.677777777775</v>
      </c>
      <c r="G434" s="1" t="str">
        <f t="shared" si="37"/>
        <v>Saturday</v>
      </c>
      <c r="H434" s="1" t="str">
        <f t="shared" si="38"/>
        <v>August</v>
      </c>
      <c r="I434" s="1" t="str">
        <f t="shared" si="39"/>
        <v>2024</v>
      </c>
      <c r="J434" t="b">
        <v>1</v>
      </c>
      <c r="K434" t="s">
        <v>2</v>
      </c>
      <c r="L434">
        <v>550</v>
      </c>
      <c r="M434">
        <v>44</v>
      </c>
      <c r="N434" t="str">
        <f t="shared" si="41"/>
        <v>Adults</v>
      </c>
      <c r="O434" t="s">
        <v>3</v>
      </c>
      <c r="P434" t="s">
        <v>9</v>
      </c>
    </row>
    <row r="435" spans="1:16" x14ac:dyDescent="0.25">
      <c r="A435">
        <v>7953160</v>
      </c>
      <c r="B435" t="s">
        <v>69</v>
      </c>
      <c r="C435" t="s">
        <v>85</v>
      </c>
      <c r="D435">
        <v>1</v>
      </c>
      <c r="E435" t="str">
        <f t="shared" si="36"/>
        <v>Poor</v>
      </c>
      <c r="F435" s="1">
        <v>45358.632638888892</v>
      </c>
      <c r="G435" s="1" t="str">
        <f t="shared" si="37"/>
        <v>Thursday</v>
      </c>
      <c r="H435" s="1" t="str">
        <f t="shared" si="38"/>
        <v>March</v>
      </c>
      <c r="I435" s="1" t="str">
        <f t="shared" si="39"/>
        <v>2024</v>
      </c>
      <c r="J435" t="b">
        <v>1</v>
      </c>
      <c r="K435" t="s">
        <v>58</v>
      </c>
      <c r="L435">
        <v>596</v>
      </c>
      <c r="M435">
        <v>50</v>
      </c>
      <c r="N435" t="str">
        <f t="shared" si="41"/>
        <v>Adults</v>
      </c>
      <c r="O435" t="s">
        <v>68</v>
      </c>
      <c r="P435" t="s">
        <v>4</v>
      </c>
    </row>
    <row r="436" spans="1:16" x14ac:dyDescent="0.25">
      <c r="A436">
        <v>7481800</v>
      </c>
      <c r="B436" t="s">
        <v>73</v>
      </c>
      <c r="C436" t="s">
        <v>31</v>
      </c>
      <c r="D436">
        <v>3.8</v>
      </c>
      <c r="E436" t="str">
        <f t="shared" si="36"/>
        <v>Very Good</v>
      </c>
      <c r="F436" s="1">
        <v>45504.129861111112</v>
      </c>
      <c r="G436" s="1" t="str">
        <f t="shared" si="37"/>
        <v>Wednesday</v>
      </c>
      <c r="H436" s="1" t="str">
        <f t="shared" si="38"/>
        <v>July</v>
      </c>
      <c r="I436" s="1" t="str">
        <f t="shared" si="39"/>
        <v>2024</v>
      </c>
      <c r="J436" t="b">
        <v>1</v>
      </c>
      <c r="K436" t="s">
        <v>2</v>
      </c>
      <c r="L436">
        <v>369</v>
      </c>
      <c r="M436">
        <v>47</v>
      </c>
      <c r="N436" t="str">
        <f t="shared" si="41"/>
        <v>Adults</v>
      </c>
      <c r="O436" t="s">
        <v>3</v>
      </c>
      <c r="P436" t="s">
        <v>4</v>
      </c>
    </row>
    <row r="437" spans="1:16" x14ac:dyDescent="0.25">
      <c r="A437">
        <v>1669976</v>
      </c>
      <c r="B437" t="s">
        <v>87</v>
      </c>
      <c r="C437" t="s">
        <v>29</v>
      </c>
      <c r="D437">
        <v>4.4000000000000004</v>
      </c>
      <c r="E437" t="str">
        <f t="shared" si="36"/>
        <v>Excellent</v>
      </c>
      <c r="F437" s="1">
        <v>45212.127083333333</v>
      </c>
      <c r="G437" s="1" t="str">
        <f t="shared" si="37"/>
        <v>Friday</v>
      </c>
      <c r="H437" s="1" t="str">
        <f t="shared" si="38"/>
        <v>October</v>
      </c>
      <c r="I437" s="1" t="str">
        <f t="shared" si="39"/>
        <v>2023</v>
      </c>
      <c r="J437" t="b">
        <v>1</v>
      </c>
      <c r="K437" t="s">
        <v>58</v>
      </c>
      <c r="L437">
        <v>232</v>
      </c>
      <c r="M437">
        <v>52</v>
      </c>
      <c r="N437" t="str">
        <f t="shared" si="41"/>
        <v>Adults</v>
      </c>
      <c r="O437" t="s">
        <v>27</v>
      </c>
      <c r="P437" t="s">
        <v>4</v>
      </c>
    </row>
    <row r="438" spans="1:16" x14ac:dyDescent="0.25">
      <c r="A438">
        <v>1879557</v>
      </c>
      <c r="B438" t="s">
        <v>76</v>
      </c>
      <c r="C438" t="s">
        <v>85</v>
      </c>
      <c r="D438">
        <v>4.5999999999999996</v>
      </c>
      <c r="E438" t="str">
        <f t="shared" si="36"/>
        <v>Excellent</v>
      </c>
      <c r="F438" s="1">
        <v>45788.977083333331</v>
      </c>
      <c r="G438" s="1" t="str">
        <f t="shared" si="37"/>
        <v>Sunday</v>
      </c>
      <c r="H438" s="1" t="str">
        <f t="shared" si="38"/>
        <v>May</v>
      </c>
      <c r="I438" s="1" t="str">
        <f t="shared" si="39"/>
        <v>2025</v>
      </c>
      <c r="J438" t="b">
        <v>1</v>
      </c>
      <c r="K438" t="s">
        <v>2</v>
      </c>
      <c r="L438">
        <v>373</v>
      </c>
      <c r="M438">
        <v>51</v>
      </c>
      <c r="N438" t="str">
        <f t="shared" si="41"/>
        <v>Adults</v>
      </c>
      <c r="O438" t="s">
        <v>86</v>
      </c>
      <c r="P438" t="s">
        <v>9</v>
      </c>
    </row>
    <row r="439" spans="1:16" x14ac:dyDescent="0.25">
      <c r="A439">
        <v>2679924</v>
      </c>
      <c r="B439" t="s">
        <v>79</v>
      </c>
      <c r="C439" t="s">
        <v>29</v>
      </c>
      <c r="D439">
        <v>2.6</v>
      </c>
      <c r="E439" t="str">
        <f t="shared" si="36"/>
        <v>Good</v>
      </c>
      <c r="F439" s="1">
        <v>45161.305555555555</v>
      </c>
      <c r="G439" s="1" t="str">
        <f t="shared" si="37"/>
        <v>Wednesday</v>
      </c>
      <c r="H439" s="1" t="str">
        <f t="shared" si="38"/>
        <v>August</v>
      </c>
      <c r="I439" s="1" t="str">
        <f t="shared" si="39"/>
        <v>2023</v>
      </c>
      <c r="J439" t="b">
        <v>1</v>
      </c>
      <c r="K439" t="s">
        <v>2</v>
      </c>
      <c r="L439">
        <v>561</v>
      </c>
      <c r="M439">
        <v>43</v>
      </c>
      <c r="N439" t="str">
        <f t="shared" si="41"/>
        <v>Adults</v>
      </c>
      <c r="O439" t="s">
        <v>44</v>
      </c>
      <c r="P439" t="s">
        <v>4</v>
      </c>
    </row>
    <row r="440" spans="1:16" x14ac:dyDescent="0.25">
      <c r="A440">
        <v>9648894</v>
      </c>
      <c r="B440" t="s">
        <v>74</v>
      </c>
      <c r="C440" t="s">
        <v>18</v>
      </c>
      <c r="D440">
        <v>3.3</v>
      </c>
      <c r="E440" t="str">
        <f t="shared" si="36"/>
        <v>Very Good</v>
      </c>
      <c r="F440" s="1">
        <v>45239.323611111111</v>
      </c>
      <c r="G440" s="1" t="str">
        <f t="shared" si="37"/>
        <v>Thursday</v>
      </c>
      <c r="H440" s="1" t="str">
        <f t="shared" si="38"/>
        <v>November</v>
      </c>
      <c r="I440" s="1" t="str">
        <f t="shared" si="39"/>
        <v>2023</v>
      </c>
      <c r="J440" t="b">
        <v>1</v>
      </c>
      <c r="K440" t="s">
        <v>58</v>
      </c>
      <c r="L440">
        <v>613</v>
      </c>
      <c r="M440">
        <v>28</v>
      </c>
      <c r="N440" t="str">
        <f t="shared" si="41"/>
        <v>Adults</v>
      </c>
      <c r="O440" t="s">
        <v>55</v>
      </c>
      <c r="P440" t="s">
        <v>9</v>
      </c>
    </row>
    <row r="441" spans="1:16" x14ac:dyDescent="0.25">
      <c r="A441">
        <v>8093331</v>
      </c>
      <c r="B441" t="s">
        <v>33</v>
      </c>
      <c r="C441" t="s">
        <v>29</v>
      </c>
      <c r="D441">
        <v>3.4</v>
      </c>
      <c r="E441" t="str">
        <f t="shared" si="36"/>
        <v>Very Good</v>
      </c>
      <c r="F441" s="1">
        <v>45347.411805555559</v>
      </c>
      <c r="G441" s="1" t="str">
        <f t="shared" si="37"/>
        <v>Sunday</v>
      </c>
      <c r="H441" s="1" t="str">
        <f t="shared" si="38"/>
        <v>February</v>
      </c>
      <c r="I441" s="1" t="str">
        <f t="shared" si="39"/>
        <v>2024</v>
      </c>
      <c r="J441" t="b">
        <v>1</v>
      </c>
      <c r="K441" t="s">
        <v>7</v>
      </c>
      <c r="L441">
        <v>369</v>
      </c>
      <c r="M441">
        <v>54</v>
      </c>
      <c r="N441" t="str">
        <f t="shared" si="41"/>
        <v>Adults</v>
      </c>
      <c r="O441" t="s">
        <v>66</v>
      </c>
      <c r="P441" t="s">
        <v>9</v>
      </c>
    </row>
    <row r="442" spans="1:16" x14ac:dyDescent="0.25">
      <c r="A442">
        <v>7197946</v>
      </c>
      <c r="B442" t="s">
        <v>17</v>
      </c>
      <c r="C442" t="s">
        <v>29</v>
      </c>
      <c r="D442">
        <v>1.5</v>
      </c>
      <c r="E442" t="str">
        <f t="shared" si="36"/>
        <v>Poor</v>
      </c>
      <c r="F442" s="1">
        <v>45208.955555555556</v>
      </c>
      <c r="G442" s="1" t="str">
        <f t="shared" si="37"/>
        <v>Monday</v>
      </c>
      <c r="H442" s="1" t="str">
        <f t="shared" si="38"/>
        <v>October</v>
      </c>
      <c r="I442" s="1" t="str">
        <f t="shared" si="39"/>
        <v>2023</v>
      </c>
      <c r="J442" t="b">
        <v>0</v>
      </c>
      <c r="K442" t="s">
        <v>2</v>
      </c>
      <c r="L442">
        <v>0</v>
      </c>
      <c r="M442">
        <v>29</v>
      </c>
      <c r="N442" t="str">
        <f t="shared" si="41"/>
        <v>Adults</v>
      </c>
      <c r="O442" t="s">
        <v>44</v>
      </c>
      <c r="P442" t="s">
        <v>9</v>
      </c>
    </row>
    <row r="443" spans="1:16" x14ac:dyDescent="0.25">
      <c r="A443">
        <v>7188983</v>
      </c>
      <c r="B443" t="s">
        <v>46</v>
      </c>
      <c r="C443" t="s">
        <v>26</v>
      </c>
      <c r="D443">
        <v>2</v>
      </c>
      <c r="E443" t="str">
        <f t="shared" si="36"/>
        <v>Good</v>
      </c>
      <c r="F443" s="1">
        <v>45254.304166666669</v>
      </c>
      <c r="G443" s="1" t="str">
        <f t="shared" si="37"/>
        <v>Friday</v>
      </c>
      <c r="H443" s="1" t="str">
        <f t="shared" si="38"/>
        <v>November</v>
      </c>
      <c r="I443" s="1" t="str">
        <f t="shared" si="39"/>
        <v>2023</v>
      </c>
      <c r="J443" t="b">
        <v>1</v>
      </c>
      <c r="K443" t="s">
        <v>15</v>
      </c>
      <c r="L443">
        <v>1103</v>
      </c>
      <c r="M443">
        <v>52</v>
      </c>
      <c r="N443" t="str">
        <f t="shared" si="41"/>
        <v>Adults</v>
      </c>
      <c r="O443" t="s">
        <v>39</v>
      </c>
      <c r="P443" t="s">
        <v>4</v>
      </c>
    </row>
    <row r="444" spans="1:16" x14ac:dyDescent="0.25">
      <c r="A444">
        <v>8876028</v>
      </c>
      <c r="B444" t="s">
        <v>64</v>
      </c>
      <c r="C444" t="s">
        <v>57</v>
      </c>
      <c r="D444">
        <v>1.8</v>
      </c>
      <c r="E444" t="str">
        <f t="shared" si="36"/>
        <v>Poor</v>
      </c>
      <c r="F444" s="1">
        <v>45471.106944444444</v>
      </c>
      <c r="G444" s="1" t="str">
        <f t="shared" si="37"/>
        <v>Friday</v>
      </c>
      <c r="H444" s="1" t="str">
        <f t="shared" si="38"/>
        <v>June</v>
      </c>
      <c r="I444" s="1" t="str">
        <f t="shared" si="39"/>
        <v>2024</v>
      </c>
      <c r="J444" t="b">
        <v>1</v>
      </c>
      <c r="K444" t="s">
        <v>2</v>
      </c>
      <c r="L444">
        <v>184</v>
      </c>
      <c r="M444">
        <v>41</v>
      </c>
      <c r="N444" t="str">
        <f t="shared" si="41"/>
        <v>Adults</v>
      </c>
      <c r="O444" t="s">
        <v>53</v>
      </c>
      <c r="P444" t="s">
        <v>4</v>
      </c>
    </row>
    <row r="445" spans="1:16" x14ac:dyDescent="0.25">
      <c r="A445">
        <v>9638446</v>
      </c>
      <c r="B445" t="s">
        <v>5</v>
      </c>
      <c r="C445" t="s">
        <v>1</v>
      </c>
      <c r="D445">
        <v>3.9</v>
      </c>
      <c r="E445" t="str">
        <f t="shared" si="36"/>
        <v>Very Good</v>
      </c>
      <c r="F445" s="1">
        <v>45535.512499999997</v>
      </c>
      <c r="G445" s="1" t="str">
        <f t="shared" si="37"/>
        <v>Saturday</v>
      </c>
      <c r="H445" s="1" t="str">
        <f t="shared" si="38"/>
        <v>August</v>
      </c>
      <c r="I445" s="1" t="str">
        <f t="shared" si="39"/>
        <v>2024</v>
      </c>
      <c r="J445" t="b">
        <v>1</v>
      </c>
      <c r="K445" t="s">
        <v>2</v>
      </c>
      <c r="L445">
        <v>714</v>
      </c>
      <c r="M445">
        <v>30</v>
      </c>
      <c r="N445" t="str">
        <f t="shared" si="41"/>
        <v>Adults</v>
      </c>
      <c r="O445" t="s">
        <v>65</v>
      </c>
      <c r="P445" t="s">
        <v>9</v>
      </c>
    </row>
    <row r="446" spans="1:16" x14ac:dyDescent="0.25">
      <c r="A446">
        <v>7733602</v>
      </c>
      <c r="B446" t="s">
        <v>78</v>
      </c>
      <c r="C446" t="s">
        <v>18</v>
      </c>
      <c r="D446">
        <v>1.7</v>
      </c>
      <c r="E446" t="str">
        <f t="shared" si="36"/>
        <v>Poor</v>
      </c>
      <c r="F446" s="1">
        <v>45727.132638888892</v>
      </c>
      <c r="G446" s="1" t="str">
        <f t="shared" si="37"/>
        <v>Tuesday</v>
      </c>
      <c r="H446" s="1" t="str">
        <f t="shared" si="38"/>
        <v>March</v>
      </c>
      <c r="I446" s="1" t="str">
        <f t="shared" si="39"/>
        <v>2025</v>
      </c>
      <c r="J446" t="b">
        <v>0</v>
      </c>
      <c r="K446" t="s">
        <v>7</v>
      </c>
      <c r="L446">
        <v>1097</v>
      </c>
      <c r="M446">
        <v>36</v>
      </c>
      <c r="N446" t="str">
        <f t="shared" si="41"/>
        <v>Adults</v>
      </c>
      <c r="O446" t="s">
        <v>27</v>
      </c>
      <c r="P446" t="s">
        <v>4</v>
      </c>
    </row>
    <row r="447" spans="1:16" x14ac:dyDescent="0.25">
      <c r="A447">
        <v>1883932</v>
      </c>
      <c r="B447" t="s">
        <v>23</v>
      </c>
      <c r="C447" t="s">
        <v>38</v>
      </c>
      <c r="D447">
        <v>2.6</v>
      </c>
      <c r="E447" t="str">
        <f t="shared" si="36"/>
        <v>Good</v>
      </c>
      <c r="F447" s="1">
        <v>45475.819444444445</v>
      </c>
      <c r="G447" s="1" t="str">
        <f t="shared" si="37"/>
        <v>Tuesday</v>
      </c>
      <c r="H447" s="1" t="str">
        <f t="shared" si="38"/>
        <v>July</v>
      </c>
      <c r="I447" s="1" t="str">
        <f t="shared" si="39"/>
        <v>2024</v>
      </c>
      <c r="J447" t="b">
        <v>1</v>
      </c>
      <c r="K447" t="s">
        <v>2</v>
      </c>
      <c r="L447">
        <v>68</v>
      </c>
      <c r="M447">
        <v>34</v>
      </c>
      <c r="N447" t="str">
        <f t="shared" si="41"/>
        <v>Adults</v>
      </c>
      <c r="O447" t="s">
        <v>16</v>
      </c>
      <c r="P447" t="s">
        <v>4</v>
      </c>
    </row>
    <row r="448" spans="1:16" x14ac:dyDescent="0.25">
      <c r="A448">
        <v>366510</v>
      </c>
      <c r="B448" t="s">
        <v>73</v>
      </c>
      <c r="C448" t="s">
        <v>26</v>
      </c>
      <c r="D448">
        <v>4</v>
      </c>
      <c r="E448" t="str">
        <f t="shared" si="36"/>
        <v>Very Good</v>
      </c>
      <c r="F448" s="1">
        <v>45679.502083333333</v>
      </c>
      <c r="G448" s="1" t="str">
        <f t="shared" si="37"/>
        <v>Wednesday</v>
      </c>
      <c r="H448" s="1" t="str">
        <f t="shared" si="38"/>
        <v>January</v>
      </c>
      <c r="I448" s="1" t="str">
        <f t="shared" si="39"/>
        <v>2025</v>
      </c>
      <c r="J448" t="b">
        <v>1</v>
      </c>
      <c r="K448" t="s">
        <v>21</v>
      </c>
      <c r="L448">
        <v>95</v>
      </c>
      <c r="M448">
        <v>37</v>
      </c>
      <c r="N448" t="str">
        <f t="shared" si="41"/>
        <v>Adults</v>
      </c>
      <c r="O448" t="s">
        <v>59</v>
      </c>
      <c r="P448" t="s">
        <v>4</v>
      </c>
    </row>
    <row r="449" spans="1:16" x14ac:dyDescent="0.25">
      <c r="A449">
        <v>549886</v>
      </c>
      <c r="B449" t="s">
        <v>73</v>
      </c>
      <c r="C449" t="s">
        <v>57</v>
      </c>
      <c r="D449">
        <v>4.4000000000000004</v>
      </c>
      <c r="E449" t="str">
        <f t="shared" si="36"/>
        <v>Excellent</v>
      </c>
      <c r="F449" s="1">
        <v>45684.602083333331</v>
      </c>
      <c r="G449" s="1" t="str">
        <f t="shared" si="37"/>
        <v>Monday</v>
      </c>
      <c r="H449" s="1" t="str">
        <f t="shared" si="38"/>
        <v>January</v>
      </c>
      <c r="I449" s="1" t="str">
        <f t="shared" si="39"/>
        <v>2025</v>
      </c>
      <c r="J449" t="b">
        <v>1</v>
      </c>
      <c r="K449" t="s">
        <v>7</v>
      </c>
      <c r="L449">
        <v>1169</v>
      </c>
      <c r="M449">
        <v>21</v>
      </c>
      <c r="N449" t="str">
        <f t="shared" si="41"/>
        <v>Adults</v>
      </c>
      <c r="O449" t="s">
        <v>81</v>
      </c>
      <c r="P449" t="s">
        <v>9</v>
      </c>
    </row>
    <row r="450" spans="1:16" x14ac:dyDescent="0.25">
      <c r="A450">
        <v>9382090</v>
      </c>
      <c r="B450" t="s">
        <v>25</v>
      </c>
      <c r="C450" t="s">
        <v>38</v>
      </c>
      <c r="D450">
        <v>3</v>
      </c>
      <c r="E450" t="str">
        <f t="shared" ref="E450:E513" si="42">IF(D450&lt;2,"Poor",IF(AND(D450&gt;=2,D450&lt;=3),"Good",IF(AND(D450&gt;3,D450&lt;=4),"Very Good",IF(D450&gt;4,"Excellent"))))</f>
        <v>Good</v>
      </c>
      <c r="F450" s="1">
        <v>45622.540972222225</v>
      </c>
      <c r="G450" s="1" t="str">
        <f t="shared" ref="G450:G513" si="43">TEXT(F450,"DDDD")</f>
        <v>Tuesday</v>
      </c>
      <c r="H450" s="1" t="str">
        <f t="shared" ref="H450:H513" si="44">TEXT(F450,"MMMM")</f>
        <v>November</v>
      </c>
      <c r="I450" s="1" t="str">
        <f t="shared" ref="I450:I513" si="45">TEXT(F450,"YYYY")</f>
        <v>2024</v>
      </c>
      <c r="J450" t="b">
        <v>0</v>
      </c>
      <c r="K450" t="s">
        <v>7</v>
      </c>
      <c r="L450">
        <v>3</v>
      </c>
      <c r="M450">
        <v>25</v>
      </c>
      <c r="N450" t="str">
        <f t="shared" si="41"/>
        <v>Adults</v>
      </c>
      <c r="O450" t="s">
        <v>42</v>
      </c>
      <c r="P450" t="s">
        <v>9</v>
      </c>
    </row>
    <row r="451" spans="1:16" x14ac:dyDescent="0.25">
      <c r="A451">
        <v>5917736</v>
      </c>
      <c r="B451" t="s">
        <v>46</v>
      </c>
      <c r="C451" t="s">
        <v>34</v>
      </c>
      <c r="D451">
        <v>3.6</v>
      </c>
      <c r="E451" t="str">
        <f t="shared" si="42"/>
        <v>Very Good</v>
      </c>
      <c r="F451" s="1">
        <v>45487.102777777778</v>
      </c>
      <c r="G451" s="1" t="str">
        <f t="shared" si="43"/>
        <v>Sunday</v>
      </c>
      <c r="H451" s="1" t="str">
        <f t="shared" si="44"/>
        <v>July</v>
      </c>
      <c r="I451" s="1" t="str">
        <f t="shared" si="45"/>
        <v>2024</v>
      </c>
      <c r="J451" t="b">
        <v>0</v>
      </c>
      <c r="K451" t="s">
        <v>58</v>
      </c>
      <c r="L451">
        <v>930</v>
      </c>
      <c r="M451">
        <v>23</v>
      </c>
      <c r="N451" t="str">
        <f t="shared" si="41"/>
        <v>Adults</v>
      </c>
      <c r="O451" t="s">
        <v>8</v>
      </c>
      <c r="P451" t="s">
        <v>4</v>
      </c>
    </row>
    <row r="452" spans="1:16" x14ac:dyDescent="0.25">
      <c r="A452">
        <v>4932019</v>
      </c>
      <c r="B452" t="s">
        <v>10</v>
      </c>
      <c r="C452" t="s">
        <v>11</v>
      </c>
      <c r="D452">
        <v>1.1000000000000001</v>
      </c>
      <c r="E452" t="str">
        <f t="shared" si="42"/>
        <v>Poor</v>
      </c>
      <c r="F452" s="1">
        <v>45702.940972222219</v>
      </c>
      <c r="G452" s="1" t="str">
        <f t="shared" si="43"/>
        <v>Friday</v>
      </c>
      <c r="H452" s="1" t="str">
        <f t="shared" si="44"/>
        <v>February</v>
      </c>
      <c r="I452" s="1" t="str">
        <f t="shared" si="45"/>
        <v>2025</v>
      </c>
      <c r="J452" t="b">
        <v>1</v>
      </c>
      <c r="K452" t="s">
        <v>15</v>
      </c>
      <c r="L452">
        <v>34</v>
      </c>
      <c r="M452">
        <v>28</v>
      </c>
      <c r="N452" t="str">
        <f t="shared" si="41"/>
        <v>Adults</v>
      </c>
      <c r="O452" t="s">
        <v>72</v>
      </c>
      <c r="P452" t="s">
        <v>9</v>
      </c>
    </row>
    <row r="453" spans="1:16" x14ac:dyDescent="0.25">
      <c r="A453">
        <v>7972548</v>
      </c>
      <c r="B453" t="s">
        <v>51</v>
      </c>
      <c r="C453" t="s">
        <v>63</v>
      </c>
      <c r="D453">
        <v>2</v>
      </c>
      <c r="E453" t="str">
        <f t="shared" si="42"/>
        <v>Good</v>
      </c>
      <c r="F453" s="1">
        <v>45405.95208333333</v>
      </c>
      <c r="G453" s="1" t="str">
        <f t="shared" si="43"/>
        <v>Tuesday</v>
      </c>
      <c r="H453" s="1" t="str">
        <f t="shared" si="44"/>
        <v>April</v>
      </c>
      <c r="I453" s="1" t="str">
        <f t="shared" si="45"/>
        <v>2024</v>
      </c>
      <c r="J453" t="b">
        <v>1</v>
      </c>
      <c r="K453" t="s">
        <v>21</v>
      </c>
      <c r="L453">
        <v>992</v>
      </c>
      <c r="M453">
        <v>70</v>
      </c>
      <c r="N453" t="str">
        <f t="shared" si="41"/>
        <v>Seniors</v>
      </c>
      <c r="O453" t="s">
        <v>66</v>
      </c>
      <c r="P453" t="s">
        <v>9</v>
      </c>
    </row>
    <row r="454" spans="1:16" x14ac:dyDescent="0.25">
      <c r="A454">
        <v>3994044</v>
      </c>
      <c r="B454" t="s">
        <v>67</v>
      </c>
      <c r="C454" t="s">
        <v>29</v>
      </c>
      <c r="D454">
        <v>4.8</v>
      </c>
      <c r="E454" t="str">
        <f t="shared" si="42"/>
        <v>Excellent</v>
      </c>
      <c r="F454" s="1">
        <v>45533.170138888891</v>
      </c>
      <c r="G454" s="1" t="str">
        <f t="shared" si="43"/>
        <v>Thursday</v>
      </c>
      <c r="H454" s="1" t="str">
        <f t="shared" si="44"/>
        <v>August</v>
      </c>
      <c r="I454" s="1" t="str">
        <f t="shared" si="45"/>
        <v>2024</v>
      </c>
      <c r="J454" t="b">
        <v>1</v>
      </c>
      <c r="K454" t="s">
        <v>2</v>
      </c>
      <c r="L454">
        <v>745</v>
      </c>
      <c r="M454">
        <v>28</v>
      </c>
      <c r="N454" t="str">
        <f t="shared" si="41"/>
        <v>Adults</v>
      </c>
      <c r="O454" t="s">
        <v>66</v>
      </c>
      <c r="P454" t="s">
        <v>4</v>
      </c>
    </row>
    <row r="455" spans="1:16" x14ac:dyDescent="0.25">
      <c r="A455">
        <v>636367</v>
      </c>
      <c r="B455" t="s">
        <v>54</v>
      </c>
      <c r="C455" t="s">
        <v>47</v>
      </c>
      <c r="D455">
        <v>1.2</v>
      </c>
      <c r="E455" t="str">
        <f t="shared" si="42"/>
        <v>Poor</v>
      </c>
      <c r="F455" s="1">
        <v>45765.55</v>
      </c>
      <c r="G455" s="1" t="str">
        <f t="shared" si="43"/>
        <v>Friday</v>
      </c>
      <c r="H455" s="1" t="str">
        <f t="shared" si="44"/>
        <v>April</v>
      </c>
      <c r="I455" s="1" t="str">
        <f t="shared" si="45"/>
        <v>2025</v>
      </c>
      <c r="J455" t="b">
        <v>1</v>
      </c>
      <c r="K455" t="s">
        <v>7</v>
      </c>
      <c r="L455">
        <v>1245</v>
      </c>
      <c r="M455">
        <v>65</v>
      </c>
      <c r="N455" t="str">
        <f t="shared" ref="N455:N486" si="46">IF(M455&lt;=17,"Teenagers", IF(AND(M455&gt;=18,M455&lt;61),"Adults",IF(M455&gt;60,"Seniors")))</f>
        <v>Seniors</v>
      </c>
      <c r="O455" t="s">
        <v>12</v>
      </c>
      <c r="P455" t="s">
        <v>9</v>
      </c>
    </row>
    <row r="456" spans="1:16" x14ac:dyDescent="0.25">
      <c r="A456">
        <v>5766248</v>
      </c>
      <c r="B456" t="s">
        <v>83</v>
      </c>
      <c r="C456" t="s">
        <v>20</v>
      </c>
      <c r="D456">
        <v>4.9000000000000004</v>
      </c>
      <c r="E456" t="str">
        <f t="shared" si="42"/>
        <v>Excellent</v>
      </c>
      <c r="F456" s="1">
        <v>45473.350694444445</v>
      </c>
      <c r="G456" s="1" t="str">
        <f t="shared" si="43"/>
        <v>Sunday</v>
      </c>
      <c r="H456" s="1" t="str">
        <f t="shared" si="44"/>
        <v>June</v>
      </c>
      <c r="I456" s="1" t="str">
        <f t="shared" si="45"/>
        <v>2024</v>
      </c>
      <c r="J456" t="b">
        <v>1</v>
      </c>
      <c r="K456" t="s">
        <v>2</v>
      </c>
      <c r="L456">
        <v>816</v>
      </c>
      <c r="M456">
        <v>22</v>
      </c>
      <c r="N456" t="str">
        <f t="shared" si="46"/>
        <v>Adults</v>
      </c>
      <c r="O456" t="s">
        <v>72</v>
      </c>
      <c r="P456" t="s">
        <v>9</v>
      </c>
    </row>
    <row r="457" spans="1:16" x14ac:dyDescent="0.25">
      <c r="A457">
        <v>883099</v>
      </c>
      <c r="B457" t="s">
        <v>25</v>
      </c>
      <c r="C457" t="s">
        <v>75</v>
      </c>
      <c r="D457">
        <v>4.2</v>
      </c>
      <c r="E457" t="str">
        <f t="shared" si="42"/>
        <v>Excellent</v>
      </c>
      <c r="F457" s="1">
        <v>45805.606944444444</v>
      </c>
      <c r="G457" s="1" t="str">
        <f t="shared" si="43"/>
        <v>Wednesday</v>
      </c>
      <c r="H457" s="1" t="str">
        <f t="shared" si="44"/>
        <v>May</v>
      </c>
      <c r="I457" s="1" t="str">
        <f t="shared" si="45"/>
        <v>2025</v>
      </c>
      <c r="J457" t="b">
        <v>1</v>
      </c>
      <c r="K457" t="s">
        <v>7</v>
      </c>
      <c r="L457">
        <v>1005</v>
      </c>
      <c r="M457">
        <v>29</v>
      </c>
      <c r="N457" t="str">
        <f t="shared" si="46"/>
        <v>Adults</v>
      </c>
      <c r="O457" t="s">
        <v>48</v>
      </c>
      <c r="P457" t="s">
        <v>4</v>
      </c>
    </row>
    <row r="458" spans="1:16" x14ac:dyDescent="0.25">
      <c r="A458">
        <v>9536728</v>
      </c>
      <c r="B458" t="s">
        <v>76</v>
      </c>
      <c r="C458" t="s">
        <v>1</v>
      </c>
      <c r="D458">
        <v>3</v>
      </c>
      <c r="E458" t="str">
        <f t="shared" si="42"/>
        <v>Good</v>
      </c>
      <c r="F458" s="1">
        <v>45171.476388888892</v>
      </c>
      <c r="G458" s="1" t="str">
        <f t="shared" si="43"/>
        <v>Saturday</v>
      </c>
      <c r="H458" s="1" t="str">
        <f t="shared" si="44"/>
        <v>September</v>
      </c>
      <c r="I458" s="1" t="str">
        <f t="shared" si="45"/>
        <v>2023</v>
      </c>
      <c r="J458" t="b">
        <v>1</v>
      </c>
      <c r="K458" t="s">
        <v>7</v>
      </c>
      <c r="L458">
        <v>127</v>
      </c>
      <c r="M458">
        <v>27</v>
      </c>
      <c r="N458" t="str">
        <f t="shared" si="46"/>
        <v>Adults</v>
      </c>
      <c r="O458" t="s">
        <v>53</v>
      </c>
      <c r="P458" t="s">
        <v>9</v>
      </c>
    </row>
    <row r="459" spans="1:16" x14ac:dyDescent="0.25">
      <c r="A459">
        <v>210521</v>
      </c>
      <c r="B459" t="s">
        <v>46</v>
      </c>
      <c r="C459" t="s">
        <v>6</v>
      </c>
      <c r="D459">
        <v>4.9000000000000004</v>
      </c>
      <c r="E459" t="str">
        <f t="shared" si="42"/>
        <v>Excellent</v>
      </c>
      <c r="F459" s="1">
        <v>45329.42083333333</v>
      </c>
      <c r="G459" s="1" t="str">
        <f t="shared" si="43"/>
        <v>Wednesday</v>
      </c>
      <c r="H459" s="1" t="str">
        <f t="shared" si="44"/>
        <v>February</v>
      </c>
      <c r="I459" s="1" t="str">
        <f t="shared" si="45"/>
        <v>2024</v>
      </c>
      <c r="J459" t="b">
        <v>1</v>
      </c>
      <c r="K459" t="s">
        <v>58</v>
      </c>
      <c r="L459">
        <v>910</v>
      </c>
      <c r="M459">
        <v>47</v>
      </c>
      <c r="N459" t="str">
        <f t="shared" si="46"/>
        <v>Adults</v>
      </c>
      <c r="O459" t="s">
        <v>22</v>
      </c>
      <c r="P459" t="s">
        <v>9</v>
      </c>
    </row>
    <row r="460" spans="1:16" x14ac:dyDescent="0.25">
      <c r="A460">
        <v>2643614</v>
      </c>
      <c r="B460" t="s">
        <v>45</v>
      </c>
      <c r="C460" t="s">
        <v>75</v>
      </c>
      <c r="D460">
        <v>1.7</v>
      </c>
      <c r="E460" t="str">
        <f t="shared" si="42"/>
        <v>Poor</v>
      </c>
      <c r="F460" s="1">
        <v>45723.910416666666</v>
      </c>
      <c r="G460" s="1" t="str">
        <f t="shared" si="43"/>
        <v>Friday</v>
      </c>
      <c r="H460" s="1" t="str">
        <f t="shared" si="44"/>
        <v>March</v>
      </c>
      <c r="I460" s="1" t="str">
        <f t="shared" si="45"/>
        <v>2025</v>
      </c>
      <c r="J460" t="b">
        <v>0</v>
      </c>
      <c r="K460" t="s">
        <v>58</v>
      </c>
      <c r="L460">
        <v>1227</v>
      </c>
      <c r="M460">
        <v>57</v>
      </c>
      <c r="N460" t="str">
        <f t="shared" si="46"/>
        <v>Adults</v>
      </c>
      <c r="O460" t="s">
        <v>72</v>
      </c>
      <c r="P460" t="s">
        <v>9</v>
      </c>
    </row>
    <row r="461" spans="1:16" x14ac:dyDescent="0.25">
      <c r="A461">
        <v>2542499</v>
      </c>
      <c r="B461" t="s">
        <v>33</v>
      </c>
      <c r="C461" t="s">
        <v>1</v>
      </c>
      <c r="D461">
        <v>4.2</v>
      </c>
      <c r="E461" t="str">
        <f t="shared" si="42"/>
        <v>Excellent</v>
      </c>
      <c r="F461" s="1">
        <v>45737.072222222225</v>
      </c>
      <c r="G461" s="1" t="str">
        <f t="shared" si="43"/>
        <v>Friday</v>
      </c>
      <c r="H461" s="1" t="str">
        <f t="shared" si="44"/>
        <v>March</v>
      </c>
      <c r="I461" s="1" t="str">
        <f t="shared" si="45"/>
        <v>2025</v>
      </c>
      <c r="J461" t="b">
        <v>1</v>
      </c>
      <c r="K461" t="s">
        <v>15</v>
      </c>
      <c r="L461">
        <v>59</v>
      </c>
      <c r="M461">
        <v>22</v>
      </c>
      <c r="N461" t="str">
        <f t="shared" si="46"/>
        <v>Adults</v>
      </c>
      <c r="O461" t="s">
        <v>77</v>
      </c>
      <c r="P461" t="s">
        <v>4</v>
      </c>
    </row>
    <row r="462" spans="1:16" x14ac:dyDescent="0.25">
      <c r="A462">
        <v>8779670</v>
      </c>
      <c r="B462" t="s">
        <v>88</v>
      </c>
      <c r="C462" t="s">
        <v>34</v>
      </c>
      <c r="D462">
        <v>1.2</v>
      </c>
      <c r="E462" t="str">
        <f t="shared" si="42"/>
        <v>Poor</v>
      </c>
      <c r="F462" s="1">
        <v>45192.92291666667</v>
      </c>
      <c r="G462" s="1" t="str">
        <f t="shared" si="43"/>
        <v>Saturday</v>
      </c>
      <c r="H462" s="1" t="str">
        <f t="shared" si="44"/>
        <v>September</v>
      </c>
      <c r="I462" s="1" t="str">
        <f t="shared" si="45"/>
        <v>2023</v>
      </c>
      <c r="J462" t="b">
        <v>1</v>
      </c>
      <c r="K462" t="s">
        <v>21</v>
      </c>
      <c r="L462">
        <v>1092</v>
      </c>
      <c r="M462">
        <v>40</v>
      </c>
      <c r="N462" t="str">
        <f t="shared" si="46"/>
        <v>Adults</v>
      </c>
      <c r="O462" t="s">
        <v>16</v>
      </c>
      <c r="P462" t="s">
        <v>4</v>
      </c>
    </row>
    <row r="463" spans="1:16" x14ac:dyDescent="0.25">
      <c r="A463">
        <v>5362932</v>
      </c>
      <c r="B463" t="s">
        <v>5</v>
      </c>
      <c r="C463" t="s">
        <v>11</v>
      </c>
      <c r="D463">
        <v>1.1000000000000001</v>
      </c>
      <c r="E463" t="str">
        <f t="shared" si="42"/>
        <v>Poor</v>
      </c>
      <c r="F463" s="1">
        <v>45822.297222222223</v>
      </c>
      <c r="G463" s="1" t="str">
        <f t="shared" si="43"/>
        <v>Saturday</v>
      </c>
      <c r="H463" s="1" t="str">
        <f t="shared" si="44"/>
        <v>June</v>
      </c>
      <c r="I463" s="1" t="str">
        <f t="shared" si="45"/>
        <v>2025</v>
      </c>
      <c r="J463" t="b">
        <v>1</v>
      </c>
      <c r="K463" t="s">
        <v>58</v>
      </c>
      <c r="L463">
        <v>606</v>
      </c>
      <c r="M463">
        <v>41</v>
      </c>
      <c r="N463" t="str">
        <f t="shared" si="46"/>
        <v>Adults</v>
      </c>
      <c r="O463" t="s">
        <v>24</v>
      </c>
      <c r="P463" t="s">
        <v>4</v>
      </c>
    </row>
    <row r="464" spans="1:16" x14ac:dyDescent="0.25">
      <c r="A464">
        <v>8090200</v>
      </c>
      <c r="B464" t="s">
        <v>70</v>
      </c>
      <c r="C464" t="s">
        <v>29</v>
      </c>
      <c r="D464">
        <v>4.4000000000000004</v>
      </c>
      <c r="E464" t="str">
        <f t="shared" si="42"/>
        <v>Excellent</v>
      </c>
      <c r="F464" s="1">
        <v>45305.706250000003</v>
      </c>
      <c r="G464" s="1" t="str">
        <f t="shared" si="43"/>
        <v>Sunday</v>
      </c>
      <c r="H464" s="1" t="str">
        <f t="shared" si="44"/>
        <v>January</v>
      </c>
      <c r="I464" s="1" t="str">
        <f t="shared" si="45"/>
        <v>2024</v>
      </c>
      <c r="J464" t="b">
        <v>1</v>
      </c>
      <c r="K464" t="s">
        <v>15</v>
      </c>
      <c r="L464">
        <v>1236</v>
      </c>
      <c r="M464">
        <v>57</v>
      </c>
      <c r="N464" t="str">
        <f t="shared" si="46"/>
        <v>Adults</v>
      </c>
      <c r="O464" t="s">
        <v>59</v>
      </c>
      <c r="P464" t="s">
        <v>4</v>
      </c>
    </row>
    <row r="465" spans="1:16" x14ac:dyDescent="0.25">
      <c r="A465">
        <v>8232997</v>
      </c>
      <c r="B465" t="s">
        <v>23</v>
      </c>
      <c r="C465" t="s">
        <v>20</v>
      </c>
      <c r="D465">
        <v>5</v>
      </c>
      <c r="E465" t="str">
        <f t="shared" si="42"/>
        <v>Excellent</v>
      </c>
      <c r="F465" s="1">
        <v>45691.245138888888</v>
      </c>
      <c r="G465" s="1" t="str">
        <f t="shared" si="43"/>
        <v>Monday</v>
      </c>
      <c r="H465" s="1" t="str">
        <f t="shared" si="44"/>
        <v>February</v>
      </c>
      <c r="I465" s="1" t="str">
        <f t="shared" si="45"/>
        <v>2025</v>
      </c>
      <c r="J465" t="b">
        <v>1</v>
      </c>
      <c r="K465" t="s">
        <v>58</v>
      </c>
      <c r="L465">
        <v>866</v>
      </c>
      <c r="M465">
        <v>52</v>
      </c>
      <c r="N465" t="str">
        <f t="shared" si="46"/>
        <v>Adults</v>
      </c>
      <c r="O465" t="s">
        <v>68</v>
      </c>
      <c r="P465" t="s">
        <v>4</v>
      </c>
    </row>
    <row r="466" spans="1:16" x14ac:dyDescent="0.25">
      <c r="A466">
        <v>8977514</v>
      </c>
      <c r="B466" t="s">
        <v>71</v>
      </c>
      <c r="C466" t="s">
        <v>14</v>
      </c>
      <c r="D466">
        <v>4.9000000000000004</v>
      </c>
      <c r="E466" t="str">
        <f t="shared" si="42"/>
        <v>Excellent</v>
      </c>
      <c r="F466" s="1">
        <v>45230.576388888891</v>
      </c>
      <c r="G466" s="1" t="str">
        <f t="shared" si="43"/>
        <v>Tuesday</v>
      </c>
      <c r="H466" s="1" t="str">
        <f t="shared" si="44"/>
        <v>October</v>
      </c>
      <c r="I466" s="1" t="str">
        <f t="shared" si="45"/>
        <v>2023</v>
      </c>
      <c r="J466" t="b">
        <v>0</v>
      </c>
      <c r="K466" t="s">
        <v>15</v>
      </c>
      <c r="L466">
        <v>316</v>
      </c>
      <c r="M466">
        <v>24</v>
      </c>
      <c r="N466" t="str">
        <f t="shared" si="46"/>
        <v>Adults</v>
      </c>
      <c r="O466" t="s">
        <v>53</v>
      </c>
      <c r="P466" t="s">
        <v>4</v>
      </c>
    </row>
    <row r="467" spans="1:16" x14ac:dyDescent="0.25">
      <c r="A467">
        <v>3667549</v>
      </c>
      <c r="B467" t="s">
        <v>5</v>
      </c>
      <c r="C467" t="s">
        <v>57</v>
      </c>
      <c r="D467">
        <v>1.8</v>
      </c>
      <c r="E467" t="str">
        <f t="shared" si="42"/>
        <v>Poor</v>
      </c>
      <c r="F467" s="1">
        <v>45375.720138888886</v>
      </c>
      <c r="G467" s="1" t="str">
        <f t="shared" si="43"/>
        <v>Sunday</v>
      </c>
      <c r="H467" s="1" t="str">
        <f t="shared" si="44"/>
        <v>March</v>
      </c>
      <c r="I467" s="1" t="str">
        <f t="shared" si="45"/>
        <v>2024</v>
      </c>
      <c r="J467" t="b">
        <v>1</v>
      </c>
      <c r="K467" t="s">
        <v>7</v>
      </c>
      <c r="L467">
        <v>107</v>
      </c>
      <c r="M467">
        <v>28</v>
      </c>
      <c r="N467" t="str">
        <f t="shared" si="46"/>
        <v>Adults</v>
      </c>
      <c r="O467" t="s">
        <v>8</v>
      </c>
      <c r="P467" t="s">
        <v>9</v>
      </c>
    </row>
    <row r="468" spans="1:16" x14ac:dyDescent="0.25">
      <c r="A468">
        <v>849647</v>
      </c>
      <c r="B468" t="s">
        <v>78</v>
      </c>
      <c r="C468" t="s">
        <v>29</v>
      </c>
      <c r="D468">
        <v>4.4000000000000004</v>
      </c>
      <c r="E468" t="str">
        <f t="shared" si="42"/>
        <v>Excellent</v>
      </c>
      <c r="F468" s="1">
        <v>45624.151388888888</v>
      </c>
      <c r="G468" s="1" t="str">
        <f t="shared" si="43"/>
        <v>Thursday</v>
      </c>
      <c r="H468" s="1" t="str">
        <f t="shared" si="44"/>
        <v>November</v>
      </c>
      <c r="I468" s="1" t="str">
        <f t="shared" si="45"/>
        <v>2024</v>
      </c>
      <c r="J468" t="b">
        <v>0</v>
      </c>
      <c r="K468" t="s">
        <v>2</v>
      </c>
      <c r="L468">
        <v>537</v>
      </c>
      <c r="M468">
        <v>73</v>
      </c>
      <c r="N468" t="str">
        <f t="shared" si="46"/>
        <v>Seniors</v>
      </c>
      <c r="O468" t="s">
        <v>53</v>
      </c>
      <c r="P468" t="s">
        <v>9</v>
      </c>
    </row>
    <row r="469" spans="1:16" x14ac:dyDescent="0.25">
      <c r="A469">
        <v>987084</v>
      </c>
      <c r="B469" t="s">
        <v>56</v>
      </c>
      <c r="C469" t="s">
        <v>85</v>
      </c>
      <c r="D469">
        <v>1.9</v>
      </c>
      <c r="E469" t="str">
        <f t="shared" si="42"/>
        <v>Poor</v>
      </c>
      <c r="F469" s="1">
        <v>45581.8</v>
      </c>
      <c r="G469" s="1" t="str">
        <f t="shared" si="43"/>
        <v>Wednesday</v>
      </c>
      <c r="H469" s="1" t="str">
        <f t="shared" si="44"/>
        <v>October</v>
      </c>
      <c r="I469" s="1" t="str">
        <f t="shared" si="45"/>
        <v>2024</v>
      </c>
      <c r="J469" t="b">
        <v>1</v>
      </c>
      <c r="K469" t="s">
        <v>21</v>
      </c>
      <c r="L469">
        <v>526</v>
      </c>
      <c r="M469">
        <v>70</v>
      </c>
      <c r="N469" t="str">
        <f t="shared" si="46"/>
        <v>Seniors</v>
      </c>
      <c r="O469" t="s">
        <v>8</v>
      </c>
      <c r="P469" t="s">
        <v>9</v>
      </c>
    </row>
    <row r="470" spans="1:16" x14ac:dyDescent="0.25">
      <c r="A470">
        <v>3277535</v>
      </c>
      <c r="B470" t="s">
        <v>89</v>
      </c>
      <c r="C470" t="s">
        <v>1</v>
      </c>
      <c r="D470">
        <v>3.8</v>
      </c>
      <c r="E470" t="str">
        <f t="shared" si="42"/>
        <v>Very Good</v>
      </c>
      <c r="F470" s="1">
        <v>45721.854166666664</v>
      </c>
      <c r="G470" s="1" t="str">
        <f t="shared" si="43"/>
        <v>Wednesday</v>
      </c>
      <c r="H470" s="1" t="str">
        <f t="shared" si="44"/>
        <v>March</v>
      </c>
      <c r="I470" s="1" t="str">
        <f t="shared" si="45"/>
        <v>2025</v>
      </c>
      <c r="J470" t="b">
        <v>1</v>
      </c>
      <c r="K470" t="s">
        <v>15</v>
      </c>
      <c r="L470">
        <v>922</v>
      </c>
      <c r="M470">
        <v>40</v>
      </c>
      <c r="N470" t="str">
        <f t="shared" si="46"/>
        <v>Adults</v>
      </c>
      <c r="O470" t="s">
        <v>27</v>
      </c>
      <c r="P470" t="s">
        <v>4</v>
      </c>
    </row>
    <row r="471" spans="1:16" x14ac:dyDescent="0.25">
      <c r="A471">
        <v>8532879</v>
      </c>
      <c r="B471" t="s">
        <v>35</v>
      </c>
      <c r="C471" t="s">
        <v>43</v>
      </c>
      <c r="D471">
        <v>4.4000000000000004</v>
      </c>
      <c r="E471" t="str">
        <f t="shared" si="42"/>
        <v>Excellent</v>
      </c>
      <c r="F471" s="1">
        <v>45790.484027777777</v>
      </c>
      <c r="G471" s="1" t="str">
        <f t="shared" si="43"/>
        <v>Tuesday</v>
      </c>
      <c r="H471" s="1" t="str">
        <f t="shared" si="44"/>
        <v>May</v>
      </c>
      <c r="I471" s="1" t="str">
        <f t="shared" si="45"/>
        <v>2025</v>
      </c>
      <c r="J471" t="b">
        <v>1</v>
      </c>
      <c r="K471" t="s">
        <v>21</v>
      </c>
      <c r="L471">
        <v>1077</v>
      </c>
      <c r="M471">
        <v>22</v>
      </c>
      <c r="N471" t="str">
        <f t="shared" si="46"/>
        <v>Adults</v>
      </c>
      <c r="O471" t="s">
        <v>81</v>
      </c>
      <c r="P471" t="s">
        <v>4</v>
      </c>
    </row>
    <row r="472" spans="1:16" x14ac:dyDescent="0.25">
      <c r="A472">
        <v>4021514</v>
      </c>
      <c r="B472" t="s">
        <v>33</v>
      </c>
      <c r="C472" t="s">
        <v>75</v>
      </c>
      <c r="D472">
        <v>1.3</v>
      </c>
      <c r="E472" t="str">
        <f t="shared" si="42"/>
        <v>Poor</v>
      </c>
      <c r="F472" s="1">
        <v>45330.197222222225</v>
      </c>
      <c r="G472" s="1" t="str">
        <f t="shared" si="43"/>
        <v>Thursday</v>
      </c>
      <c r="H472" s="1" t="str">
        <f t="shared" si="44"/>
        <v>February</v>
      </c>
      <c r="I472" s="1" t="str">
        <f t="shared" si="45"/>
        <v>2024</v>
      </c>
      <c r="J472" t="b">
        <v>0</v>
      </c>
      <c r="K472" t="s">
        <v>58</v>
      </c>
      <c r="L472">
        <v>502</v>
      </c>
      <c r="M472">
        <v>39</v>
      </c>
      <c r="N472" t="str">
        <f t="shared" si="46"/>
        <v>Adults</v>
      </c>
      <c r="O472" t="s">
        <v>68</v>
      </c>
      <c r="P472" t="s">
        <v>9</v>
      </c>
    </row>
    <row r="473" spans="1:16" x14ac:dyDescent="0.25">
      <c r="A473">
        <v>9406446</v>
      </c>
      <c r="B473" t="s">
        <v>5</v>
      </c>
      <c r="C473" t="s">
        <v>38</v>
      </c>
      <c r="D473">
        <v>1.1000000000000001</v>
      </c>
      <c r="E473" t="str">
        <f t="shared" si="42"/>
        <v>Poor</v>
      </c>
      <c r="F473" s="1">
        <v>45644.952777777777</v>
      </c>
      <c r="G473" s="1" t="str">
        <f t="shared" si="43"/>
        <v>Wednesday</v>
      </c>
      <c r="H473" s="1" t="str">
        <f t="shared" si="44"/>
        <v>December</v>
      </c>
      <c r="I473" s="1" t="str">
        <f t="shared" si="45"/>
        <v>2024</v>
      </c>
      <c r="J473" t="b">
        <v>1</v>
      </c>
      <c r="K473" t="s">
        <v>21</v>
      </c>
      <c r="L473">
        <v>569</v>
      </c>
      <c r="M473">
        <v>60</v>
      </c>
      <c r="N473" t="str">
        <f t="shared" si="46"/>
        <v>Adults</v>
      </c>
      <c r="O473" t="s">
        <v>3</v>
      </c>
      <c r="P473" t="s">
        <v>4</v>
      </c>
    </row>
    <row r="474" spans="1:16" x14ac:dyDescent="0.25">
      <c r="A474">
        <v>4788532</v>
      </c>
      <c r="B474" t="s">
        <v>71</v>
      </c>
      <c r="C474" t="s">
        <v>18</v>
      </c>
      <c r="D474">
        <v>2</v>
      </c>
      <c r="E474" t="str">
        <f t="shared" si="42"/>
        <v>Good</v>
      </c>
      <c r="F474" s="1">
        <v>45821.057638888888</v>
      </c>
      <c r="G474" s="1" t="str">
        <f t="shared" si="43"/>
        <v>Friday</v>
      </c>
      <c r="H474" s="1" t="str">
        <f t="shared" si="44"/>
        <v>June</v>
      </c>
      <c r="I474" s="1" t="str">
        <f t="shared" si="45"/>
        <v>2025</v>
      </c>
      <c r="J474" t="b">
        <v>1</v>
      </c>
      <c r="K474" t="s">
        <v>15</v>
      </c>
      <c r="L474">
        <v>344</v>
      </c>
      <c r="M474">
        <v>75</v>
      </c>
      <c r="N474" t="str">
        <f t="shared" si="46"/>
        <v>Seniors</v>
      </c>
      <c r="O474" t="s">
        <v>53</v>
      </c>
      <c r="P474" t="s">
        <v>9</v>
      </c>
    </row>
    <row r="475" spans="1:16" x14ac:dyDescent="0.25">
      <c r="A475">
        <v>3637478</v>
      </c>
      <c r="B475" t="s">
        <v>80</v>
      </c>
      <c r="C475" t="s">
        <v>34</v>
      </c>
      <c r="D475">
        <v>3.8</v>
      </c>
      <c r="E475" t="str">
        <f t="shared" si="42"/>
        <v>Very Good</v>
      </c>
      <c r="F475" s="1">
        <v>45613.025000000001</v>
      </c>
      <c r="G475" s="1" t="str">
        <f t="shared" si="43"/>
        <v>Sunday</v>
      </c>
      <c r="H475" s="1" t="str">
        <f t="shared" si="44"/>
        <v>November</v>
      </c>
      <c r="I475" s="1" t="str">
        <f t="shared" si="45"/>
        <v>2024</v>
      </c>
      <c r="J475" t="b">
        <v>1</v>
      </c>
      <c r="K475" t="s">
        <v>2</v>
      </c>
      <c r="L475">
        <v>825</v>
      </c>
      <c r="M475">
        <v>24</v>
      </c>
      <c r="N475" t="str">
        <f t="shared" si="46"/>
        <v>Adults</v>
      </c>
      <c r="O475" t="s">
        <v>19</v>
      </c>
      <c r="P475" t="s">
        <v>4</v>
      </c>
    </row>
    <row r="476" spans="1:16" x14ac:dyDescent="0.25">
      <c r="A476">
        <v>3810242</v>
      </c>
      <c r="B476" t="s">
        <v>69</v>
      </c>
      <c r="C476" t="s">
        <v>18</v>
      </c>
      <c r="D476">
        <v>4.2</v>
      </c>
      <c r="E476" t="str">
        <f t="shared" si="42"/>
        <v>Excellent</v>
      </c>
      <c r="F476" s="1">
        <v>45320.831250000003</v>
      </c>
      <c r="G476" s="1" t="str">
        <f t="shared" si="43"/>
        <v>Monday</v>
      </c>
      <c r="H476" s="1" t="str">
        <f t="shared" si="44"/>
        <v>January</v>
      </c>
      <c r="I476" s="1" t="str">
        <f t="shared" si="45"/>
        <v>2024</v>
      </c>
      <c r="J476" t="b">
        <v>1</v>
      </c>
      <c r="K476" t="s">
        <v>21</v>
      </c>
      <c r="L476">
        <v>792</v>
      </c>
      <c r="M476">
        <v>67</v>
      </c>
      <c r="N476" t="str">
        <f t="shared" si="46"/>
        <v>Seniors</v>
      </c>
      <c r="O476" t="s">
        <v>24</v>
      </c>
      <c r="P476" t="s">
        <v>9</v>
      </c>
    </row>
    <row r="477" spans="1:16" x14ac:dyDescent="0.25">
      <c r="A477">
        <v>8368447</v>
      </c>
      <c r="B477" t="s">
        <v>78</v>
      </c>
      <c r="C477" t="s">
        <v>43</v>
      </c>
      <c r="D477">
        <v>2.8</v>
      </c>
      <c r="E477" t="str">
        <f t="shared" si="42"/>
        <v>Good</v>
      </c>
      <c r="F477" s="1">
        <v>45841.429861111108</v>
      </c>
      <c r="G477" s="1" t="str">
        <f t="shared" si="43"/>
        <v>Thursday</v>
      </c>
      <c r="H477" s="1" t="str">
        <f t="shared" si="44"/>
        <v>July</v>
      </c>
      <c r="I477" s="1" t="str">
        <f t="shared" si="45"/>
        <v>2025</v>
      </c>
      <c r="J477" t="b">
        <v>0</v>
      </c>
      <c r="K477" t="s">
        <v>21</v>
      </c>
      <c r="L477">
        <v>847</v>
      </c>
      <c r="M477">
        <v>68</v>
      </c>
      <c r="N477" t="str">
        <f t="shared" si="46"/>
        <v>Seniors</v>
      </c>
      <c r="O477" t="s">
        <v>50</v>
      </c>
      <c r="P477" t="s">
        <v>4</v>
      </c>
    </row>
    <row r="478" spans="1:16" x14ac:dyDescent="0.25">
      <c r="A478">
        <v>9590989</v>
      </c>
      <c r="B478" t="s">
        <v>84</v>
      </c>
      <c r="C478" t="s">
        <v>36</v>
      </c>
      <c r="D478">
        <v>2.8</v>
      </c>
      <c r="E478" t="str">
        <f t="shared" si="42"/>
        <v>Good</v>
      </c>
      <c r="F478" s="1">
        <v>45660.972222222219</v>
      </c>
      <c r="G478" s="1" t="str">
        <f t="shared" si="43"/>
        <v>Friday</v>
      </c>
      <c r="H478" s="1" t="str">
        <f t="shared" si="44"/>
        <v>January</v>
      </c>
      <c r="I478" s="1" t="str">
        <f t="shared" si="45"/>
        <v>2025</v>
      </c>
      <c r="J478" t="b">
        <v>0</v>
      </c>
      <c r="K478" t="s">
        <v>15</v>
      </c>
      <c r="L478">
        <v>1231</v>
      </c>
      <c r="M478">
        <v>71</v>
      </c>
      <c r="N478" t="str">
        <f t="shared" si="46"/>
        <v>Seniors</v>
      </c>
      <c r="O478" t="s">
        <v>37</v>
      </c>
      <c r="P478" t="s">
        <v>4</v>
      </c>
    </row>
    <row r="479" spans="1:16" x14ac:dyDescent="0.25">
      <c r="A479">
        <v>9581479</v>
      </c>
      <c r="B479" t="s">
        <v>64</v>
      </c>
      <c r="C479" t="s">
        <v>38</v>
      </c>
      <c r="D479">
        <v>1.7</v>
      </c>
      <c r="E479" t="str">
        <f t="shared" si="42"/>
        <v>Poor</v>
      </c>
      <c r="F479" s="1">
        <v>45275.215277777781</v>
      </c>
      <c r="G479" s="1" t="str">
        <f t="shared" si="43"/>
        <v>Friday</v>
      </c>
      <c r="H479" s="1" t="str">
        <f t="shared" si="44"/>
        <v>December</v>
      </c>
      <c r="I479" s="1" t="str">
        <f t="shared" si="45"/>
        <v>2023</v>
      </c>
      <c r="J479" t="b">
        <v>1</v>
      </c>
      <c r="K479" t="s">
        <v>15</v>
      </c>
      <c r="L479">
        <v>464</v>
      </c>
      <c r="M479">
        <v>24</v>
      </c>
      <c r="N479" t="str">
        <f t="shared" si="46"/>
        <v>Adults</v>
      </c>
      <c r="O479" t="s">
        <v>65</v>
      </c>
      <c r="P479" t="s">
        <v>9</v>
      </c>
    </row>
    <row r="480" spans="1:16" x14ac:dyDescent="0.25">
      <c r="A480">
        <v>9967764</v>
      </c>
      <c r="B480" t="s">
        <v>51</v>
      </c>
      <c r="C480" t="s">
        <v>31</v>
      </c>
      <c r="D480">
        <v>4.2</v>
      </c>
      <c r="E480" t="str">
        <f t="shared" si="42"/>
        <v>Excellent</v>
      </c>
      <c r="F480" s="1">
        <v>45667.577777777777</v>
      </c>
      <c r="G480" s="1" t="str">
        <f t="shared" si="43"/>
        <v>Friday</v>
      </c>
      <c r="H480" s="1" t="str">
        <f t="shared" si="44"/>
        <v>January</v>
      </c>
      <c r="I480" s="1" t="str">
        <f t="shared" si="45"/>
        <v>2025</v>
      </c>
      <c r="J480" t="b">
        <v>1</v>
      </c>
      <c r="K480" t="s">
        <v>2</v>
      </c>
      <c r="L480">
        <v>521</v>
      </c>
      <c r="M480">
        <v>37</v>
      </c>
      <c r="N480" t="str">
        <f t="shared" si="46"/>
        <v>Adults</v>
      </c>
      <c r="O480" t="s">
        <v>39</v>
      </c>
      <c r="P480" t="s">
        <v>9</v>
      </c>
    </row>
    <row r="481" spans="1:16" x14ac:dyDescent="0.25">
      <c r="A481">
        <v>7715616</v>
      </c>
      <c r="B481" t="s">
        <v>0</v>
      </c>
      <c r="C481" t="s">
        <v>36</v>
      </c>
      <c r="D481">
        <v>4.8</v>
      </c>
      <c r="E481" t="str">
        <f t="shared" si="42"/>
        <v>Excellent</v>
      </c>
      <c r="F481" s="1">
        <v>45140.396527777775</v>
      </c>
      <c r="G481" s="1" t="str">
        <f t="shared" si="43"/>
        <v>Wednesday</v>
      </c>
      <c r="H481" s="1" t="str">
        <f t="shared" si="44"/>
        <v>August</v>
      </c>
      <c r="I481" s="1" t="str">
        <f t="shared" si="45"/>
        <v>2023</v>
      </c>
      <c r="J481" t="b">
        <v>1</v>
      </c>
      <c r="K481" t="s">
        <v>15</v>
      </c>
      <c r="L481">
        <v>157</v>
      </c>
      <c r="M481">
        <v>45</v>
      </c>
      <c r="N481" t="str">
        <f t="shared" si="46"/>
        <v>Adults</v>
      </c>
      <c r="O481" t="s">
        <v>55</v>
      </c>
      <c r="P481" t="s">
        <v>9</v>
      </c>
    </row>
    <row r="482" spans="1:16" x14ac:dyDescent="0.25">
      <c r="A482">
        <v>7356954</v>
      </c>
      <c r="B482" t="s">
        <v>33</v>
      </c>
      <c r="C482" t="s">
        <v>11</v>
      </c>
      <c r="D482">
        <v>1.1000000000000001</v>
      </c>
      <c r="E482" t="str">
        <f t="shared" si="42"/>
        <v>Poor</v>
      </c>
      <c r="F482" s="1">
        <v>45794.697222222225</v>
      </c>
      <c r="G482" s="1" t="str">
        <f t="shared" si="43"/>
        <v>Saturday</v>
      </c>
      <c r="H482" s="1" t="str">
        <f t="shared" si="44"/>
        <v>May</v>
      </c>
      <c r="I482" s="1" t="str">
        <f t="shared" si="45"/>
        <v>2025</v>
      </c>
      <c r="J482" t="b">
        <v>1</v>
      </c>
      <c r="K482" t="s">
        <v>21</v>
      </c>
      <c r="L482">
        <v>787</v>
      </c>
      <c r="M482">
        <v>58</v>
      </c>
      <c r="N482" t="str">
        <f t="shared" si="46"/>
        <v>Adults</v>
      </c>
      <c r="O482" t="s">
        <v>39</v>
      </c>
      <c r="P482" t="s">
        <v>9</v>
      </c>
    </row>
    <row r="483" spans="1:16" x14ac:dyDescent="0.25">
      <c r="A483">
        <v>4697554</v>
      </c>
      <c r="B483" t="s">
        <v>60</v>
      </c>
      <c r="C483" t="s">
        <v>75</v>
      </c>
      <c r="D483">
        <v>2.1</v>
      </c>
      <c r="E483" t="str">
        <f t="shared" si="42"/>
        <v>Good</v>
      </c>
      <c r="F483" s="1">
        <v>45398.851388888892</v>
      </c>
      <c r="G483" s="1" t="str">
        <f t="shared" si="43"/>
        <v>Tuesday</v>
      </c>
      <c r="H483" s="1" t="str">
        <f t="shared" si="44"/>
        <v>April</v>
      </c>
      <c r="I483" s="1" t="str">
        <f t="shared" si="45"/>
        <v>2024</v>
      </c>
      <c r="J483" t="b">
        <v>1</v>
      </c>
      <c r="K483" t="s">
        <v>58</v>
      </c>
      <c r="L483">
        <v>275</v>
      </c>
      <c r="M483">
        <v>63</v>
      </c>
      <c r="N483" t="str">
        <f t="shared" si="46"/>
        <v>Seniors</v>
      </c>
      <c r="O483" t="s">
        <v>81</v>
      </c>
      <c r="P483" t="s">
        <v>4</v>
      </c>
    </row>
    <row r="484" spans="1:16" x14ac:dyDescent="0.25">
      <c r="A484">
        <v>1348902</v>
      </c>
      <c r="B484" t="s">
        <v>49</v>
      </c>
      <c r="C484" t="s">
        <v>11</v>
      </c>
      <c r="D484">
        <v>1.7</v>
      </c>
      <c r="E484" t="str">
        <f t="shared" si="42"/>
        <v>Poor</v>
      </c>
      <c r="F484" s="1">
        <v>45851.129166666666</v>
      </c>
      <c r="G484" s="1" t="str">
        <f t="shared" si="43"/>
        <v>Sunday</v>
      </c>
      <c r="H484" s="1" t="str">
        <f t="shared" si="44"/>
        <v>July</v>
      </c>
      <c r="I484" s="1" t="str">
        <f t="shared" si="45"/>
        <v>2025</v>
      </c>
      <c r="J484" t="b">
        <v>1</v>
      </c>
      <c r="K484" t="s">
        <v>2</v>
      </c>
      <c r="L484">
        <v>769</v>
      </c>
      <c r="M484">
        <v>67</v>
      </c>
      <c r="N484" t="str">
        <f t="shared" si="46"/>
        <v>Seniors</v>
      </c>
      <c r="O484" t="s">
        <v>86</v>
      </c>
      <c r="P484" t="s">
        <v>9</v>
      </c>
    </row>
    <row r="485" spans="1:16" x14ac:dyDescent="0.25">
      <c r="A485">
        <v>5314457</v>
      </c>
      <c r="B485" t="s">
        <v>40</v>
      </c>
      <c r="C485" t="s">
        <v>6</v>
      </c>
      <c r="D485">
        <v>3.7</v>
      </c>
      <c r="E485" t="str">
        <f t="shared" si="42"/>
        <v>Very Good</v>
      </c>
      <c r="F485" s="1">
        <v>45599.11041666667</v>
      </c>
      <c r="G485" s="1" t="str">
        <f t="shared" si="43"/>
        <v>Sunday</v>
      </c>
      <c r="H485" s="1" t="str">
        <f t="shared" si="44"/>
        <v>November</v>
      </c>
      <c r="I485" s="1" t="str">
        <f t="shared" si="45"/>
        <v>2024</v>
      </c>
      <c r="J485" t="b">
        <v>0</v>
      </c>
      <c r="K485" t="s">
        <v>7</v>
      </c>
      <c r="L485">
        <v>1188</v>
      </c>
      <c r="M485">
        <v>66</v>
      </c>
      <c r="N485" t="str">
        <f t="shared" si="46"/>
        <v>Seniors</v>
      </c>
      <c r="O485" t="s">
        <v>68</v>
      </c>
      <c r="P485" t="s">
        <v>4</v>
      </c>
    </row>
    <row r="486" spans="1:16" x14ac:dyDescent="0.25">
      <c r="A486">
        <v>1323240</v>
      </c>
      <c r="B486" t="s">
        <v>70</v>
      </c>
      <c r="C486" t="s">
        <v>1</v>
      </c>
      <c r="D486">
        <v>1.3</v>
      </c>
      <c r="E486" t="str">
        <f t="shared" si="42"/>
        <v>Poor</v>
      </c>
      <c r="F486" s="1">
        <v>45741.420138888891</v>
      </c>
      <c r="G486" s="1" t="str">
        <f t="shared" si="43"/>
        <v>Tuesday</v>
      </c>
      <c r="H486" s="1" t="str">
        <f t="shared" si="44"/>
        <v>March</v>
      </c>
      <c r="I486" s="1" t="str">
        <f t="shared" si="45"/>
        <v>2025</v>
      </c>
      <c r="J486" t="b">
        <v>1</v>
      </c>
      <c r="K486" t="s">
        <v>7</v>
      </c>
      <c r="L486">
        <v>1205</v>
      </c>
      <c r="M486">
        <v>49</v>
      </c>
      <c r="N486" t="str">
        <f t="shared" si="46"/>
        <v>Adults</v>
      </c>
      <c r="O486" t="s">
        <v>81</v>
      </c>
      <c r="P486" t="s">
        <v>9</v>
      </c>
    </row>
    <row r="487" spans="1:16" x14ac:dyDescent="0.25">
      <c r="A487">
        <v>7457303</v>
      </c>
      <c r="B487" t="s">
        <v>25</v>
      </c>
      <c r="C487" t="s">
        <v>20</v>
      </c>
      <c r="D487">
        <v>4.5</v>
      </c>
      <c r="E487" t="str">
        <f t="shared" si="42"/>
        <v>Excellent</v>
      </c>
      <c r="F487" s="1">
        <v>45732.370833333334</v>
      </c>
      <c r="G487" s="1" t="str">
        <f t="shared" si="43"/>
        <v>Sunday</v>
      </c>
      <c r="H487" s="1" t="str">
        <f t="shared" si="44"/>
        <v>March</v>
      </c>
      <c r="I487" s="1" t="str">
        <f t="shared" si="45"/>
        <v>2025</v>
      </c>
      <c r="J487" t="b">
        <v>1</v>
      </c>
      <c r="K487" t="s">
        <v>21</v>
      </c>
      <c r="L487">
        <v>267</v>
      </c>
      <c r="M487">
        <v>24</v>
      </c>
      <c r="N487" t="str">
        <f t="shared" ref="N487:N521" si="47">IF(M487&lt;=17,"Teenagers", IF(AND(M487&gt;=18,M487&lt;61),"Adults",IF(M487&gt;60,"Seniors")))</f>
        <v>Adults</v>
      </c>
      <c r="O487" t="s">
        <v>55</v>
      </c>
      <c r="P487" t="s">
        <v>4</v>
      </c>
    </row>
    <row r="488" spans="1:16" x14ac:dyDescent="0.25">
      <c r="A488">
        <v>1233208</v>
      </c>
      <c r="B488" t="s">
        <v>88</v>
      </c>
      <c r="C488" t="s">
        <v>6</v>
      </c>
      <c r="D488">
        <v>4.7</v>
      </c>
      <c r="E488" t="str">
        <f t="shared" si="42"/>
        <v>Excellent</v>
      </c>
      <c r="F488" s="1">
        <v>45599.386805555558</v>
      </c>
      <c r="G488" s="1" t="str">
        <f t="shared" si="43"/>
        <v>Sunday</v>
      </c>
      <c r="H488" s="1" t="str">
        <f t="shared" si="44"/>
        <v>November</v>
      </c>
      <c r="I488" s="1" t="str">
        <f t="shared" si="45"/>
        <v>2024</v>
      </c>
      <c r="J488" t="b">
        <v>1</v>
      </c>
      <c r="K488" t="s">
        <v>2</v>
      </c>
      <c r="L488">
        <v>889</v>
      </c>
      <c r="M488">
        <v>59</v>
      </c>
      <c r="N488" t="str">
        <f t="shared" si="47"/>
        <v>Adults</v>
      </c>
      <c r="O488" t="s">
        <v>44</v>
      </c>
      <c r="P488" t="s">
        <v>4</v>
      </c>
    </row>
    <row r="489" spans="1:16" x14ac:dyDescent="0.25">
      <c r="A489">
        <v>8637891</v>
      </c>
      <c r="B489" t="s">
        <v>52</v>
      </c>
      <c r="C489" t="s">
        <v>31</v>
      </c>
      <c r="D489">
        <v>2.2999999999999998</v>
      </c>
      <c r="E489" t="str">
        <f t="shared" si="42"/>
        <v>Good</v>
      </c>
      <c r="F489" s="1">
        <v>45645.072222222225</v>
      </c>
      <c r="G489" s="1" t="str">
        <f t="shared" si="43"/>
        <v>Thursday</v>
      </c>
      <c r="H489" s="1" t="str">
        <f t="shared" si="44"/>
        <v>December</v>
      </c>
      <c r="I489" s="1" t="str">
        <f t="shared" si="45"/>
        <v>2024</v>
      </c>
      <c r="J489" t="b">
        <v>0</v>
      </c>
      <c r="K489" t="s">
        <v>2</v>
      </c>
      <c r="L489">
        <v>504</v>
      </c>
      <c r="M489">
        <v>55</v>
      </c>
      <c r="N489" t="str">
        <f t="shared" si="47"/>
        <v>Adults</v>
      </c>
      <c r="O489" t="s">
        <v>19</v>
      </c>
      <c r="P489" t="s">
        <v>9</v>
      </c>
    </row>
    <row r="490" spans="1:16" x14ac:dyDescent="0.25">
      <c r="A490">
        <v>8607858</v>
      </c>
      <c r="B490" t="s">
        <v>5</v>
      </c>
      <c r="C490" t="s">
        <v>11</v>
      </c>
      <c r="D490">
        <v>1.1000000000000001</v>
      </c>
      <c r="E490" t="str">
        <f t="shared" si="42"/>
        <v>Poor</v>
      </c>
      <c r="F490" s="1">
        <v>45775.156944444447</v>
      </c>
      <c r="G490" s="1" t="str">
        <f t="shared" si="43"/>
        <v>Monday</v>
      </c>
      <c r="H490" s="1" t="str">
        <f t="shared" si="44"/>
        <v>April</v>
      </c>
      <c r="I490" s="1" t="str">
        <f t="shared" si="45"/>
        <v>2025</v>
      </c>
      <c r="J490" t="b">
        <v>1</v>
      </c>
      <c r="K490" t="s">
        <v>21</v>
      </c>
      <c r="L490">
        <v>459</v>
      </c>
      <c r="M490">
        <v>26</v>
      </c>
      <c r="N490" t="str">
        <f t="shared" si="47"/>
        <v>Adults</v>
      </c>
      <c r="O490" t="s">
        <v>44</v>
      </c>
      <c r="P490" t="s">
        <v>4</v>
      </c>
    </row>
    <row r="491" spans="1:16" x14ac:dyDescent="0.25">
      <c r="A491">
        <v>3378387</v>
      </c>
      <c r="B491" t="s">
        <v>64</v>
      </c>
      <c r="C491" t="s">
        <v>63</v>
      </c>
      <c r="D491">
        <v>3.9</v>
      </c>
      <c r="E491" t="str">
        <f t="shared" si="42"/>
        <v>Very Good</v>
      </c>
      <c r="F491" s="1">
        <v>45294.511111111111</v>
      </c>
      <c r="G491" s="1" t="str">
        <f t="shared" si="43"/>
        <v>Wednesday</v>
      </c>
      <c r="H491" s="1" t="str">
        <f t="shared" si="44"/>
        <v>January</v>
      </c>
      <c r="I491" s="1" t="str">
        <f t="shared" si="45"/>
        <v>2024</v>
      </c>
      <c r="J491" t="b">
        <v>0</v>
      </c>
      <c r="K491" t="s">
        <v>58</v>
      </c>
      <c r="L491">
        <v>889</v>
      </c>
      <c r="M491">
        <v>44</v>
      </c>
      <c r="N491" t="str">
        <f t="shared" si="47"/>
        <v>Adults</v>
      </c>
      <c r="O491" t="s">
        <v>72</v>
      </c>
      <c r="P491" t="s">
        <v>4</v>
      </c>
    </row>
    <row r="492" spans="1:16" x14ac:dyDescent="0.25">
      <c r="A492">
        <v>5655698</v>
      </c>
      <c r="B492" t="s">
        <v>46</v>
      </c>
      <c r="C492" t="s">
        <v>6</v>
      </c>
      <c r="D492">
        <v>3.2</v>
      </c>
      <c r="E492" t="str">
        <f t="shared" si="42"/>
        <v>Very Good</v>
      </c>
      <c r="F492" s="1">
        <v>45800.652777777781</v>
      </c>
      <c r="G492" s="1" t="str">
        <f t="shared" si="43"/>
        <v>Friday</v>
      </c>
      <c r="H492" s="1" t="str">
        <f t="shared" si="44"/>
        <v>May</v>
      </c>
      <c r="I492" s="1" t="str">
        <f t="shared" si="45"/>
        <v>2025</v>
      </c>
      <c r="J492" t="b">
        <v>1</v>
      </c>
      <c r="K492" t="s">
        <v>15</v>
      </c>
      <c r="L492">
        <v>122</v>
      </c>
      <c r="M492">
        <v>26</v>
      </c>
      <c r="N492" t="str">
        <f t="shared" si="47"/>
        <v>Adults</v>
      </c>
      <c r="O492" t="s">
        <v>44</v>
      </c>
      <c r="P492" t="s">
        <v>4</v>
      </c>
    </row>
    <row r="493" spans="1:16" x14ac:dyDescent="0.25">
      <c r="A493">
        <v>9597530</v>
      </c>
      <c r="B493" t="s">
        <v>30</v>
      </c>
      <c r="C493" t="s">
        <v>1</v>
      </c>
      <c r="D493">
        <v>4.4000000000000004</v>
      </c>
      <c r="E493" t="str">
        <f t="shared" si="42"/>
        <v>Excellent</v>
      </c>
      <c r="F493" s="1">
        <v>45399.593055555553</v>
      </c>
      <c r="G493" s="1" t="str">
        <f t="shared" si="43"/>
        <v>Wednesday</v>
      </c>
      <c r="H493" s="1" t="str">
        <f t="shared" si="44"/>
        <v>April</v>
      </c>
      <c r="I493" s="1" t="str">
        <f t="shared" si="45"/>
        <v>2024</v>
      </c>
      <c r="J493" t="b">
        <v>0</v>
      </c>
      <c r="K493" t="s">
        <v>58</v>
      </c>
      <c r="L493">
        <v>1014</v>
      </c>
      <c r="M493">
        <v>20</v>
      </c>
      <c r="N493" t="str">
        <f t="shared" si="47"/>
        <v>Adults</v>
      </c>
      <c r="O493" t="s">
        <v>68</v>
      </c>
      <c r="P493" t="s">
        <v>4</v>
      </c>
    </row>
    <row r="494" spans="1:16" x14ac:dyDescent="0.25">
      <c r="A494">
        <v>9406180</v>
      </c>
      <c r="B494" t="s">
        <v>71</v>
      </c>
      <c r="C494" t="s">
        <v>85</v>
      </c>
      <c r="D494">
        <v>3.4</v>
      </c>
      <c r="E494" t="str">
        <f t="shared" si="42"/>
        <v>Very Good</v>
      </c>
      <c r="F494" s="1">
        <v>45228.347916666666</v>
      </c>
      <c r="G494" s="1" t="str">
        <f t="shared" si="43"/>
        <v>Sunday</v>
      </c>
      <c r="H494" s="1" t="str">
        <f t="shared" si="44"/>
        <v>October</v>
      </c>
      <c r="I494" s="1" t="str">
        <f t="shared" si="45"/>
        <v>2023</v>
      </c>
      <c r="J494" t="b">
        <v>1</v>
      </c>
      <c r="K494" t="s">
        <v>15</v>
      </c>
      <c r="L494">
        <v>1134</v>
      </c>
      <c r="M494">
        <v>63</v>
      </c>
      <c r="N494" t="str">
        <f t="shared" si="47"/>
        <v>Seniors</v>
      </c>
      <c r="O494" t="s">
        <v>3</v>
      </c>
      <c r="P494" t="s">
        <v>9</v>
      </c>
    </row>
    <row r="495" spans="1:16" x14ac:dyDescent="0.25">
      <c r="A495">
        <v>4975059</v>
      </c>
      <c r="B495" t="s">
        <v>10</v>
      </c>
      <c r="C495" t="s">
        <v>43</v>
      </c>
      <c r="D495">
        <v>3.8</v>
      </c>
      <c r="E495" t="str">
        <f t="shared" si="42"/>
        <v>Very Good</v>
      </c>
      <c r="F495" s="1">
        <v>45480.952777777777</v>
      </c>
      <c r="G495" s="1" t="str">
        <f t="shared" si="43"/>
        <v>Sunday</v>
      </c>
      <c r="H495" s="1" t="str">
        <f t="shared" si="44"/>
        <v>July</v>
      </c>
      <c r="I495" s="1" t="str">
        <f t="shared" si="45"/>
        <v>2024</v>
      </c>
      <c r="J495" t="b">
        <v>1</v>
      </c>
      <c r="K495" t="s">
        <v>58</v>
      </c>
      <c r="L495">
        <v>687</v>
      </c>
      <c r="M495">
        <v>26</v>
      </c>
      <c r="N495" t="str">
        <f t="shared" si="47"/>
        <v>Adults</v>
      </c>
      <c r="O495" t="s">
        <v>44</v>
      </c>
      <c r="P495" t="s">
        <v>9</v>
      </c>
    </row>
    <row r="496" spans="1:16" x14ac:dyDescent="0.25">
      <c r="A496">
        <v>6138275</v>
      </c>
      <c r="B496" t="s">
        <v>71</v>
      </c>
      <c r="C496" t="s">
        <v>63</v>
      </c>
      <c r="D496">
        <v>4.9000000000000004</v>
      </c>
      <c r="E496" t="str">
        <f t="shared" si="42"/>
        <v>Excellent</v>
      </c>
      <c r="F496" s="1">
        <v>45172.979861111111</v>
      </c>
      <c r="G496" s="1" t="str">
        <f t="shared" si="43"/>
        <v>Sunday</v>
      </c>
      <c r="H496" s="1" t="str">
        <f t="shared" si="44"/>
        <v>September</v>
      </c>
      <c r="I496" s="1" t="str">
        <f t="shared" si="45"/>
        <v>2023</v>
      </c>
      <c r="J496" t="b">
        <v>1</v>
      </c>
      <c r="K496" t="s">
        <v>21</v>
      </c>
      <c r="L496">
        <v>452</v>
      </c>
      <c r="M496">
        <v>75</v>
      </c>
      <c r="N496" t="str">
        <f t="shared" si="47"/>
        <v>Seniors</v>
      </c>
      <c r="O496" t="s">
        <v>16</v>
      </c>
      <c r="P496" t="s">
        <v>9</v>
      </c>
    </row>
    <row r="497" spans="1:16" x14ac:dyDescent="0.25">
      <c r="A497">
        <v>3388125</v>
      </c>
      <c r="B497" t="s">
        <v>87</v>
      </c>
      <c r="C497" t="s">
        <v>36</v>
      </c>
      <c r="D497">
        <v>4.9000000000000004</v>
      </c>
      <c r="E497" t="str">
        <f t="shared" si="42"/>
        <v>Excellent</v>
      </c>
      <c r="F497" s="1">
        <v>45155.571527777778</v>
      </c>
      <c r="G497" s="1" t="str">
        <f t="shared" si="43"/>
        <v>Thursday</v>
      </c>
      <c r="H497" s="1" t="str">
        <f t="shared" si="44"/>
        <v>August</v>
      </c>
      <c r="I497" s="1" t="str">
        <f t="shared" si="45"/>
        <v>2023</v>
      </c>
      <c r="J497" t="b">
        <v>1</v>
      </c>
      <c r="K497" t="s">
        <v>2</v>
      </c>
      <c r="L497">
        <v>1042</v>
      </c>
      <c r="M497">
        <v>54</v>
      </c>
      <c r="N497" t="str">
        <f t="shared" si="47"/>
        <v>Adults</v>
      </c>
      <c r="O497" t="s">
        <v>53</v>
      </c>
      <c r="P497" t="s">
        <v>4</v>
      </c>
    </row>
    <row r="498" spans="1:16" x14ac:dyDescent="0.25">
      <c r="A498">
        <v>6445068</v>
      </c>
      <c r="B498" t="s">
        <v>79</v>
      </c>
      <c r="C498" t="s">
        <v>31</v>
      </c>
      <c r="D498">
        <v>1.9</v>
      </c>
      <c r="E498" t="str">
        <f t="shared" si="42"/>
        <v>Poor</v>
      </c>
      <c r="F498" s="1">
        <v>45802.537499999999</v>
      </c>
      <c r="G498" s="1" t="str">
        <f t="shared" si="43"/>
        <v>Sunday</v>
      </c>
      <c r="H498" s="1" t="str">
        <f t="shared" si="44"/>
        <v>May</v>
      </c>
      <c r="I498" s="1" t="str">
        <f t="shared" si="45"/>
        <v>2025</v>
      </c>
      <c r="J498" t="b">
        <v>1</v>
      </c>
      <c r="K498" t="s">
        <v>7</v>
      </c>
      <c r="L498">
        <v>1019</v>
      </c>
      <c r="M498">
        <v>75</v>
      </c>
      <c r="N498" t="str">
        <f t="shared" si="47"/>
        <v>Seniors</v>
      </c>
      <c r="O498" t="s">
        <v>22</v>
      </c>
      <c r="P498" t="s">
        <v>9</v>
      </c>
    </row>
    <row r="499" spans="1:16" x14ac:dyDescent="0.25">
      <c r="A499">
        <v>2353688</v>
      </c>
      <c r="B499" t="s">
        <v>23</v>
      </c>
      <c r="C499" t="s">
        <v>75</v>
      </c>
      <c r="D499">
        <v>2.6</v>
      </c>
      <c r="E499" t="str">
        <f t="shared" si="42"/>
        <v>Good</v>
      </c>
      <c r="F499" s="1">
        <v>45722.680555555555</v>
      </c>
      <c r="G499" s="1" t="str">
        <f t="shared" si="43"/>
        <v>Thursday</v>
      </c>
      <c r="H499" s="1" t="str">
        <f t="shared" si="44"/>
        <v>March</v>
      </c>
      <c r="I499" s="1" t="str">
        <f t="shared" si="45"/>
        <v>2025</v>
      </c>
      <c r="J499" t="b">
        <v>1</v>
      </c>
      <c r="K499" t="s">
        <v>15</v>
      </c>
      <c r="L499">
        <v>909</v>
      </c>
      <c r="M499">
        <v>39</v>
      </c>
      <c r="N499" t="str">
        <f t="shared" si="47"/>
        <v>Adults</v>
      </c>
      <c r="O499" t="s">
        <v>3</v>
      </c>
      <c r="P499" t="s">
        <v>4</v>
      </c>
    </row>
    <row r="500" spans="1:16" x14ac:dyDescent="0.25">
      <c r="A500">
        <v>5998448</v>
      </c>
      <c r="B500" t="s">
        <v>87</v>
      </c>
      <c r="C500" t="s">
        <v>31</v>
      </c>
      <c r="D500">
        <v>1</v>
      </c>
      <c r="E500" t="str">
        <f t="shared" si="42"/>
        <v>Poor</v>
      </c>
      <c r="F500" s="1">
        <v>45317.661805555559</v>
      </c>
      <c r="G500" s="1" t="str">
        <f t="shared" si="43"/>
        <v>Friday</v>
      </c>
      <c r="H500" s="1" t="str">
        <f t="shared" si="44"/>
        <v>January</v>
      </c>
      <c r="I500" s="1" t="str">
        <f t="shared" si="45"/>
        <v>2024</v>
      </c>
      <c r="J500" t="b">
        <v>1</v>
      </c>
      <c r="K500" t="s">
        <v>58</v>
      </c>
      <c r="L500">
        <v>560</v>
      </c>
      <c r="M500">
        <v>18</v>
      </c>
      <c r="N500" t="str">
        <f t="shared" si="47"/>
        <v>Adults</v>
      </c>
      <c r="O500" t="s">
        <v>42</v>
      </c>
      <c r="P500" t="s">
        <v>4</v>
      </c>
    </row>
    <row r="501" spans="1:16" x14ac:dyDescent="0.25">
      <c r="A501">
        <v>790263</v>
      </c>
      <c r="B501" t="s">
        <v>70</v>
      </c>
      <c r="C501" t="s">
        <v>18</v>
      </c>
      <c r="D501">
        <v>1.7</v>
      </c>
      <c r="E501" t="str">
        <f t="shared" si="42"/>
        <v>Poor</v>
      </c>
      <c r="F501" s="1">
        <v>45158.07708333333</v>
      </c>
      <c r="G501" s="1" t="str">
        <f t="shared" si="43"/>
        <v>Sunday</v>
      </c>
      <c r="H501" s="1" t="str">
        <f t="shared" si="44"/>
        <v>August</v>
      </c>
      <c r="I501" s="1" t="str">
        <f t="shared" si="45"/>
        <v>2023</v>
      </c>
      <c r="J501" t="b">
        <v>1</v>
      </c>
      <c r="K501" t="s">
        <v>2</v>
      </c>
      <c r="L501">
        <v>1153</v>
      </c>
      <c r="M501">
        <v>64</v>
      </c>
      <c r="N501" t="str">
        <f t="shared" si="47"/>
        <v>Seniors</v>
      </c>
      <c r="O501" t="s">
        <v>8</v>
      </c>
      <c r="P501" t="s">
        <v>9</v>
      </c>
    </row>
    <row r="502" spans="1:16" x14ac:dyDescent="0.25">
      <c r="A502">
        <v>7510303</v>
      </c>
      <c r="B502" t="s">
        <v>74</v>
      </c>
      <c r="C502" t="s">
        <v>20</v>
      </c>
      <c r="D502">
        <v>2.2999999999999998</v>
      </c>
      <c r="E502" t="str">
        <f t="shared" si="42"/>
        <v>Good</v>
      </c>
      <c r="F502" s="1">
        <v>45320.468055555553</v>
      </c>
      <c r="G502" s="1" t="str">
        <f t="shared" si="43"/>
        <v>Monday</v>
      </c>
      <c r="H502" s="1" t="str">
        <f t="shared" si="44"/>
        <v>January</v>
      </c>
      <c r="I502" s="1" t="str">
        <f t="shared" si="45"/>
        <v>2024</v>
      </c>
      <c r="J502" t="b">
        <v>1</v>
      </c>
      <c r="K502" t="s">
        <v>21</v>
      </c>
      <c r="L502">
        <v>285</v>
      </c>
      <c r="M502">
        <v>46</v>
      </c>
      <c r="N502" t="str">
        <f t="shared" si="47"/>
        <v>Adults</v>
      </c>
      <c r="O502" t="s">
        <v>8</v>
      </c>
      <c r="P502" t="s">
        <v>4</v>
      </c>
    </row>
    <row r="503" spans="1:16" x14ac:dyDescent="0.25">
      <c r="A503">
        <v>1373196</v>
      </c>
      <c r="B503" t="s">
        <v>73</v>
      </c>
      <c r="C503" t="s">
        <v>14</v>
      </c>
      <c r="D503">
        <v>1.1000000000000001</v>
      </c>
      <c r="E503" t="str">
        <f t="shared" si="42"/>
        <v>Poor</v>
      </c>
      <c r="F503" s="1">
        <v>45315.770138888889</v>
      </c>
      <c r="G503" s="1" t="str">
        <f t="shared" si="43"/>
        <v>Wednesday</v>
      </c>
      <c r="H503" s="1" t="str">
        <f t="shared" si="44"/>
        <v>January</v>
      </c>
      <c r="I503" s="1" t="str">
        <f t="shared" si="45"/>
        <v>2024</v>
      </c>
      <c r="J503" t="b">
        <v>1</v>
      </c>
      <c r="K503" t="s">
        <v>58</v>
      </c>
      <c r="L503">
        <v>834</v>
      </c>
      <c r="M503">
        <v>42</v>
      </c>
      <c r="N503" t="str">
        <f t="shared" si="47"/>
        <v>Adults</v>
      </c>
      <c r="O503" t="s">
        <v>22</v>
      </c>
      <c r="P503" t="s">
        <v>4</v>
      </c>
    </row>
    <row r="504" spans="1:16" x14ac:dyDescent="0.25">
      <c r="A504">
        <v>3918133</v>
      </c>
      <c r="B504" t="s">
        <v>10</v>
      </c>
      <c r="C504" t="s">
        <v>43</v>
      </c>
      <c r="D504">
        <v>4.9000000000000004</v>
      </c>
      <c r="E504" t="str">
        <f t="shared" si="42"/>
        <v>Excellent</v>
      </c>
      <c r="F504" s="1">
        <v>45315.136805555558</v>
      </c>
      <c r="G504" s="1" t="str">
        <f t="shared" si="43"/>
        <v>Wednesday</v>
      </c>
      <c r="H504" s="1" t="str">
        <f t="shared" si="44"/>
        <v>January</v>
      </c>
      <c r="I504" s="1" t="str">
        <f t="shared" si="45"/>
        <v>2024</v>
      </c>
      <c r="J504" t="b">
        <v>0</v>
      </c>
      <c r="K504" t="s">
        <v>2</v>
      </c>
      <c r="L504">
        <v>696</v>
      </c>
      <c r="M504">
        <v>16</v>
      </c>
      <c r="N504" t="str">
        <f t="shared" si="47"/>
        <v>Teenagers</v>
      </c>
      <c r="O504" t="s">
        <v>77</v>
      </c>
      <c r="P504" t="s">
        <v>4</v>
      </c>
    </row>
    <row r="505" spans="1:16" x14ac:dyDescent="0.25">
      <c r="A505">
        <v>3621118</v>
      </c>
      <c r="B505" t="s">
        <v>17</v>
      </c>
      <c r="C505" t="s">
        <v>29</v>
      </c>
      <c r="D505">
        <v>1.3</v>
      </c>
      <c r="E505" t="str">
        <f t="shared" si="42"/>
        <v>Poor</v>
      </c>
      <c r="F505" s="1">
        <v>45507.384722222225</v>
      </c>
      <c r="G505" s="1" t="str">
        <f t="shared" si="43"/>
        <v>Saturday</v>
      </c>
      <c r="H505" s="1" t="str">
        <f t="shared" si="44"/>
        <v>August</v>
      </c>
      <c r="I505" s="1" t="str">
        <f t="shared" si="45"/>
        <v>2024</v>
      </c>
      <c r="J505" t="b">
        <v>1</v>
      </c>
      <c r="K505" t="s">
        <v>21</v>
      </c>
      <c r="L505">
        <v>122</v>
      </c>
      <c r="M505">
        <v>22</v>
      </c>
      <c r="N505" t="str">
        <f t="shared" si="47"/>
        <v>Adults</v>
      </c>
      <c r="O505" t="s">
        <v>81</v>
      </c>
      <c r="P505" t="s">
        <v>4</v>
      </c>
    </row>
    <row r="506" spans="1:16" x14ac:dyDescent="0.25">
      <c r="A506">
        <v>7964124</v>
      </c>
      <c r="B506" t="s">
        <v>82</v>
      </c>
      <c r="C506" t="s">
        <v>47</v>
      </c>
      <c r="D506">
        <v>2.2000000000000002</v>
      </c>
      <c r="E506" t="str">
        <f t="shared" si="42"/>
        <v>Good</v>
      </c>
      <c r="F506" s="1">
        <v>45700.068055555559</v>
      </c>
      <c r="G506" s="1" t="str">
        <f t="shared" si="43"/>
        <v>Wednesday</v>
      </c>
      <c r="H506" s="1" t="str">
        <f t="shared" si="44"/>
        <v>February</v>
      </c>
      <c r="I506" s="1" t="str">
        <f t="shared" si="45"/>
        <v>2025</v>
      </c>
      <c r="J506" t="b">
        <v>1</v>
      </c>
      <c r="K506" t="s">
        <v>58</v>
      </c>
      <c r="L506">
        <v>82</v>
      </c>
      <c r="M506">
        <v>14</v>
      </c>
      <c r="N506" t="str">
        <f t="shared" si="47"/>
        <v>Teenagers</v>
      </c>
      <c r="O506" t="s">
        <v>27</v>
      </c>
      <c r="P506" t="s">
        <v>4</v>
      </c>
    </row>
    <row r="507" spans="1:16" x14ac:dyDescent="0.25">
      <c r="A507">
        <v>5815319</v>
      </c>
      <c r="B507" t="s">
        <v>83</v>
      </c>
      <c r="C507" t="s">
        <v>6</v>
      </c>
      <c r="D507">
        <v>3.5</v>
      </c>
      <c r="E507" t="str">
        <f t="shared" si="42"/>
        <v>Very Good</v>
      </c>
      <c r="F507" s="1">
        <v>45753.976388888892</v>
      </c>
      <c r="G507" s="1" t="str">
        <f t="shared" si="43"/>
        <v>Sunday</v>
      </c>
      <c r="H507" s="1" t="str">
        <f t="shared" si="44"/>
        <v>April</v>
      </c>
      <c r="I507" s="1" t="str">
        <f t="shared" si="45"/>
        <v>2025</v>
      </c>
      <c r="J507" t="b">
        <v>1</v>
      </c>
      <c r="K507" t="s">
        <v>2</v>
      </c>
      <c r="L507">
        <v>778</v>
      </c>
      <c r="M507">
        <v>52</v>
      </c>
      <c r="N507" t="str">
        <f t="shared" si="47"/>
        <v>Adults</v>
      </c>
      <c r="O507" t="s">
        <v>68</v>
      </c>
      <c r="P507" t="s">
        <v>4</v>
      </c>
    </row>
    <row r="508" spans="1:16" x14ac:dyDescent="0.25">
      <c r="A508">
        <v>7293952</v>
      </c>
      <c r="B508" t="s">
        <v>76</v>
      </c>
      <c r="C508" t="s">
        <v>43</v>
      </c>
      <c r="D508">
        <v>1.7</v>
      </c>
      <c r="E508" t="str">
        <f t="shared" si="42"/>
        <v>Poor</v>
      </c>
      <c r="F508" s="1">
        <v>45737.056250000001</v>
      </c>
      <c r="G508" s="1" t="str">
        <f t="shared" si="43"/>
        <v>Friday</v>
      </c>
      <c r="H508" s="1" t="str">
        <f t="shared" si="44"/>
        <v>March</v>
      </c>
      <c r="I508" s="1" t="str">
        <f t="shared" si="45"/>
        <v>2025</v>
      </c>
      <c r="J508" t="b">
        <v>0</v>
      </c>
      <c r="K508" t="s">
        <v>7</v>
      </c>
      <c r="L508">
        <v>647</v>
      </c>
      <c r="M508">
        <v>73</v>
      </c>
      <c r="N508" t="str">
        <f t="shared" si="47"/>
        <v>Seniors</v>
      </c>
      <c r="O508" t="s">
        <v>77</v>
      </c>
      <c r="P508" t="s">
        <v>4</v>
      </c>
    </row>
    <row r="509" spans="1:16" x14ac:dyDescent="0.25">
      <c r="A509">
        <v>605062</v>
      </c>
      <c r="B509" t="s">
        <v>69</v>
      </c>
      <c r="C509" t="s">
        <v>34</v>
      </c>
      <c r="D509">
        <v>2.2000000000000002</v>
      </c>
      <c r="E509" t="str">
        <f t="shared" si="42"/>
        <v>Good</v>
      </c>
      <c r="F509" s="1">
        <v>45429.915972222225</v>
      </c>
      <c r="G509" s="1" t="str">
        <f t="shared" si="43"/>
        <v>Friday</v>
      </c>
      <c r="H509" s="1" t="str">
        <f t="shared" si="44"/>
        <v>May</v>
      </c>
      <c r="I509" s="1" t="str">
        <f t="shared" si="45"/>
        <v>2024</v>
      </c>
      <c r="J509" t="b">
        <v>1</v>
      </c>
      <c r="K509" t="s">
        <v>7</v>
      </c>
      <c r="L509">
        <v>8</v>
      </c>
      <c r="M509">
        <v>24</v>
      </c>
      <c r="N509" t="str">
        <f t="shared" si="47"/>
        <v>Adults</v>
      </c>
      <c r="O509" t="s">
        <v>81</v>
      </c>
      <c r="P509" t="s">
        <v>4</v>
      </c>
    </row>
    <row r="510" spans="1:16" x14ac:dyDescent="0.25">
      <c r="A510">
        <v>9788983</v>
      </c>
      <c r="B510" t="s">
        <v>87</v>
      </c>
      <c r="C510" t="s">
        <v>43</v>
      </c>
      <c r="D510">
        <v>4.5</v>
      </c>
      <c r="E510" t="str">
        <f t="shared" si="42"/>
        <v>Excellent</v>
      </c>
      <c r="F510" s="1">
        <v>45392.151388888888</v>
      </c>
      <c r="G510" s="1" t="str">
        <f t="shared" si="43"/>
        <v>Wednesday</v>
      </c>
      <c r="H510" s="1" t="str">
        <f t="shared" si="44"/>
        <v>April</v>
      </c>
      <c r="I510" s="1" t="str">
        <f t="shared" si="45"/>
        <v>2024</v>
      </c>
      <c r="J510" t="b">
        <v>1</v>
      </c>
      <c r="K510" t="s">
        <v>7</v>
      </c>
      <c r="L510">
        <v>106</v>
      </c>
      <c r="M510">
        <v>42</v>
      </c>
      <c r="N510" t="str">
        <f t="shared" si="47"/>
        <v>Adults</v>
      </c>
      <c r="O510" t="s">
        <v>66</v>
      </c>
      <c r="P510" t="s">
        <v>4</v>
      </c>
    </row>
    <row r="511" spans="1:16" x14ac:dyDescent="0.25">
      <c r="A511">
        <v>7727990</v>
      </c>
      <c r="B511" t="s">
        <v>64</v>
      </c>
      <c r="C511" t="s">
        <v>75</v>
      </c>
      <c r="D511">
        <v>4.8</v>
      </c>
      <c r="E511" t="str">
        <f t="shared" si="42"/>
        <v>Excellent</v>
      </c>
      <c r="F511" s="1">
        <v>45183.503472222219</v>
      </c>
      <c r="G511" s="1" t="str">
        <f t="shared" si="43"/>
        <v>Thursday</v>
      </c>
      <c r="H511" s="1" t="str">
        <f t="shared" si="44"/>
        <v>September</v>
      </c>
      <c r="I511" s="1" t="str">
        <f t="shared" si="45"/>
        <v>2023</v>
      </c>
      <c r="J511" t="b">
        <v>1</v>
      </c>
      <c r="K511" t="s">
        <v>21</v>
      </c>
      <c r="L511">
        <v>1239</v>
      </c>
      <c r="M511">
        <v>38</v>
      </c>
      <c r="N511" t="str">
        <f t="shared" si="47"/>
        <v>Adults</v>
      </c>
      <c r="O511" t="s">
        <v>59</v>
      </c>
      <c r="P511" t="s">
        <v>9</v>
      </c>
    </row>
    <row r="512" spans="1:16" x14ac:dyDescent="0.25">
      <c r="A512">
        <v>8799518</v>
      </c>
      <c r="B512" t="s">
        <v>56</v>
      </c>
      <c r="C512" t="s">
        <v>75</v>
      </c>
      <c r="D512">
        <v>3.9</v>
      </c>
      <c r="E512" t="str">
        <f t="shared" si="42"/>
        <v>Very Good</v>
      </c>
      <c r="F512" s="1">
        <v>45441.017361111109</v>
      </c>
      <c r="G512" s="1" t="str">
        <f t="shared" si="43"/>
        <v>Wednesday</v>
      </c>
      <c r="H512" s="1" t="str">
        <f t="shared" si="44"/>
        <v>May</v>
      </c>
      <c r="I512" s="1" t="str">
        <f t="shared" si="45"/>
        <v>2024</v>
      </c>
      <c r="J512" t="b">
        <v>1</v>
      </c>
      <c r="K512" t="s">
        <v>58</v>
      </c>
      <c r="L512">
        <v>232</v>
      </c>
      <c r="M512">
        <v>68</v>
      </c>
      <c r="N512" t="str">
        <f t="shared" si="47"/>
        <v>Seniors</v>
      </c>
      <c r="O512" t="s">
        <v>68</v>
      </c>
      <c r="P512" t="s">
        <v>4</v>
      </c>
    </row>
    <row r="513" spans="1:16" x14ac:dyDescent="0.25">
      <c r="A513">
        <v>2279901</v>
      </c>
      <c r="B513" t="s">
        <v>88</v>
      </c>
      <c r="C513" t="s">
        <v>38</v>
      </c>
      <c r="D513">
        <v>2.4</v>
      </c>
      <c r="E513" t="str">
        <f t="shared" si="42"/>
        <v>Good</v>
      </c>
      <c r="F513" s="1">
        <v>45814.975694444445</v>
      </c>
      <c r="G513" s="1" t="str">
        <f t="shared" si="43"/>
        <v>Friday</v>
      </c>
      <c r="H513" s="1" t="str">
        <f t="shared" si="44"/>
        <v>June</v>
      </c>
      <c r="I513" s="1" t="str">
        <f t="shared" si="45"/>
        <v>2025</v>
      </c>
      <c r="J513" t="b">
        <v>1</v>
      </c>
      <c r="K513" t="s">
        <v>21</v>
      </c>
      <c r="L513">
        <v>122</v>
      </c>
      <c r="M513">
        <v>47</v>
      </c>
      <c r="N513" t="str">
        <f t="shared" si="47"/>
        <v>Adults</v>
      </c>
      <c r="O513" t="s">
        <v>16</v>
      </c>
      <c r="P513" t="s">
        <v>4</v>
      </c>
    </row>
    <row r="514" spans="1:16" x14ac:dyDescent="0.25">
      <c r="A514">
        <v>5296863</v>
      </c>
      <c r="B514" t="s">
        <v>56</v>
      </c>
      <c r="C514" t="s">
        <v>63</v>
      </c>
      <c r="D514">
        <v>2.6</v>
      </c>
      <c r="E514" t="str">
        <f t="shared" ref="E514:E577" si="48">IF(D514&lt;2,"Poor",IF(AND(D514&gt;=2,D514&lt;=3),"Good",IF(AND(D514&gt;3,D514&lt;=4),"Very Good",IF(D514&gt;4,"Excellent"))))</f>
        <v>Good</v>
      </c>
      <c r="F514" s="1">
        <v>45474.577777777777</v>
      </c>
      <c r="G514" s="1" t="str">
        <f t="shared" ref="G514:G577" si="49">TEXT(F514,"DDDD")</f>
        <v>Monday</v>
      </c>
      <c r="H514" s="1" t="str">
        <f t="shared" ref="H514:H577" si="50">TEXT(F514,"MMMM")</f>
        <v>July</v>
      </c>
      <c r="I514" s="1" t="str">
        <f t="shared" ref="I514:I577" si="51">TEXT(F514,"YYYY")</f>
        <v>2024</v>
      </c>
      <c r="J514" t="b">
        <v>0</v>
      </c>
      <c r="K514" t="s">
        <v>21</v>
      </c>
      <c r="L514">
        <v>696</v>
      </c>
      <c r="M514">
        <v>17</v>
      </c>
      <c r="N514" t="str">
        <f t="shared" si="47"/>
        <v>Teenagers</v>
      </c>
      <c r="O514" t="s">
        <v>55</v>
      </c>
      <c r="P514" t="s">
        <v>4</v>
      </c>
    </row>
    <row r="515" spans="1:16" x14ac:dyDescent="0.25">
      <c r="A515">
        <v>3112820</v>
      </c>
      <c r="B515" t="s">
        <v>52</v>
      </c>
      <c r="C515" t="s">
        <v>26</v>
      </c>
      <c r="D515">
        <v>4</v>
      </c>
      <c r="E515" t="str">
        <f t="shared" si="48"/>
        <v>Very Good</v>
      </c>
      <c r="F515" s="1">
        <v>45815.04583333333</v>
      </c>
      <c r="G515" s="1" t="str">
        <f t="shared" si="49"/>
        <v>Saturday</v>
      </c>
      <c r="H515" s="1" t="str">
        <f t="shared" si="50"/>
        <v>June</v>
      </c>
      <c r="I515" s="1" t="str">
        <f t="shared" si="51"/>
        <v>2025</v>
      </c>
      <c r="J515" t="b">
        <v>1</v>
      </c>
      <c r="K515" t="s">
        <v>2</v>
      </c>
      <c r="L515">
        <v>1213</v>
      </c>
      <c r="M515">
        <v>48</v>
      </c>
      <c r="N515" t="str">
        <f t="shared" si="47"/>
        <v>Adults</v>
      </c>
      <c r="O515" t="s">
        <v>24</v>
      </c>
      <c r="P515" t="s">
        <v>4</v>
      </c>
    </row>
    <row r="516" spans="1:16" x14ac:dyDescent="0.25">
      <c r="A516">
        <v>9121738</v>
      </c>
      <c r="B516" t="s">
        <v>41</v>
      </c>
      <c r="C516" t="s">
        <v>6</v>
      </c>
      <c r="D516">
        <v>4.5</v>
      </c>
      <c r="E516" t="str">
        <f t="shared" si="48"/>
        <v>Excellent</v>
      </c>
      <c r="F516" s="1">
        <v>45365.595138888886</v>
      </c>
      <c r="G516" s="1" t="str">
        <f t="shared" si="49"/>
        <v>Thursday</v>
      </c>
      <c r="H516" s="1" t="str">
        <f t="shared" si="50"/>
        <v>March</v>
      </c>
      <c r="I516" s="1" t="str">
        <f t="shared" si="51"/>
        <v>2024</v>
      </c>
      <c r="J516" t="b">
        <v>0</v>
      </c>
      <c r="K516" t="s">
        <v>21</v>
      </c>
      <c r="L516">
        <v>599</v>
      </c>
      <c r="M516">
        <v>21</v>
      </c>
      <c r="N516" t="str">
        <f t="shared" si="47"/>
        <v>Adults</v>
      </c>
      <c r="O516" t="s">
        <v>44</v>
      </c>
      <c r="P516" t="s">
        <v>4</v>
      </c>
    </row>
    <row r="517" spans="1:16" x14ac:dyDescent="0.25">
      <c r="A517">
        <v>5569592</v>
      </c>
      <c r="B517" t="s">
        <v>71</v>
      </c>
      <c r="C517" t="s">
        <v>34</v>
      </c>
      <c r="D517">
        <v>1.8</v>
      </c>
      <c r="E517" t="str">
        <f t="shared" si="48"/>
        <v>Poor</v>
      </c>
      <c r="F517" s="1">
        <v>45457.40902777778</v>
      </c>
      <c r="G517" s="1" t="str">
        <f t="shared" si="49"/>
        <v>Friday</v>
      </c>
      <c r="H517" s="1" t="str">
        <f t="shared" si="50"/>
        <v>June</v>
      </c>
      <c r="I517" s="1" t="str">
        <f t="shared" si="51"/>
        <v>2024</v>
      </c>
      <c r="J517" t="b">
        <v>1</v>
      </c>
      <c r="K517" t="s">
        <v>2</v>
      </c>
      <c r="L517">
        <v>182</v>
      </c>
      <c r="M517">
        <v>51</v>
      </c>
      <c r="N517" t="str">
        <f t="shared" si="47"/>
        <v>Adults</v>
      </c>
      <c r="O517" t="s">
        <v>39</v>
      </c>
      <c r="P517" t="s">
        <v>9</v>
      </c>
    </row>
    <row r="518" spans="1:16" x14ac:dyDescent="0.25">
      <c r="A518">
        <v>548251</v>
      </c>
      <c r="B518" t="s">
        <v>69</v>
      </c>
      <c r="C518" t="s">
        <v>31</v>
      </c>
      <c r="D518">
        <v>4.8</v>
      </c>
      <c r="E518" t="str">
        <f t="shared" si="48"/>
        <v>Excellent</v>
      </c>
      <c r="F518" s="1">
        <v>45195.730555555558</v>
      </c>
      <c r="G518" s="1" t="str">
        <f t="shared" si="49"/>
        <v>Tuesday</v>
      </c>
      <c r="H518" s="1" t="str">
        <f t="shared" si="50"/>
        <v>September</v>
      </c>
      <c r="I518" s="1" t="str">
        <f t="shared" si="51"/>
        <v>2023</v>
      </c>
      <c r="J518" t="b">
        <v>0</v>
      </c>
      <c r="K518" t="s">
        <v>15</v>
      </c>
      <c r="L518">
        <v>116</v>
      </c>
      <c r="M518">
        <v>69</v>
      </c>
      <c r="N518" t="str">
        <f t="shared" si="47"/>
        <v>Seniors</v>
      </c>
      <c r="O518" t="s">
        <v>24</v>
      </c>
      <c r="P518" t="s">
        <v>4</v>
      </c>
    </row>
    <row r="519" spans="1:16" x14ac:dyDescent="0.25">
      <c r="A519">
        <v>7888747</v>
      </c>
      <c r="B519" t="s">
        <v>46</v>
      </c>
      <c r="C519" t="s">
        <v>29</v>
      </c>
      <c r="D519">
        <v>3.5</v>
      </c>
      <c r="E519" t="str">
        <f t="shared" si="48"/>
        <v>Very Good</v>
      </c>
      <c r="F519" s="1">
        <v>45515.401388888888</v>
      </c>
      <c r="G519" s="1" t="str">
        <f t="shared" si="49"/>
        <v>Sunday</v>
      </c>
      <c r="H519" s="1" t="str">
        <f t="shared" si="50"/>
        <v>August</v>
      </c>
      <c r="I519" s="1" t="str">
        <f t="shared" si="51"/>
        <v>2024</v>
      </c>
      <c r="J519" t="b">
        <v>1</v>
      </c>
      <c r="K519" t="s">
        <v>58</v>
      </c>
      <c r="L519">
        <v>471</v>
      </c>
      <c r="M519">
        <v>16</v>
      </c>
      <c r="N519" t="str">
        <f t="shared" si="47"/>
        <v>Teenagers</v>
      </c>
      <c r="O519" t="s">
        <v>86</v>
      </c>
      <c r="P519" t="s">
        <v>4</v>
      </c>
    </row>
    <row r="520" spans="1:16" x14ac:dyDescent="0.25">
      <c r="A520">
        <v>1244829</v>
      </c>
      <c r="B520" t="s">
        <v>33</v>
      </c>
      <c r="C520" t="s">
        <v>26</v>
      </c>
      <c r="D520">
        <v>2.2000000000000002</v>
      </c>
      <c r="E520" t="str">
        <f t="shared" si="48"/>
        <v>Good</v>
      </c>
      <c r="F520" s="1">
        <v>45202.995138888888</v>
      </c>
      <c r="G520" s="1" t="str">
        <f t="shared" si="49"/>
        <v>Tuesday</v>
      </c>
      <c r="H520" s="1" t="str">
        <f t="shared" si="50"/>
        <v>October</v>
      </c>
      <c r="I520" s="1" t="str">
        <f t="shared" si="51"/>
        <v>2023</v>
      </c>
      <c r="J520" t="b">
        <v>1</v>
      </c>
      <c r="K520" t="s">
        <v>2</v>
      </c>
      <c r="L520">
        <v>525</v>
      </c>
      <c r="M520">
        <v>62</v>
      </c>
      <c r="N520" t="str">
        <f t="shared" si="47"/>
        <v>Seniors</v>
      </c>
      <c r="O520" t="s">
        <v>42</v>
      </c>
      <c r="P520" t="s">
        <v>9</v>
      </c>
    </row>
    <row r="521" spans="1:16" x14ac:dyDescent="0.25">
      <c r="A521">
        <v>4165012</v>
      </c>
      <c r="B521" t="s">
        <v>62</v>
      </c>
      <c r="C521" t="s">
        <v>38</v>
      </c>
      <c r="D521">
        <v>3.4</v>
      </c>
      <c r="E521" t="str">
        <f t="shared" si="48"/>
        <v>Very Good</v>
      </c>
      <c r="F521" s="1">
        <v>45351.119444444441</v>
      </c>
      <c r="G521" s="1" t="str">
        <f t="shared" si="49"/>
        <v>Thursday</v>
      </c>
      <c r="H521" s="1" t="str">
        <f t="shared" si="50"/>
        <v>February</v>
      </c>
      <c r="I521" s="1" t="str">
        <f t="shared" si="51"/>
        <v>2024</v>
      </c>
      <c r="J521" t="b">
        <v>1</v>
      </c>
      <c r="K521" t="s">
        <v>21</v>
      </c>
      <c r="L521">
        <v>1031</v>
      </c>
      <c r="M521">
        <v>31</v>
      </c>
      <c r="N521" t="str">
        <f t="shared" si="47"/>
        <v>Adults</v>
      </c>
      <c r="O521" t="s">
        <v>81</v>
      </c>
      <c r="P521" t="s">
        <v>9</v>
      </c>
    </row>
    <row r="522" spans="1:16" x14ac:dyDescent="0.25">
      <c r="A522">
        <v>3735160</v>
      </c>
      <c r="B522" t="s">
        <v>40</v>
      </c>
      <c r="C522" t="s">
        <v>75</v>
      </c>
      <c r="D522">
        <v>1.6</v>
      </c>
      <c r="E522" t="str">
        <f t="shared" si="48"/>
        <v>Poor</v>
      </c>
      <c r="F522" s="1">
        <v>45693.77847222222</v>
      </c>
      <c r="G522" s="1" t="str">
        <f t="shared" si="49"/>
        <v>Wednesday</v>
      </c>
      <c r="H522" s="1" t="str">
        <f t="shared" si="50"/>
        <v>February</v>
      </c>
      <c r="I522" s="1" t="str">
        <f t="shared" si="51"/>
        <v>2025</v>
      </c>
      <c r="J522" t="b">
        <v>1</v>
      </c>
      <c r="K522" t="s">
        <v>2</v>
      </c>
      <c r="L522">
        <v>352</v>
      </c>
      <c r="M522">
        <v>50</v>
      </c>
      <c r="N522" t="str">
        <f t="shared" ref="N522:N551" si="52">IF(M522&lt;=17,"Teenagers", IF(AND(M522&gt;=18,M522&lt;61),"Adults",IF(M522&gt;60,"Seniors")))</f>
        <v>Adults</v>
      </c>
      <c r="O522" t="s">
        <v>39</v>
      </c>
      <c r="P522" t="s">
        <v>4</v>
      </c>
    </row>
    <row r="523" spans="1:16" x14ac:dyDescent="0.25">
      <c r="A523">
        <v>5405630</v>
      </c>
      <c r="B523" t="s">
        <v>71</v>
      </c>
      <c r="C523" t="s">
        <v>47</v>
      </c>
      <c r="D523">
        <v>3.5</v>
      </c>
      <c r="E523" t="str">
        <f t="shared" si="48"/>
        <v>Very Good</v>
      </c>
      <c r="F523" s="1">
        <v>45148.184027777781</v>
      </c>
      <c r="G523" s="1" t="str">
        <f t="shared" si="49"/>
        <v>Thursday</v>
      </c>
      <c r="H523" s="1" t="str">
        <f t="shared" si="50"/>
        <v>August</v>
      </c>
      <c r="I523" s="1" t="str">
        <f t="shared" si="51"/>
        <v>2023</v>
      </c>
      <c r="J523" t="b">
        <v>1</v>
      </c>
      <c r="K523" t="s">
        <v>58</v>
      </c>
      <c r="L523">
        <v>787</v>
      </c>
      <c r="M523">
        <v>23</v>
      </c>
      <c r="N523" t="str">
        <f t="shared" si="52"/>
        <v>Adults</v>
      </c>
      <c r="O523" t="s">
        <v>16</v>
      </c>
      <c r="P523" t="s">
        <v>9</v>
      </c>
    </row>
    <row r="524" spans="1:16" x14ac:dyDescent="0.25">
      <c r="A524">
        <v>9915290</v>
      </c>
      <c r="B524" t="s">
        <v>87</v>
      </c>
      <c r="C524" t="s">
        <v>6</v>
      </c>
      <c r="D524">
        <v>2.4</v>
      </c>
      <c r="E524" t="str">
        <f t="shared" si="48"/>
        <v>Good</v>
      </c>
      <c r="F524" s="1">
        <v>45487.557638888888</v>
      </c>
      <c r="G524" s="1" t="str">
        <f t="shared" si="49"/>
        <v>Sunday</v>
      </c>
      <c r="H524" s="1" t="str">
        <f t="shared" si="50"/>
        <v>July</v>
      </c>
      <c r="I524" s="1" t="str">
        <f t="shared" si="51"/>
        <v>2024</v>
      </c>
      <c r="J524" t="b">
        <v>1</v>
      </c>
      <c r="K524" t="s">
        <v>15</v>
      </c>
      <c r="L524">
        <v>9</v>
      </c>
      <c r="M524">
        <v>32</v>
      </c>
      <c r="N524" t="str">
        <f t="shared" si="52"/>
        <v>Adults</v>
      </c>
      <c r="O524" t="s">
        <v>44</v>
      </c>
      <c r="P524" t="s">
        <v>9</v>
      </c>
    </row>
    <row r="525" spans="1:16" x14ac:dyDescent="0.25">
      <c r="A525">
        <v>4266421</v>
      </c>
      <c r="B525" t="s">
        <v>46</v>
      </c>
      <c r="C525" t="s">
        <v>75</v>
      </c>
      <c r="D525">
        <v>2.8</v>
      </c>
      <c r="E525" t="str">
        <f t="shared" si="48"/>
        <v>Good</v>
      </c>
      <c r="F525" s="1">
        <v>45761.384027777778</v>
      </c>
      <c r="G525" s="1" t="str">
        <f t="shared" si="49"/>
        <v>Monday</v>
      </c>
      <c r="H525" s="1" t="str">
        <f t="shared" si="50"/>
        <v>April</v>
      </c>
      <c r="I525" s="1" t="str">
        <f t="shared" si="51"/>
        <v>2025</v>
      </c>
      <c r="J525" t="b">
        <v>0</v>
      </c>
      <c r="K525" t="s">
        <v>2</v>
      </c>
      <c r="L525">
        <v>195</v>
      </c>
      <c r="M525">
        <v>66</v>
      </c>
      <c r="N525" t="str">
        <f t="shared" si="52"/>
        <v>Seniors</v>
      </c>
      <c r="O525" t="s">
        <v>81</v>
      </c>
      <c r="P525" t="s">
        <v>9</v>
      </c>
    </row>
    <row r="526" spans="1:16" x14ac:dyDescent="0.25">
      <c r="A526">
        <v>3060096</v>
      </c>
      <c r="B526" t="s">
        <v>5</v>
      </c>
      <c r="C526" t="s">
        <v>34</v>
      </c>
      <c r="D526">
        <v>3.1</v>
      </c>
      <c r="E526" t="str">
        <f t="shared" si="48"/>
        <v>Very Good</v>
      </c>
      <c r="F526" s="1">
        <v>45703.282638888886</v>
      </c>
      <c r="G526" s="1" t="str">
        <f t="shared" si="49"/>
        <v>Saturday</v>
      </c>
      <c r="H526" s="1" t="str">
        <f t="shared" si="50"/>
        <v>February</v>
      </c>
      <c r="I526" s="1" t="str">
        <f t="shared" si="51"/>
        <v>2025</v>
      </c>
      <c r="J526" t="b">
        <v>1</v>
      </c>
      <c r="K526" t="s">
        <v>58</v>
      </c>
      <c r="L526">
        <v>631</v>
      </c>
      <c r="M526">
        <v>45</v>
      </c>
      <c r="N526" t="str">
        <f t="shared" si="52"/>
        <v>Adults</v>
      </c>
      <c r="O526" t="s">
        <v>77</v>
      </c>
      <c r="P526" t="s">
        <v>9</v>
      </c>
    </row>
    <row r="527" spans="1:16" x14ac:dyDescent="0.25">
      <c r="A527">
        <v>1068122</v>
      </c>
      <c r="B527" t="s">
        <v>76</v>
      </c>
      <c r="C527" t="s">
        <v>38</v>
      </c>
      <c r="D527">
        <v>2.6</v>
      </c>
      <c r="E527" t="str">
        <f t="shared" si="48"/>
        <v>Good</v>
      </c>
      <c r="F527" s="1">
        <v>45664.272916666669</v>
      </c>
      <c r="G527" s="1" t="str">
        <f t="shared" si="49"/>
        <v>Tuesday</v>
      </c>
      <c r="H527" s="1" t="str">
        <f t="shared" si="50"/>
        <v>January</v>
      </c>
      <c r="I527" s="1" t="str">
        <f t="shared" si="51"/>
        <v>2025</v>
      </c>
      <c r="J527" t="b">
        <v>1</v>
      </c>
      <c r="K527" t="s">
        <v>2</v>
      </c>
      <c r="L527">
        <v>712</v>
      </c>
      <c r="M527">
        <v>32</v>
      </c>
      <c r="N527" t="str">
        <f t="shared" si="52"/>
        <v>Adults</v>
      </c>
      <c r="O527" t="s">
        <v>24</v>
      </c>
      <c r="P527" t="s">
        <v>9</v>
      </c>
    </row>
    <row r="528" spans="1:16" x14ac:dyDescent="0.25">
      <c r="A528">
        <v>4342475</v>
      </c>
      <c r="B528" t="s">
        <v>62</v>
      </c>
      <c r="C528" t="s">
        <v>36</v>
      </c>
      <c r="D528">
        <v>3.6</v>
      </c>
      <c r="E528" t="str">
        <f t="shared" si="48"/>
        <v>Very Good</v>
      </c>
      <c r="F528" s="1">
        <v>45772.986111111109</v>
      </c>
      <c r="G528" s="1" t="str">
        <f t="shared" si="49"/>
        <v>Friday</v>
      </c>
      <c r="H528" s="1" t="str">
        <f t="shared" si="50"/>
        <v>April</v>
      </c>
      <c r="I528" s="1" t="str">
        <f t="shared" si="51"/>
        <v>2025</v>
      </c>
      <c r="J528" t="b">
        <v>1</v>
      </c>
      <c r="K528" t="s">
        <v>2</v>
      </c>
      <c r="L528">
        <v>987</v>
      </c>
      <c r="M528">
        <v>24</v>
      </c>
      <c r="N528" t="str">
        <f t="shared" si="52"/>
        <v>Adults</v>
      </c>
      <c r="O528" t="s">
        <v>16</v>
      </c>
      <c r="P528" t="s">
        <v>9</v>
      </c>
    </row>
    <row r="529" spans="1:16" x14ac:dyDescent="0.25">
      <c r="A529">
        <v>126484</v>
      </c>
      <c r="B529" t="s">
        <v>32</v>
      </c>
      <c r="C529" t="s">
        <v>26</v>
      </c>
      <c r="D529">
        <v>3.7</v>
      </c>
      <c r="E529" t="str">
        <f t="shared" si="48"/>
        <v>Very Good</v>
      </c>
      <c r="F529" s="1">
        <v>45214.119444444441</v>
      </c>
      <c r="G529" s="1" t="str">
        <f t="shared" si="49"/>
        <v>Sunday</v>
      </c>
      <c r="H529" s="1" t="str">
        <f t="shared" si="50"/>
        <v>October</v>
      </c>
      <c r="I529" s="1" t="str">
        <f t="shared" si="51"/>
        <v>2023</v>
      </c>
      <c r="J529" t="b">
        <v>1</v>
      </c>
      <c r="K529" t="s">
        <v>21</v>
      </c>
      <c r="L529">
        <v>656</v>
      </c>
      <c r="M529">
        <v>19</v>
      </c>
      <c r="N529" t="str">
        <f t="shared" si="52"/>
        <v>Adults</v>
      </c>
      <c r="O529" t="s">
        <v>39</v>
      </c>
      <c r="P529" t="s">
        <v>4</v>
      </c>
    </row>
    <row r="530" spans="1:16" x14ac:dyDescent="0.25">
      <c r="A530">
        <v>3422233</v>
      </c>
      <c r="B530" t="s">
        <v>69</v>
      </c>
      <c r="C530" t="s">
        <v>63</v>
      </c>
      <c r="D530">
        <v>4.7</v>
      </c>
      <c r="E530" t="str">
        <f t="shared" si="48"/>
        <v>Excellent</v>
      </c>
      <c r="F530" s="1">
        <v>45516.731249999997</v>
      </c>
      <c r="G530" s="1" t="str">
        <f t="shared" si="49"/>
        <v>Monday</v>
      </c>
      <c r="H530" s="1" t="str">
        <f t="shared" si="50"/>
        <v>August</v>
      </c>
      <c r="I530" s="1" t="str">
        <f t="shared" si="51"/>
        <v>2024</v>
      </c>
      <c r="J530" t="b">
        <v>1</v>
      </c>
      <c r="K530" t="s">
        <v>15</v>
      </c>
      <c r="L530">
        <v>772</v>
      </c>
      <c r="M530">
        <v>48</v>
      </c>
      <c r="N530" t="str">
        <f t="shared" si="52"/>
        <v>Adults</v>
      </c>
      <c r="O530" t="s">
        <v>22</v>
      </c>
      <c r="P530" t="s">
        <v>4</v>
      </c>
    </row>
    <row r="531" spans="1:16" x14ac:dyDescent="0.25">
      <c r="A531">
        <v>8532459</v>
      </c>
      <c r="B531" t="s">
        <v>74</v>
      </c>
      <c r="C531" t="s">
        <v>11</v>
      </c>
      <c r="D531">
        <v>4.8</v>
      </c>
      <c r="E531" t="str">
        <f t="shared" si="48"/>
        <v>Excellent</v>
      </c>
      <c r="F531" s="1">
        <v>45224.50277777778</v>
      </c>
      <c r="G531" s="1" t="str">
        <f t="shared" si="49"/>
        <v>Wednesday</v>
      </c>
      <c r="H531" s="1" t="str">
        <f t="shared" si="50"/>
        <v>October</v>
      </c>
      <c r="I531" s="1" t="str">
        <f t="shared" si="51"/>
        <v>2023</v>
      </c>
      <c r="J531" t="b">
        <v>1</v>
      </c>
      <c r="K531" t="s">
        <v>21</v>
      </c>
      <c r="L531">
        <v>232</v>
      </c>
      <c r="M531">
        <v>55</v>
      </c>
      <c r="N531" t="str">
        <f t="shared" si="52"/>
        <v>Adults</v>
      </c>
      <c r="O531" t="s">
        <v>24</v>
      </c>
      <c r="P531" t="s">
        <v>4</v>
      </c>
    </row>
    <row r="532" spans="1:16" x14ac:dyDescent="0.25">
      <c r="A532">
        <v>9614227</v>
      </c>
      <c r="B532" t="s">
        <v>51</v>
      </c>
      <c r="C532" t="s">
        <v>38</v>
      </c>
      <c r="D532">
        <v>3.1</v>
      </c>
      <c r="E532" t="str">
        <f t="shared" si="48"/>
        <v>Very Good</v>
      </c>
      <c r="F532" s="1">
        <v>45771.418055555558</v>
      </c>
      <c r="G532" s="1" t="str">
        <f t="shared" si="49"/>
        <v>Thursday</v>
      </c>
      <c r="H532" s="1" t="str">
        <f t="shared" si="50"/>
        <v>April</v>
      </c>
      <c r="I532" s="1" t="str">
        <f t="shared" si="51"/>
        <v>2025</v>
      </c>
      <c r="J532" t="b">
        <v>1</v>
      </c>
      <c r="K532" t="s">
        <v>7</v>
      </c>
      <c r="L532">
        <v>982</v>
      </c>
      <c r="M532">
        <v>20</v>
      </c>
      <c r="N532" t="str">
        <f t="shared" si="52"/>
        <v>Adults</v>
      </c>
      <c r="O532" t="s">
        <v>50</v>
      </c>
      <c r="P532" t="s">
        <v>4</v>
      </c>
    </row>
    <row r="533" spans="1:16" x14ac:dyDescent="0.25">
      <c r="A533">
        <v>3165690</v>
      </c>
      <c r="B533" t="s">
        <v>70</v>
      </c>
      <c r="C533" t="s">
        <v>36</v>
      </c>
      <c r="D533">
        <v>4</v>
      </c>
      <c r="E533" t="str">
        <f t="shared" si="48"/>
        <v>Very Good</v>
      </c>
      <c r="F533" s="1">
        <v>45161.92083333333</v>
      </c>
      <c r="G533" s="1" t="str">
        <f t="shared" si="49"/>
        <v>Wednesday</v>
      </c>
      <c r="H533" s="1" t="str">
        <f t="shared" si="50"/>
        <v>August</v>
      </c>
      <c r="I533" s="1" t="str">
        <f t="shared" si="51"/>
        <v>2023</v>
      </c>
      <c r="J533" t="b">
        <v>1</v>
      </c>
      <c r="K533" t="s">
        <v>21</v>
      </c>
      <c r="L533">
        <v>1094</v>
      </c>
      <c r="M533">
        <v>55</v>
      </c>
      <c r="N533" t="str">
        <f t="shared" si="52"/>
        <v>Adults</v>
      </c>
      <c r="O533" t="s">
        <v>48</v>
      </c>
      <c r="P533" t="s">
        <v>9</v>
      </c>
    </row>
    <row r="534" spans="1:16" x14ac:dyDescent="0.25">
      <c r="A534">
        <v>4119771</v>
      </c>
      <c r="B534" t="s">
        <v>82</v>
      </c>
      <c r="C534" t="s">
        <v>14</v>
      </c>
      <c r="D534">
        <v>2.6</v>
      </c>
      <c r="E534" t="str">
        <f t="shared" si="48"/>
        <v>Good</v>
      </c>
      <c r="F534" s="1">
        <v>45419.438194444447</v>
      </c>
      <c r="G534" s="1" t="str">
        <f t="shared" si="49"/>
        <v>Tuesday</v>
      </c>
      <c r="H534" s="1" t="str">
        <f t="shared" si="50"/>
        <v>May</v>
      </c>
      <c r="I534" s="1" t="str">
        <f t="shared" si="51"/>
        <v>2024</v>
      </c>
      <c r="J534" t="b">
        <v>0</v>
      </c>
      <c r="K534" t="s">
        <v>15</v>
      </c>
      <c r="L534">
        <v>96</v>
      </c>
      <c r="M534">
        <v>20</v>
      </c>
      <c r="N534" t="str">
        <f t="shared" si="52"/>
        <v>Adults</v>
      </c>
      <c r="O534" t="s">
        <v>68</v>
      </c>
      <c r="P534" t="s">
        <v>9</v>
      </c>
    </row>
    <row r="535" spans="1:16" x14ac:dyDescent="0.25">
      <c r="A535">
        <v>6785239</v>
      </c>
      <c r="B535" t="s">
        <v>80</v>
      </c>
      <c r="C535" t="s">
        <v>1</v>
      </c>
      <c r="D535">
        <v>2.9</v>
      </c>
      <c r="E535" t="str">
        <f t="shared" si="48"/>
        <v>Good</v>
      </c>
      <c r="F535" s="1">
        <v>45450.97152777778</v>
      </c>
      <c r="G535" s="1" t="str">
        <f t="shared" si="49"/>
        <v>Friday</v>
      </c>
      <c r="H535" s="1" t="str">
        <f t="shared" si="50"/>
        <v>June</v>
      </c>
      <c r="I535" s="1" t="str">
        <f t="shared" si="51"/>
        <v>2024</v>
      </c>
      <c r="J535" t="b">
        <v>0</v>
      </c>
      <c r="K535" t="s">
        <v>21</v>
      </c>
      <c r="L535">
        <v>674</v>
      </c>
      <c r="M535">
        <v>30</v>
      </c>
      <c r="N535" t="str">
        <f t="shared" si="52"/>
        <v>Adults</v>
      </c>
      <c r="O535" t="s">
        <v>19</v>
      </c>
      <c r="P535" t="s">
        <v>9</v>
      </c>
    </row>
    <row r="536" spans="1:16" x14ac:dyDescent="0.25">
      <c r="A536">
        <v>8072523</v>
      </c>
      <c r="B536" t="s">
        <v>73</v>
      </c>
      <c r="C536" t="s">
        <v>29</v>
      </c>
      <c r="D536">
        <v>2.6</v>
      </c>
      <c r="E536" t="str">
        <f t="shared" si="48"/>
        <v>Good</v>
      </c>
      <c r="F536" s="1">
        <v>45538.823611111111</v>
      </c>
      <c r="G536" s="1" t="str">
        <f t="shared" si="49"/>
        <v>Tuesday</v>
      </c>
      <c r="H536" s="1" t="str">
        <f t="shared" si="50"/>
        <v>September</v>
      </c>
      <c r="I536" s="1" t="str">
        <f t="shared" si="51"/>
        <v>2024</v>
      </c>
      <c r="J536" t="b">
        <v>1</v>
      </c>
      <c r="K536" t="s">
        <v>58</v>
      </c>
      <c r="L536">
        <v>136</v>
      </c>
      <c r="M536">
        <v>69</v>
      </c>
      <c r="N536" t="str">
        <f t="shared" si="52"/>
        <v>Seniors</v>
      </c>
      <c r="O536" t="s">
        <v>68</v>
      </c>
      <c r="P536" t="s">
        <v>4</v>
      </c>
    </row>
    <row r="537" spans="1:16" x14ac:dyDescent="0.25">
      <c r="A537">
        <v>3650743</v>
      </c>
      <c r="B537" t="s">
        <v>60</v>
      </c>
      <c r="C537" t="s">
        <v>75</v>
      </c>
      <c r="D537">
        <v>3.1</v>
      </c>
      <c r="E537" t="str">
        <f t="shared" si="48"/>
        <v>Very Good</v>
      </c>
      <c r="F537" s="1">
        <v>45271.256944444445</v>
      </c>
      <c r="G537" s="1" t="str">
        <f t="shared" si="49"/>
        <v>Monday</v>
      </c>
      <c r="H537" s="1" t="str">
        <f t="shared" si="50"/>
        <v>December</v>
      </c>
      <c r="I537" s="1" t="str">
        <f t="shared" si="51"/>
        <v>2023</v>
      </c>
      <c r="J537" t="b">
        <v>0</v>
      </c>
      <c r="K537" t="s">
        <v>58</v>
      </c>
      <c r="L537">
        <v>1164</v>
      </c>
      <c r="M537">
        <v>29</v>
      </c>
      <c r="N537" t="str">
        <f t="shared" si="52"/>
        <v>Adults</v>
      </c>
      <c r="O537" t="s">
        <v>3</v>
      </c>
      <c r="P537" t="s">
        <v>9</v>
      </c>
    </row>
    <row r="538" spans="1:16" x14ac:dyDescent="0.25">
      <c r="A538">
        <v>1600416</v>
      </c>
      <c r="B538" t="s">
        <v>73</v>
      </c>
      <c r="C538" t="s">
        <v>6</v>
      </c>
      <c r="D538">
        <v>3.7</v>
      </c>
      <c r="E538" t="str">
        <f t="shared" si="48"/>
        <v>Very Good</v>
      </c>
      <c r="F538" s="1">
        <v>45220.798611111109</v>
      </c>
      <c r="G538" s="1" t="str">
        <f t="shared" si="49"/>
        <v>Saturday</v>
      </c>
      <c r="H538" s="1" t="str">
        <f t="shared" si="50"/>
        <v>October</v>
      </c>
      <c r="I538" s="1" t="str">
        <f t="shared" si="51"/>
        <v>2023</v>
      </c>
      <c r="J538" t="b">
        <v>1</v>
      </c>
      <c r="K538" t="s">
        <v>21</v>
      </c>
      <c r="L538">
        <v>384</v>
      </c>
      <c r="M538">
        <v>30</v>
      </c>
      <c r="N538" t="str">
        <f t="shared" si="52"/>
        <v>Adults</v>
      </c>
      <c r="O538" t="s">
        <v>53</v>
      </c>
      <c r="P538" t="s">
        <v>4</v>
      </c>
    </row>
    <row r="539" spans="1:16" x14ac:dyDescent="0.25">
      <c r="A539">
        <v>9068148</v>
      </c>
      <c r="B539" t="s">
        <v>76</v>
      </c>
      <c r="C539" t="s">
        <v>36</v>
      </c>
      <c r="D539">
        <v>3.2</v>
      </c>
      <c r="E539" t="str">
        <f t="shared" si="48"/>
        <v>Very Good</v>
      </c>
      <c r="F539" s="1">
        <v>45630.969444444447</v>
      </c>
      <c r="G539" s="1" t="str">
        <f t="shared" si="49"/>
        <v>Wednesday</v>
      </c>
      <c r="H539" s="1" t="str">
        <f t="shared" si="50"/>
        <v>December</v>
      </c>
      <c r="I539" s="1" t="str">
        <f t="shared" si="51"/>
        <v>2024</v>
      </c>
      <c r="J539" t="b">
        <v>0</v>
      </c>
      <c r="K539" t="s">
        <v>21</v>
      </c>
      <c r="L539">
        <v>865</v>
      </c>
      <c r="M539">
        <v>73</v>
      </c>
      <c r="N539" t="str">
        <f t="shared" si="52"/>
        <v>Seniors</v>
      </c>
      <c r="O539" t="s">
        <v>66</v>
      </c>
      <c r="P539" t="s">
        <v>9</v>
      </c>
    </row>
    <row r="540" spans="1:16" x14ac:dyDescent="0.25">
      <c r="A540">
        <v>5683476</v>
      </c>
      <c r="B540" t="s">
        <v>79</v>
      </c>
      <c r="C540" t="s">
        <v>63</v>
      </c>
      <c r="D540">
        <v>1.7</v>
      </c>
      <c r="E540" t="str">
        <f t="shared" si="48"/>
        <v>Poor</v>
      </c>
      <c r="F540" s="1">
        <v>45816.134027777778</v>
      </c>
      <c r="G540" s="1" t="str">
        <f t="shared" si="49"/>
        <v>Sunday</v>
      </c>
      <c r="H540" s="1" t="str">
        <f t="shared" si="50"/>
        <v>June</v>
      </c>
      <c r="I540" s="1" t="str">
        <f t="shared" si="51"/>
        <v>2025</v>
      </c>
      <c r="J540" t="b">
        <v>1</v>
      </c>
      <c r="K540" t="s">
        <v>7</v>
      </c>
      <c r="L540">
        <v>912</v>
      </c>
      <c r="M540">
        <v>20</v>
      </c>
      <c r="N540" t="str">
        <f t="shared" si="52"/>
        <v>Adults</v>
      </c>
      <c r="O540" t="s">
        <v>65</v>
      </c>
      <c r="P540" t="s">
        <v>9</v>
      </c>
    </row>
    <row r="541" spans="1:16" x14ac:dyDescent="0.25">
      <c r="A541">
        <v>1184932</v>
      </c>
      <c r="B541" t="s">
        <v>52</v>
      </c>
      <c r="C541" t="s">
        <v>18</v>
      </c>
      <c r="D541">
        <v>2.8</v>
      </c>
      <c r="E541" t="str">
        <f t="shared" si="48"/>
        <v>Good</v>
      </c>
      <c r="F541" s="1">
        <v>45639.07708333333</v>
      </c>
      <c r="G541" s="1" t="str">
        <f t="shared" si="49"/>
        <v>Friday</v>
      </c>
      <c r="H541" s="1" t="str">
        <f t="shared" si="50"/>
        <v>December</v>
      </c>
      <c r="I541" s="1" t="str">
        <f t="shared" si="51"/>
        <v>2024</v>
      </c>
      <c r="J541" t="b">
        <v>1</v>
      </c>
      <c r="K541" t="s">
        <v>21</v>
      </c>
      <c r="L541">
        <v>772</v>
      </c>
      <c r="M541">
        <v>51</v>
      </c>
      <c r="N541" t="str">
        <f t="shared" si="52"/>
        <v>Adults</v>
      </c>
      <c r="O541" t="s">
        <v>44</v>
      </c>
      <c r="P541" t="s">
        <v>9</v>
      </c>
    </row>
    <row r="542" spans="1:16" x14ac:dyDescent="0.25">
      <c r="A542">
        <v>6425183</v>
      </c>
      <c r="B542" t="s">
        <v>82</v>
      </c>
      <c r="C542" t="s">
        <v>47</v>
      </c>
      <c r="D542">
        <v>4.5999999999999996</v>
      </c>
      <c r="E542" t="str">
        <f t="shared" si="48"/>
        <v>Excellent</v>
      </c>
      <c r="F542" s="1">
        <v>45845.825694444444</v>
      </c>
      <c r="G542" s="1" t="str">
        <f t="shared" si="49"/>
        <v>Monday</v>
      </c>
      <c r="H542" s="1" t="str">
        <f t="shared" si="50"/>
        <v>July</v>
      </c>
      <c r="I542" s="1" t="str">
        <f t="shared" si="51"/>
        <v>2025</v>
      </c>
      <c r="J542" t="b">
        <v>0</v>
      </c>
      <c r="K542" t="s">
        <v>2</v>
      </c>
      <c r="L542">
        <v>670</v>
      </c>
      <c r="M542">
        <v>39</v>
      </c>
      <c r="N542" t="str">
        <f t="shared" si="52"/>
        <v>Adults</v>
      </c>
      <c r="O542" t="s">
        <v>81</v>
      </c>
      <c r="P542" t="s">
        <v>9</v>
      </c>
    </row>
    <row r="543" spans="1:16" x14ac:dyDescent="0.25">
      <c r="A543">
        <v>3826916</v>
      </c>
      <c r="B543" t="s">
        <v>71</v>
      </c>
      <c r="C543" t="s">
        <v>36</v>
      </c>
      <c r="D543">
        <v>2</v>
      </c>
      <c r="E543" t="str">
        <f t="shared" si="48"/>
        <v>Good</v>
      </c>
      <c r="F543" s="1">
        <v>45221.665972222225</v>
      </c>
      <c r="G543" s="1" t="str">
        <f t="shared" si="49"/>
        <v>Sunday</v>
      </c>
      <c r="H543" s="1" t="str">
        <f t="shared" si="50"/>
        <v>October</v>
      </c>
      <c r="I543" s="1" t="str">
        <f t="shared" si="51"/>
        <v>2023</v>
      </c>
      <c r="J543" t="b">
        <v>1</v>
      </c>
      <c r="K543" t="s">
        <v>7</v>
      </c>
      <c r="L543">
        <v>1028</v>
      </c>
      <c r="M543">
        <v>58</v>
      </c>
      <c r="N543" t="str">
        <f t="shared" si="52"/>
        <v>Adults</v>
      </c>
      <c r="O543" t="s">
        <v>44</v>
      </c>
      <c r="P543" t="s">
        <v>4</v>
      </c>
    </row>
    <row r="544" spans="1:16" x14ac:dyDescent="0.25">
      <c r="A544">
        <v>9729651</v>
      </c>
      <c r="B544" t="s">
        <v>23</v>
      </c>
      <c r="C544" t="s">
        <v>6</v>
      </c>
      <c r="D544">
        <v>4.5</v>
      </c>
      <c r="E544" t="str">
        <f t="shared" si="48"/>
        <v>Excellent</v>
      </c>
      <c r="F544" s="1">
        <v>45510.370833333334</v>
      </c>
      <c r="G544" s="1" t="str">
        <f t="shared" si="49"/>
        <v>Tuesday</v>
      </c>
      <c r="H544" s="1" t="str">
        <f t="shared" si="50"/>
        <v>August</v>
      </c>
      <c r="I544" s="1" t="str">
        <f t="shared" si="51"/>
        <v>2024</v>
      </c>
      <c r="J544" t="b">
        <v>0</v>
      </c>
      <c r="K544" t="s">
        <v>15</v>
      </c>
      <c r="L544">
        <v>842</v>
      </c>
      <c r="M544">
        <v>40</v>
      </c>
      <c r="N544" t="str">
        <f t="shared" si="52"/>
        <v>Adults</v>
      </c>
      <c r="O544" t="s">
        <v>16</v>
      </c>
      <c r="P544" t="s">
        <v>9</v>
      </c>
    </row>
    <row r="545" spans="1:16" x14ac:dyDescent="0.25">
      <c r="A545">
        <v>9294082</v>
      </c>
      <c r="B545" t="s">
        <v>54</v>
      </c>
      <c r="C545" t="s">
        <v>29</v>
      </c>
      <c r="D545">
        <v>2</v>
      </c>
      <c r="E545" t="str">
        <f t="shared" si="48"/>
        <v>Good</v>
      </c>
      <c r="F545" s="1">
        <v>45444.729861111111</v>
      </c>
      <c r="G545" s="1" t="str">
        <f t="shared" si="49"/>
        <v>Saturday</v>
      </c>
      <c r="H545" s="1" t="str">
        <f t="shared" si="50"/>
        <v>June</v>
      </c>
      <c r="I545" s="1" t="str">
        <f t="shared" si="51"/>
        <v>2024</v>
      </c>
      <c r="J545" t="b">
        <v>1</v>
      </c>
      <c r="K545" t="s">
        <v>21</v>
      </c>
      <c r="L545">
        <v>864</v>
      </c>
      <c r="M545">
        <v>24</v>
      </c>
      <c r="N545" t="str">
        <f t="shared" si="52"/>
        <v>Adults</v>
      </c>
      <c r="O545" t="s">
        <v>81</v>
      </c>
      <c r="P545" t="s">
        <v>9</v>
      </c>
    </row>
    <row r="546" spans="1:16" x14ac:dyDescent="0.25">
      <c r="A546">
        <v>7513578</v>
      </c>
      <c r="B546" t="s">
        <v>54</v>
      </c>
      <c r="C546" t="s">
        <v>85</v>
      </c>
      <c r="D546">
        <v>3.2</v>
      </c>
      <c r="E546" t="str">
        <f t="shared" si="48"/>
        <v>Very Good</v>
      </c>
      <c r="F546" s="1">
        <v>45679.442361111112</v>
      </c>
      <c r="G546" s="1" t="str">
        <f t="shared" si="49"/>
        <v>Wednesday</v>
      </c>
      <c r="H546" s="1" t="str">
        <f t="shared" si="50"/>
        <v>January</v>
      </c>
      <c r="I546" s="1" t="str">
        <f t="shared" si="51"/>
        <v>2025</v>
      </c>
      <c r="J546" t="b">
        <v>1</v>
      </c>
      <c r="K546" t="s">
        <v>58</v>
      </c>
      <c r="L546">
        <v>113</v>
      </c>
      <c r="M546">
        <v>25</v>
      </c>
      <c r="N546" t="str">
        <f t="shared" si="52"/>
        <v>Adults</v>
      </c>
      <c r="O546" t="s">
        <v>22</v>
      </c>
      <c r="P546" t="s">
        <v>9</v>
      </c>
    </row>
    <row r="547" spans="1:16" x14ac:dyDescent="0.25">
      <c r="A547">
        <v>253218</v>
      </c>
      <c r="B547" t="s">
        <v>30</v>
      </c>
      <c r="C547" t="s">
        <v>1</v>
      </c>
      <c r="D547">
        <v>2.2000000000000002</v>
      </c>
      <c r="E547" t="str">
        <f t="shared" si="48"/>
        <v>Good</v>
      </c>
      <c r="F547" s="1">
        <v>45420.227083333331</v>
      </c>
      <c r="G547" s="1" t="str">
        <f t="shared" si="49"/>
        <v>Wednesday</v>
      </c>
      <c r="H547" s="1" t="str">
        <f t="shared" si="50"/>
        <v>May</v>
      </c>
      <c r="I547" s="1" t="str">
        <f t="shared" si="51"/>
        <v>2024</v>
      </c>
      <c r="J547" t="b">
        <v>0</v>
      </c>
      <c r="K547" t="s">
        <v>58</v>
      </c>
      <c r="L547">
        <v>210</v>
      </c>
      <c r="M547">
        <v>14</v>
      </c>
      <c r="N547" t="str">
        <f t="shared" si="52"/>
        <v>Teenagers</v>
      </c>
      <c r="O547" t="s">
        <v>53</v>
      </c>
      <c r="P547" t="s">
        <v>9</v>
      </c>
    </row>
    <row r="548" spans="1:16" x14ac:dyDescent="0.25">
      <c r="A548">
        <v>9758342</v>
      </c>
      <c r="B548" t="s">
        <v>69</v>
      </c>
      <c r="C548" t="s">
        <v>38</v>
      </c>
      <c r="D548">
        <v>1.5</v>
      </c>
      <c r="E548" t="str">
        <f t="shared" si="48"/>
        <v>Poor</v>
      </c>
      <c r="F548" s="1">
        <v>45218.063194444447</v>
      </c>
      <c r="G548" s="1" t="str">
        <f t="shared" si="49"/>
        <v>Thursday</v>
      </c>
      <c r="H548" s="1" t="str">
        <f t="shared" si="50"/>
        <v>October</v>
      </c>
      <c r="I548" s="1" t="str">
        <f t="shared" si="51"/>
        <v>2023</v>
      </c>
      <c r="J548" t="b">
        <v>0</v>
      </c>
      <c r="K548" t="s">
        <v>21</v>
      </c>
      <c r="L548">
        <v>289</v>
      </c>
      <c r="M548">
        <v>39</v>
      </c>
      <c r="N548" t="str">
        <f t="shared" si="52"/>
        <v>Adults</v>
      </c>
      <c r="O548" t="s">
        <v>50</v>
      </c>
      <c r="P548" t="s">
        <v>4</v>
      </c>
    </row>
    <row r="549" spans="1:16" x14ac:dyDescent="0.25">
      <c r="A549">
        <v>2576408</v>
      </c>
      <c r="B549" t="s">
        <v>80</v>
      </c>
      <c r="C549" t="s">
        <v>11</v>
      </c>
      <c r="D549">
        <v>2.1</v>
      </c>
      <c r="E549" t="str">
        <f t="shared" si="48"/>
        <v>Good</v>
      </c>
      <c r="F549" s="1">
        <v>45431.357638888891</v>
      </c>
      <c r="G549" s="1" t="str">
        <f t="shared" si="49"/>
        <v>Sunday</v>
      </c>
      <c r="H549" s="1" t="str">
        <f t="shared" si="50"/>
        <v>May</v>
      </c>
      <c r="I549" s="1" t="str">
        <f t="shared" si="51"/>
        <v>2024</v>
      </c>
      <c r="J549" t="b">
        <v>1</v>
      </c>
      <c r="K549" t="s">
        <v>21</v>
      </c>
      <c r="L549">
        <v>176</v>
      </c>
      <c r="M549">
        <v>60</v>
      </c>
      <c r="N549" t="str">
        <f t="shared" si="52"/>
        <v>Adults</v>
      </c>
      <c r="O549" t="s">
        <v>66</v>
      </c>
      <c r="P549" t="s">
        <v>9</v>
      </c>
    </row>
    <row r="550" spans="1:16" x14ac:dyDescent="0.25">
      <c r="A550">
        <v>1711413</v>
      </c>
      <c r="B550" t="s">
        <v>52</v>
      </c>
      <c r="C550" t="s">
        <v>31</v>
      </c>
      <c r="D550">
        <v>4.5999999999999996</v>
      </c>
      <c r="E550" t="str">
        <f t="shared" si="48"/>
        <v>Excellent</v>
      </c>
      <c r="F550" s="1">
        <v>45415.068055555559</v>
      </c>
      <c r="G550" s="1" t="str">
        <f t="shared" si="49"/>
        <v>Friday</v>
      </c>
      <c r="H550" s="1" t="str">
        <f t="shared" si="50"/>
        <v>May</v>
      </c>
      <c r="I550" s="1" t="str">
        <f t="shared" si="51"/>
        <v>2024</v>
      </c>
      <c r="J550" t="b">
        <v>1</v>
      </c>
      <c r="K550" t="s">
        <v>58</v>
      </c>
      <c r="L550">
        <v>678</v>
      </c>
      <c r="M550">
        <v>56</v>
      </c>
      <c r="N550" t="str">
        <f t="shared" si="52"/>
        <v>Adults</v>
      </c>
      <c r="O550" t="s">
        <v>50</v>
      </c>
      <c r="P550" t="s">
        <v>9</v>
      </c>
    </row>
    <row r="551" spans="1:16" x14ac:dyDescent="0.25">
      <c r="A551">
        <v>8747567</v>
      </c>
      <c r="B551" t="s">
        <v>82</v>
      </c>
      <c r="C551" t="s">
        <v>57</v>
      </c>
      <c r="D551">
        <v>3.5</v>
      </c>
      <c r="E551" t="str">
        <f t="shared" si="48"/>
        <v>Very Good</v>
      </c>
      <c r="F551" s="1">
        <v>45643.823611111111</v>
      </c>
      <c r="G551" s="1" t="str">
        <f t="shared" si="49"/>
        <v>Tuesday</v>
      </c>
      <c r="H551" s="1" t="str">
        <f t="shared" si="50"/>
        <v>December</v>
      </c>
      <c r="I551" s="1" t="str">
        <f t="shared" si="51"/>
        <v>2024</v>
      </c>
      <c r="J551" t="b">
        <v>1</v>
      </c>
      <c r="K551" t="s">
        <v>7</v>
      </c>
      <c r="L551">
        <v>883</v>
      </c>
      <c r="M551">
        <v>64</v>
      </c>
      <c r="N551" t="str">
        <f t="shared" si="52"/>
        <v>Seniors</v>
      </c>
      <c r="O551" t="s">
        <v>81</v>
      </c>
      <c r="P551" t="s">
        <v>4</v>
      </c>
    </row>
    <row r="552" spans="1:16" x14ac:dyDescent="0.25">
      <c r="A552">
        <v>2093175</v>
      </c>
      <c r="B552" t="s">
        <v>17</v>
      </c>
      <c r="C552" t="s">
        <v>43</v>
      </c>
      <c r="D552">
        <v>1.2</v>
      </c>
      <c r="E552" t="str">
        <f t="shared" si="48"/>
        <v>Poor</v>
      </c>
      <c r="F552" s="1">
        <v>45325.955555555556</v>
      </c>
      <c r="G552" s="1" t="str">
        <f t="shared" si="49"/>
        <v>Saturday</v>
      </c>
      <c r="H552" s="1" t="str">
        <f t="shared" si="50"/>
        <v>February</v>
      </c>
      <c r="I552" s="1" t="str">
        <f t="shared" si="51"/>
        <v>2024</v>
      </c>
      <c r="J552" t="b">
        <v>1</v>
      </c>
      <c r="K552" t="s">
        <v>7</v>
      </c>
      <c r="L552">
        <v>477</v>
      </c>
      <c r="M552">
        <v>32</v>
      </c>
      <c r="N552" t="str">
        <f t="shared" ref="N552:N580" si="53">IF(M552&lt;=17,"Teenagers", IF(AND(M552&gt;=18,M552&lt;61),"Adults",IF(M552&gt;60,"Seniors")))</f>
        <v>Adults</v>
      </c>
      <c r="O552" t="s">
        <v>42</v>
      </c>
      <c r="P552" t="s">
        <v>4</v>
      </c>
    </row>
    <row r="553" spans="1:16" x14ac:dyDescent="0.25">
      <c r="A553">
        <v>2993851</v>
      </c>
      <c r="B553" t="s">
        <v>60</v>
      </c>
      <c r="C553" t="s">
        <v>20</v>
      </c>
      <c r="D553">
        <v>3.9</v>
      </c>
      <c r="E553" t="str">
        <f t="shared" si="48"/>
        <v>Very Good</v>
      </c>
      <c r="F553" s="1">
        <v>45437.10833333333</v>
      </c>
      <c r="G553" s="1" t="str">
        <f t="shared" si="49"/>
        <v>Saturday</v>
      </c>
      <c r="H553" s="1" t="str">
        <f t="shared" si="50"/>
        <v>May</v>
      </c>
      <c r="I553" s="1" t="str">
        <f t="shared" si="51"/>
        <v>2024</v>
      </c>
      <c r="J553" t="b">
        <v>1</v>
      </c>
      <c r="K553" t="s">
        <v>58</v>
      </c>
      <c r="L553">
        <v>226</v>
      </c>
      <c r="M553">
        <v>46</v>
      </c>
      <c r="N553" t="str">
        <f t="shared" si="53"/>
        <v>Adults</v>
      </c>
      <c r="O553" t="s">
        <v>68</v>
      </c>
      <c r="P553" t="s">
        <v>4</v>
      </c>
    </row>
    <row r="554" spans="1:16" x14ac:dyDescent="0.25">
      <c r="A554">
        <v>9748258</v>
      </c>
      <c r="B554" t="s">
        <v>46</v>
      </c>
      <c r="C554" t="s">
        <v>14</v>
      </c>
      <c r="D554">
        <v>1.5</v>
      </c>
      <c r="E554" t="str">
        <f t="shared" si="48"/>
        <v>Poor</v>
      </c>
      <c r="F554" s="1">
        <v>45299.061111111114</v>
      </c>
      <c r="G554" s="1" t="str">
        <f t="shared" si="49"/>
        <v>Monday</v>
      </c>
      <c r="H554" s="1" t="str">
        <f t="shared" si="50"/>
        <v>January</v>
      </c>
      <c r="I554" s="1" t="str">
        <f t="shared" si="51"/>
        <v>2024</v>
      </c>
      <c r="J554" t="b">
        <v>0</v>
      </c>
      <c r="K554" t="s">
        <v>7</v>
      </c>
      <c r="L554">
        <v>1108</v>
      </c>
      <c r="M554">
        <v>63</v>
      </c>
      <c r="N554" t="str">
        <f t="shared" si="53"/>
        <v>Seniors</v>
      </c>
      <c r="O554" t="s">
        <v>27</v>
      </c>
      <c r="P554" t="s">
        <v>4</v>
      </c>
    </row>
    <row r="555" spans="1:16" x14ac:dyDescent="0.25">
      <c r="A555">
        <v>9129656</v>
      </c>
      <c r="B555" t="s">
        <v>88</v>
      </c>
      <c r="C555" t="s">
        <v>57</v>
      </c>
      <c r="D555">
        <v>2.7</v>
      </c>
      <c r="E555" t="str">
        <f t="shared" si="48"/>
        <v>Good</v>
      </c>
      <c r="F555" s="1">
        <v>45622.242361111108</v>
      </c>
      <c r="G555" s="1" t="str">
        <f t="shared" si="49"/>
        <v>Tuesday</v>
      </c>
      <c r="H555" s="1" t="str">
        <f t="shared" si="50"/>
        <v>November</v>
      </c>
      <c r="I555" s="1" t="str">
        <f t="shared" si="51"/>
        <v>2024</v>
      </c>
      <c r="J555" t="b">
        <v>1</v>
      </c>
      <c r="K555" t="s">
        <v>58</v>
      </c>
      <c r="L555">
        <v>706</v>
      </c>
      <c r="M555">
        <v>28</v>
      </c>
      <c r="N555" t="str">
        <f t="shared" si="53"/>
        <v>Adults</v>
      </c>
      <c r="O555" t="s">
        <v>19</v>
      </c>
      <c r="P555" t="s">
        <v>4</v>
      </c>
    </row>
    <row r="556" spans="1:16" x14ac:dyDescent="0.25">
      <c r="A556">
        <v>5407645</v>
      </c>
      <c r="B556" t="s">
        <v>5</v>
      </c>
      <c r="C556" t="s">
        <v>63</v>
      </c>
      <c r="D556">
        <v>4</v>
      </c>
      <c r="E556" t="str">
        <f t="shared" si="48"/>
        <v>Very Good</v>
      </c>
      <c r="F556" s="1">
        <v>45750.768055555556</v>
      </c>
      <c r="G556" s="1" t="str">
        <f t="shared" si="49"/>
        <v>Thursday</v>
      </c>
      <c r="H556" s="1" t="str">
        <f t="shared" si="50"/>
        <v>April</v>
      </c>
      <c r="I556" s="1" t="str">
        <f t="shared" si="51"/>
        <v>2025</v>
      </c>
      <c r="J556" t="b">
        <v>1</v>
      </c>
      <c r="K556" t="s">
        <v>58</v>
      </c>
      <c r="L556">
        <v>913</v>
      </c>
      <c r="M556">
        <v>48</v>
      </c>
      <c r="N556" t="str">
        <f t="shared" si="53"/>
        <v>Adults</v>
      </c>
      <c r="O556" t="s">
        <v>72</v>
      </c>
      <c r="P556" t="s">
        <v>9</v>
      </c>
    </row>
    <row r="557" spans="1:16" x14ac:dyDescent="0.25">
      <c r="A557">
        <v>5625702</v>
      </c>
      <c r="B557" t="s">
        <v>89</v>
      </c>
      <c r="C557" t="s">
        <v>63</v>
      </c>
      <c r="D557">
        <v>4.8</v>
      </c>
      <c r="E557" t="str">
        <f t="shared" si="48"/>
        <v>Excellent</v>
      </c>
      <c r="F557" s="1">
        <v>45636.118750000001</v>
      </c>
      <c r="G557" s="1" t="str">
        <f t="shared" si="49"/>
        <v>Tuesday</v>
      </c>
      <c r="H557" s="1" t="str">
        <f t="shared" si="50"/>
        <v>December</v>
      </c>
      <c r="I557" s="1" t="str">
        <f t="shared" si="51"/>
        <v>2024</v>
      </c>
      <c r="J557" t="b">
        <v>1</v>
      </c>
      <c r="K557" t="s">
        <v>7</v>
      </c>
      <c r="L557">
        <v>821</v>
      </c>
      <c r="M557">
        <v>29</v>
      </c>
      <c r="N557" t="str">
        <f t="shared" si="53"/>
        <v>Adults</v>
      </c>
      <c r="O557" t="s">
        <v>48</v>
      </c>
      <c r="P557" t="s">
        <v>4</v>
      </c>
    </row>
    <row r="558" spans="1:16" x14ac:dyDescent="0.25">
      <c r="A558">
        <v>4684424</v>
      </c>
      <c r="B558" t="s">
        <v>49</v>
      </c>
      <c r="C558" t="s">
        <v>36</v>
      </c>
      <c r="D558">
        <v>2.6</v>
      </c>
      <c r="E558" t="str">
        <f t="shared" si="48"/>
        <v>Good</v>
      </c>
      <c r="F558" s="1">
        <v>45357.911111111112</v>
      </c>
      <c r="G558" s="1" t="str">
        <f t="shared" si="49"/>
        <v>Wednesday</v>
      </c>
      <c r="H558" s="1" t="str">
        <f t="shared" si="50"/>
        <v>March</v>
      </c>
      <c r="I558" s="1" t="str">
        <f t="shared" si="51"/>
        <v>2024</v>
      </c>
      <c r="J558" t="b">
        <v>1</v>
      </c>
      <c r="K558" t="s">
        <v>15</v>
      </c>
      <c r="L558">
        <v>1087</v>
      </c>
      <c r="M558">
        <v>62</v>
      </c>
      <c r="N558" t="str">
        <f t="shared" si="53"/>
        <v>Seniors</v>
      </c>
      <c r="O558" t="s">
        <v>86</v>
      </c>
      <c r="P558" t="s">
        <v>9</v>
      </c>
    </row>
    <row r="559" spans="1:16" x14ac:dyDescent="0.25">
      <c r="A559">
        <v>3171984</v>
      </c>
      <c r="B559" t="s">
        <v>84</v>
      </c>
      <c r="C559" t="s">
        <v>18</v>
      </c>
      <c r="D559">
        <v>3.7</v>
      </c>
      <c r="E559" t="str">
        <f t="shared" si="48"/>
        <v>Very Good</v>
      </c>
      <c r="F559" s="1">
        <v>45585.739583333336</v>
      </c>
      <c r="G559" s="1" t="str">
        <f t="shared" si="49"/>
        <v>Sunday</v>
      </c>
      <c r="H559" s="1" t="str">
        <f t="shared" si="50"/>
        <v>October</v>
      </c>
      <c r="I559" s="1" t="str">
        <f t="shared" si="51"/>
        <v>2024</v>
      </c>
      <c r="J559" t="b">
        <v>1</v>
      </c>
      <c r="K559" t="s">
        <v>21</v>
      </c>
      <c r="L559">
        <v>868</v>
      </c>
      <c r="M559">
        <v>41</v>
      </c>
      <c r="N559" t="str">
        <f t="shared" si="53"/>
        <v>Adults</v>
      </c>
      <c r="O559" t="s">
        <v>8</v>
      </c>
      <c r="P559" t="s">
        <v>4</v>
      </c>
    </row>
    <row r="560" spans="1:16" x14ac:dyDescent="0.25">
      <c r="A560">
        <v>1519102</v>
      </c>
      <c r="B560" t="s">
        <v>49</v>
      </c>
      <c r="C560" t="s">
        <v>57</v>
      </c>
      <c r="D560">
        <v>3.2</v>
      </c>
      <c r="E560" t="str">
        <f t="shared" si="48"/>
        <v>Very Good</v>
      </c>
      <c r="F560" s="1">
        <v>45716.301388888889</v>
      </c>
      <c r="G560" s="1" t="str">
        <f t="shared" si="49"/>
        <v>Friday</v>
      </c>
      <c r="H560" s="1" t="str">
        <f t="shared" si="50"/>
        <v>February</v>
      </c>
      <c r="I560" s="1" t="str">
        <f t="shared" si="51"/>
        <v>2025</v>
      </c>
      <c r="J560" t="b">
        <v>1</v>
      </c>
      <c r="K560" t="s">
        <v>7</v>
      </c>
      <c r="L560">
        <v>174</v>
      </c>
      <c r="M560">
        <v>74</v>
      </c>
      <c r="N560" t="str">
        <f t="shared" si="53"/>
        <v>Seniors</v>
      </c>
      <c r="O560" t="s">
        <v>68</v>
      </c>
      <c r="P560" t="s">
        <v>4</v>
      </c>
    </row>
    <row r="561" spans="1:16" x14ac:dyDescent="0.25">
      <c r="A561">
        <v>8634273</v>
      </c>
      <c r="B561" t="s">
        <v>5</v>
      </c>
      <c r="C561" t="s">
        <v>6</v>
      </c>
      <c r="D561">
        <v>2.6</v>
      </c>
      <c r="E561" t="str">
        <f t="shared" si="48"/>
        <v>Good</v>
      </c>
      <c r="F561" s="1">
        <v>45863.126388888886</v>
      </c>
      <c r="G561" s="1" t="str">
        <f t="shared" si="49"/>
        <v>Friday</v>
      </c>
      <c r="H561" s="1" t="str">
        <f t="shared" si="50"/>
        <v>July</v>
      </c>
      <c r="I561" s="1" t="str">
        <f t="shared" si="51"/>
        <v>2025</v>
      </c>
      <c r="J561" t="b">
        <v>0</v>
      </c>
      <c r="K561" t="s">
        <v>21</v>
      </c>
      <c r="L561">
        <v>212</v>
      </c>
      <c r="M561">
        <v>18</v>
      </c>
      <c r="N561" t="str">
        <f t="shared" si="53"/>
        <v>Adults</v>
      </c>
      <c r="O561" t="s">
        <v>81</v>
      </c>
      <c r="P561" t="s">
        <v>4</v>
      </c>
    </row>
    <row r="562" spans="1:16" x14ac:dyDescent="0.25">
      <c r="A562">
        <v>6902682</v>
      </c>
      <c r="B562" t="s">
        <v>62</v>
      </c>
      <c r="C562" t="s">
        <v>63</v>
      </c>
      <c r="D562">
        <v>1.8</v>
      </c>
      <c r="E562" t="str">
        <f t="shared" si="48"/>
        <v>Poor</v>
      </c>
      <c r="F562" s="1">
        <v>45149.674305555556</v>
      </c>
      <c r="G562" s="1" t="str">
        <f t="shared" si="49"/>
        <v>Friday</v>
      </c>
      <c r="H562" s="1" t="str">
        <f t="shared" si="50"/>
        <v>August</v>
      </c>
      <c r="I562" s="1" t="str">
        <f t="shared" si="51"/>
        <v>2023</v>
      </c>
      <c r="J562" t="b">
        <v>0</v>
      </c>
      <c r="K562" t="s">
        <v>7</v>
      </c>
      <c r="L562">
        <v>546</v>
      </c>
      <c r="M562">
        <v>75</v>
      </c>
      <c r="N562" t="str">
        <f t="shared" si="53"/>
        <v>Seniors</v>
      </c>
      <c r="O562" t="s">
        <v>16</v>
      </c>
      <c r="P562" t="s">
        <v>9</v>
      </c>
    </row>
    <row r="563" spans="1:16" x14ac:dyDescent="0.25">
      <c r="A563">
        <v>3290758</v>
      </c>
      <c r="B563" t="s">
        <v>87</v>
      </c>
      <c r="C563" t="s">
        <v>57</v>
      </c>
      <c r="D563">
        <v>5</v>
      </c>
      <c r="E563" t="str">
        <f t="shared" si="48"/>
        <v>Excellent</v>
      </c>
      <c r="F563" s="1">
        <v>45846.384027777778</v>
      </c>
      <c r="G563" s="1" t="str">
        <f t="shared" si="49"/>
        <v>Tuesday</v>
      </c>
      <c r="H563" s="1" t="str">
        <f t="shared" si="50"/>
        <v>July</v>
      </c>
      <c r="I563" s="1" t="str">
        <f t="shared" si="51"/>
        <v>2025</v>
      </c>
      <c r="J563" t="b">
        <v>0</v>
      </c>
      <c r="K563" t="s">
        <v>2</v>
      </c>
      <c r="L563">
        <v>891</v>
      </c>
      <c r="M563">
        <v>19</v>
      </c>
      <c r="N563" t="str">
        <f t="shared" si="53"/>
        <v>Adults</v>
      </c>
      <c r="O563" t="s">
        <v>22</v>
      </c>
      <c r="P563" t="s">
        <v>4</v>
      </c>
    </row>
    <row r="564" spans="1:16" x14ac:dyDescent="0.25">
      <c r="A564">
        <v>4197436</v>
      </c>
      <c r="B564" t="s">
        <v>51</v>
      </c>
      <c r="C564" t="s">
        <v>38</v>
      </c>
      <c r="D564">
        <v>5</v>
      </c>
      <c r="E564" t="str">
        <f t="shared" si="48"/>
        <v>Excellent</v>
      </c>
      <c r="F564" s="1">
        <v>45712.863194444442</v>
      </c>
      <c r="G564" s="1" t="str">
        <f t="shared" si="49"/>
        <v>Monday</v>
      </c>
      <c r="H564" s="1" t="str">
        <f t="shared" si="50"/>
        <v>February</v>
      </c>
      <c r="I564" s="1" t="str">
        <f t="shared" si="51"/>
        <v>2025</v>
      </c>
      <c r="J564" t="b">
        <v>0</v>
      </c>
      <c r="K564" t="s">
        <v>21</v>
      </c>
      <c r="L564">
        <v>922</v>
      </c>
      <c r="M564">
        <v>56</v>
      </c>
      <c r="N564" t="str">
        <f t="shared" si="53"/>
        <v>Adults</v>
      </c>
      <c r="O564" t="s">
        <v>16</v>
      </c>
      <c r="P564" t="s">
        <v>9</v>
      </c>
    </row>
    <row r="565" spans="1:16" x14ac:dyDescent="0.25">
      <c r="A565">
        <v>8749141</v>
      </c>
      <c r="B565" t="s">
        <v>62</v>
      </c>
      <c r="C565" t="s">
        <v>20</v>
      </c>
      <c r="D565">
        <v>4.8</v>
      </c>
      <c r="E565" t="str">
        <f t="shared" si="48"/>
        <v>Excellent</v>
      </c>
      <c r="F565" s="1">
        <v>45780.239583333336</v>
      </c>
      <c r="G565" s="1" t="str">
        <f t="shared" si="49"/>
        <v>Saturday</v>
      </c>
      <c r="H565" s="1" t="str">
        <f t="shared" si="50"/>
        <v>May</v>
      </c>
      <c r="I565" s="1" t="str">
        <f t="shared" si="51"/>
        <v>2025</v>
      </c>
      <c r="J565" t="b">
        <v>1</v>
      </c>
      <c r="K565" t="s">
        <v>21</v>
      </c>
      <c r="L565">
        <v>987</v>
      </c>
      <c r="M565">
        <v>49</v>
      </c>
      <c r="N565" t="str">
        <f t="shared" si="53"/>
        <v>Adults</v>
      </c>
      <c r="O565" t="s">
        <v>19</v>
      </c>
      <c r="P565" t="s">
        <v>9</v>
      </c>
    </row>
    <row r="566" spans="1:16" x14ac:dyDescent="0.25">
      <c r="A566">
        <v>7868806</v>
      </c>
      <c r="B566" t="s">
        <v>35</v>
      </c>
      <c r="C566" t="s">
        <v>14</v>
      </c>
      <c r="D566">
        <v>2.8</v>
      </c>
      <c r="E566" t="str">
        <f t="shared" si="48"/>
        <v>Good</v>
      </c>
      <c r="F566" s="1">
        <v>45832.098611111112</v>
      </c>
      <c r="G566" s="1" t="str">
        <f t="shared" si="49"/>
        <v>Tuesday</v>
      </c>
      <c r="H566" s="1" t="str">
        <f t="shared" si="50"/>
        <v>June</v>
      </c>
      <c r="I566" s="1" t="str">
        <f t="shared" si="51"/>
        <v>2025</v>
      </c>
      <c r="J566" t="b">
        <v>0</v>
      </c>
      <c r="K566" t="s">
        <v>58</v>
      </c>
      <c r="L566">
        <v>1173</v>
      </c>
      <c r="M566">
        <v>32</v>
      </c>
      <c r="N566" t="str">
        <f t="shared" si="53"/>
        <v>Adults</v>
      </c>
      <c r="O566" t="s">
        <v>3</v>
      </c>
      <c r="P566" t="s">
        <v>4</v>
      </c>
    </row>
    <row r="567" spans="1:16" x14ac:dyDescent="0.25">
      <c r="A567">
        <v>198836</v>
      </c>
      <c r="B567" t="s">
        <v>87</v>
      </c>
      <c r="C567" t="s">
        <v>11</v>
      </c>
      <c r="D567">
        <v>3.7</v>
      </c>
      <c r="E567" t="str">
        <f t="shared" si="48"/>
        <v>Very Good</v>
      </c>
      <c r="F567" s="1">
        <v>45421.990277777775</v>
      </c>
      <c r="G567" s="1" t="str">
        <f t="shared" si="49"/>
        <v>Thursday</v>
      </c>
      <c r="H567" s="1" t="str">
        <f t="shared" si="50"/>
        <v>May</v>
      </c>
      <c r="I567" s="1" t="str">
        <f t="shared" si="51"/>
        <v>2024</v>
      </c>
      <c r="J567" t="b">
        <v>1</v>
      </c>
      <c r="K567" t="s">
        <v>15</v>
      </c>
      <c r="L567">
        <v>163</v>
      </c>
      <c r="M567">
        <v>53</v>
      </c>
      <c r="N567" t="str">
        <f t="shared" si="53"/>
        <v>Adults</v>
      </c>
      <c r="O567" t="s">
        <v>59</v>
      </c>
      <c r="P567" t="s">
        <v>4</v>
      </c>
    </row>
    <row r="568" spans="1:16" x14ac:dyDescent="0.25">
      <c r="A568">
        <v>9329543</v>
      </c>
      <c r="B568" t="s">
        <v>69</v>
      </c>
      <c r="C568" t="s">
        <v>18</v>
      </c>
      <c r="D568">
        <v>4.3</v>
      </c>
      <c r="E568" t="str">
        <f t="shared" si="48"/>
        <v>Excellent</v>
      </c>
      <c r="F568" s="1">
        <v>45523.796527777777</v>
      </c>
      <c r="G568" s="1" t="str">
        <f t="shared" si="49"/>
        <v>Monday</v>
      </c>
      <c r="H568" s="1" t="str">
        <f t="shared" si="50"/>
        <v>August</v>
      </c>
      <c r="I568" s="1" t="str">
        <f t="shared" si="51"/>
        <v>2024</v>
      </c>
      <c r="J568" t="b">
        <v>0</v>
      </c>
      <c r="K568" t="s">
        <v>7</v>
      </c>
      <c r="L568">
        <v>977</v>
      </c>
      <c r="M568">
        <v>39</v>
      </c>
      <c r="N568" t="str">
        <f t="shared" si="53"/>
        <v>Adults</v>
      </c>
      <c r="O568" t="s">
        <v>48</v>
      </c>
      <c r="P568" t="s">
        <v>9</v>
      </c>
    </row>
    <row r="569" spans="1:16" x14ac:dyDescent="0.25">
      <c r="A569">
        <v>6623795</v>
      </c>
      <c r="B569" t="s">
        <v>73</v>
      </c>
      <c r="C569" t="s">
        <v>34</v>
      </c>
      <c r="D569">
        <v>1.8</v>
      </c>
      <c r="E569" t="str">
        <f t="shared" si="48"/>
        <v>Poor</v>
      </c>
      <c r="F569" s="1">
        <v>45240.952777777777</v>
      </c>
      <c r="G569" s="1" t="str">
        <f t="shared" si="49"/>
        <v>Friday</v>
      </c>
      <c r="H569" s="1" t="str">
        <f t="shared" si="50"/>
        <v>November</v>
      </c>
      <c r="I569" s="1" t="str">
        <f t="shared" si="51"/>
        <v>2023</v>
      </c>
      <c r="J569" t="b">
        <v>1</v>
      </c>
      <c r="K569" t="s">
        <v>21</v>
      </c>
      <c r="L569">
        <v>832</v>
      </c>
      <c r="M569">
        <v>22</v>
      </c>
      <c r="N569" t="str">
        <f t="shared" si="53"/>
        <v>Adults</v>
      </c>
      <c r="O569" t="s">
        <v>8</v>
      </c>
      <c r="P569" t="s">
        <v>4</v>
      </c>
    </row>
    <row r="570" spans="1:16" x14ac:dyDescent="0.25">
      <c r="A570">
        <v>1909919</v>
      </c>
      <c r="B570" t="s">
        <v>89</v>
      </c>
      <c r="C570" t="s">
        <v>14</v>
      </c>
      <c r="D570">
        <v>2.7</v>
      </c>
      <c r="E570" t="str">
        <f t="shared" si="48"/>
        <v>Good</v>
      </c>
      <c r="F570" s="1">
        <v>45754.59652777778</v>
      </c>
      <c r="G570" s="1" t="str">
        <f t="shared" si="49"/>
        <v>Monday</v>
      </c>
      <c r="H570" s="1" t="str">
        <f t="shared" si="50"/>
        <v>April</v>
      </c>
      <c r="I570" s="1" t="str">
        <f t="shared" si="51"/>
        <v>2025</v>
      </c>
      <c r="J570" t="b">
        <v>1</v>
      </c>
      <c r="K570" t="s">
        <v>15</v>
      </c>
      <c r="L570">
        <v>66</v>
      </c>
      <c r="M570">
        <v>39</v>
      </c>
      <c r="N570" t="str">
        <f t="shared" si="53"/>
        <v>Adults</v>
      </c>
      <c r="O570" t="s">
        <v>22</v>
      </c>
      <c r="P570" t="s">
        <v>4</v>
      </c>
    </row>
    <row r="571" spans="1:16" x14ac:dyDescent="0.25">
      <c r="A571">
        <v>234702</v>
      </c>
      <c r="B571" t="s">
        <v>62</v>
      </c>
      <c r="C571" t="s">
        <v>18</v>
      </c>
      <c r="D571">
        <v>4.2</v>
      </c>
      <c r="E571" t="str">
        <f t="shared" si="48"/>
        <v>Excellent</v>
      </c>
      <c r="F571" s="1">
        <v>45284.01666666667</v>
      </c>
      <c r="G571" s="1" t="str">
        <f t="shared" si="49"/>
        <v>Sunday</v>
      </c>
      <c r="H571" s="1" t="str">
        <f t="shared" si="50"/>
        <v>December</v>
      </c>
      <c r="I571" s="1" t="str">
        <f t="shared" si="51"/>
        <v>2023</v>
      </c>
      <c r="J571" t="b">
        <v>1</v>
      </c>
      <c r="K571" t="s">
        <v>21</v>
      </c>
      <c r="L571">
        <v>1074</v>
      </c>
      <c r="M571">
        <v>62</v>
      </c>
      <c r="N571" t="str">
        <f t="shared" si="53"/>
        <v>Seniors</v>
      </c>
      <c r="O571" t="s">
        <v>59</v>
      </c>
      <c r="P571" t="s">
        <v>4</v>
      </c>
    </row>
    <row r="572" spans="1:16" x14ac:dyDescent="0.25">
      <c r="A572">
        <v>3324201</v>
      </c>
      <c r="B572" t="s">
        <v>84</v>
      </c>
      <c r="C572" t="s">
        <v>14</v>
      </c>
      <c r="D572">
        <v>4.8</v>
      </c>
      <c r="E572" t="str">
        <f t="shared" si="48"/>
        <v>Excellent</v>
      </c>
      <c r="F572" s="1">
        <v>45860.529861111114</v>
      </c>
      <c r="G572" s="1" t="str">
        <f t="shared" si="49"/>
        <v>Tuesday</v>
      </c>
      <c r="H572" s="1" t="str">
        <f t="shared" si="50"/>
        <v>July</v>
      </c>
      <c r="I572" s="1" t="str">
        <f t="shared" si="51"/>
        <v>2025</v>
      </c>
      <c r="J572" t="b">
        <v>1</v>
      </c>
      <c r="K572" t="s">
        <v>15</v>
      </c>
      <c r="L572">
        <v>326</v>
      </c>
      <c r="M572">
        <v>59</v>
      </c>
      <c r="N572" t="str">
        <f t="shared" si="53"/>
        <v>Adults</v>
      </c>
      <c r="O572" t="s">
        <v>37</v>
      </c>
      <c r="P572" t="s">
        <v>9</v>
      </c>
    </row>
    <row r="573" spans="1:16" x14ac:dyDescent="0.25">
      <c r="A573">
        <v>7252177</v>
      </c>
      <c r="B573" t="s">
        <v>76</v>
      </c>
      <c r="C573" t="s">
        <v>63</v>
      </c>
      <c r="D573">
        <v>2.7</v>
      </c>
      <c r="E573" t="str">
        <f t="shared" si="48"/>
        <v>Good</v>
      </c>
      <c r="F573" s="1">
        <v>45152.595833333333</v>
      </c>
      <c r="G573" s="1" t="str">
        <f t="shared" si="49"/>
        <v>Monday</v>
      </c>
      <c r="H573" s="1" t="str">
        <f t="shared" si="50"/>
        <v>August</v>
      </c>
      <c r="I573" s="1" t="str">
        <f t="shared" si="51"/>
        <v>2023</v>
      </c>
      <c r="J573" t="b">
        <v>0</v>
      </c>
      <c r="K573" t="s">
        <v>2</v>
      </c>
      <c r="L573">
        <v>654</v>
      </c>
      <c r="M573">
        <v>54</v>
      </c>
      <c r="N573" t="str">
        <f t="shared" si="53"/>
        <v>Adults</v>
      </c>
      <c r="O573" t="s">
        <v>27</v>
      </c>
      <c r="P573" t="s">
        <v>9</v>
      </c>
    </row>
    <row r="574" spans="1:16" x14ac:dyDescent="0.25">
      <c r="A574">
        <v>5241309</v>
      </c>
      <c r="B574" t="s">
        <v>46</v>
      </c>
      <c r="C574" t="s">
        <v>1</v>
      </c>
      <c r="D574">
        <v>1.5</v>
      </c>
      <c r="E574" t="str">
        <f t="shared" si="48"/>
        <v>Poor</v>
      </c>
      <c r="F574" s="1">
        <v>45682.707638888889</v>
      </c>
      <c r="G574" s="1" t="str">
        <f t="shared" si="49"/>
        <v>Saturday</v>
      </c>
      <c r="H574" s="1" t="str">
        <f t="shared" si="50"/>
        <v>January</v>
      </c>
      <c r="I574" s="1" t="str">
        <f t="shared" si="51"/>
        <v>2025</v>
      </c>
      <c r="J574" t="b">
        <v>0</v>
      </c>
      <c r="K574" t="s">
        <v>58</v>
      </c>
      <c r="L574">
        <v>1170</v>
      </c>
      <c r="M574">
        <v>21</v>
      </c>
      <c r="N574" t="str">
        <f t="shared" si="53"/>
        <v>Adults</v>
      </c>
      <c r="O574" t="s">
        <v>16</v>
      </c>
      <c r="P574" t="s">
        <v>9</v>
      </c>
    </row>
    <row r="575" spans="1:16" x14ac:dyDescent="0.25">
      <c r="A575">
        <v>4332271</v>
      </c>
      <c r="B575" t="s">
        <v>32</v>
      </c>
      <c r="C575" t="s">
        <v>75</v>
      </c>
      <c r="D575">
        <v>2.5</v>
      </c>
      <c r="E575" t="str">
        <f t="shared" si="48"/>
        <v>Good</v>
      </c>
      <c r="F575" s="1">
        <v>45520.47152777778</v>
      </c>
      <c r="G575" s="1" t="str">
        <f t="shared" si="49"/>
        <v>Friday</v>
      </c>
      <c r="H575" s="1" t="str">
        <f t="shared" si="50"/>
        <v>August</v>
      </c>
      <c r="I575" s="1" t="str">
        <f t="shared" si="51"/>
        <v>2024</v>
      </c>
      <c r="J575" t="b">
        <v>1</v>
      </c>
      <c r="K575" t="s">
        <v>21</v>
      </c>
      <c r="L575">
        <v>314</v>
      </c>
      <c r="M575">
        <v>72</v>
      </c>
      <c r="N575" t="str">
        <f t="shared" si="53"/>
        <v>Seniors</v>
      </c>
      <c r="O575" t="s">
        <v>16</v>
      </c>
      <c r="P575" t="s">
        <v>4</v>
      </c>
    </row>
    <row r="576" spans="1:16" x14ac:dyDescent="0.25">
      <c r="A576">
        <v>6163033</v>
      </c>
      <c r="B576" t="s">
        <v>84</v>
      </c>
      <c r="C576" t="s">
        <v>75</v>
      </c>
      <c r="D576">
        <v>4.5</v>
      </c>
      <c r="E576" t="str">
        <f t="shared" si="48"/>
        <v>Excellent</v>
      </c>
      <c r="F576" s="1">
        <v>45288.729166666664</v>
      </c>
      <c r="G576" s="1" t="str">
        <f t="shared" si="49"/>
        <v>Thursday</v>
      </c>
      <c r="H576" s="1" t="str">
        <f t="shared" si="50"/>
        <v>December</v>
      </c>
      <c r="I576" s="1" t="str">
        <f t="shared" si="51"/>
        <v>2023</v>
      </c>
      <c r="J576" t="b">
        <v>0</v>
      </c>
      <c r="K576" t="s">
        <v>58</v>
      </c>
      <c r="L576">
        <v>345</v>
      </c>
      <c r="M576">
        <v>23</v>
      </c>
      <c r="N576" t="str">
        <f t="shared" si="53"/>
        <v>Adults</v>
      </c>
      <c r="O576" t="s">
        <v>53</v>
      </c>
      <c r="P576" t="s">
        <v>4</v>
      </c>
    </row>
    <row r="577" spans="1:16" x14ac:dyDescent="0.25">
      <c r="A577">
        <v>9051610</v>
      </c>
      <c r="B577" t="s">
        <v>84</v>
      </c>
      <c r="C577" t="s">
        <v>63</v>
      </c>
      <c r="D577">
        <v>3.5</v>
      </c>
      <c r="E577" t="str">
        <f t="shared" si="48"/>
        <v>Very Good</v>
      </c>
      <c r="F577" s="1">
        <v>45698.71597222222</v>
      </c>
      <c r="G577" s="1" t="str">
        <f t="shared" si="49"/>
        <v>Monday</v>
      </c>
      <c r="H577" s="1" t="str">
        <f t="shared" si="50"/>
        <v>February</v>
      </c>
      <c r="I577" s="1" t="str">
        <f t="shared" si="51"/>
        <v>2025</v>
      </c>
      <c r="J577" t="b">
        <v>1</v>
      </c>
      <c r="K577" t="s">
        <v>21</v>
      </c>
      <c r="L577">
        <v>294</v>
      </c>
      <c r="M577">
        <v>59</v>
      </c>
      <c r="N577" t="str">
        <f t="shared" si="53"/>
        <v>Adults</v>
      </c>
      <c r="O577" t="s">
        <v>37</v>
      </c>
      <c r="P577" t="s">
        <v>9</v>
      </c>
    </row>
    <row r="578" spans="1:16" x14ac:dyDescent="0.25">
      <c r="A578">
        <v>4336674</v>
      </c>
      <c r="B578" t="s">
        <v>69</v>
      </c>
      <c r="C578" t="s">
        <v>31</v>
      </c>
      <c r="D578">
        <v>1.2</v>
      </c>
      <c r="E578" t="str">
        <f t="shared" ref="E578:E641" si="54">IF(D578&lt;2,"Poor",IF(AND(D578&gt;=2,D578&lt;=3),"Good",IF(AND(D578&gt;3,D578&lt;=4),"Very Good",IF(D578&gt;4,"Excellent"))))</f>
        <v>Poor</v>
      </c>
      <c r="F578" s="1">
        <v>45831.393750000003</v>
      </c>
      <c r="G578" s="1" t="str">
        <f t="shared" ref="G578:G641" si="55">TEXT(F578,"DDDD")</f>
        <v>Monday</v>
      </c>
      <c r="H578" s="1" t="str">
        <f t="shared" ref="H578:H641" si="56">TEXT(F578,"MMMM")</f>
        <v>June</v>
      </c>
      <c r="I578" s="1" t="str">
        <f t="shared" ref="I578:I641" si="57">TEXT(F578,"YYYY")</f>
        <v>2025</v>
      </c>
      <c r="J578" t="b">
        <v>0</v>
      </c>
      <c r="K578" t="s">
        <v>58</v>
      </c>
      <c r="L578">
        <v>818</v>
      </c>
      <c r="M578">
        <v>16</v>
      </c>
      <c r="N578" t="str">
        <f t="shared" si="53"/>
        <v>Teenagers</v>
      </c>
      <c r="O578" t="s">
        <v>81</v>
      </c>
      <c r="P578" t="s">
        <v>4</v>
      </c>
    </row>
    <row r="579" spans="1:16" x14ac:dyDescent="0.25">
      <c r="A579">
        <v>9501046</v>
      </c>
      <c r="B579" t="s">
        <v>49</v>
      </c>
      <c r="C579" t="s">
        <v>18</v>
      </c>
      <c r="D579">
        <v>1.6</v>
      </c>
      <c r="E579" t="str">
        <f t="shared" si="54"/>
        <v>Poor</v>
      </c>
      <c r="F579" s="1">
        <v>45408.664583333331</v>
      </c>
      <c r="G579" s="1" t="str">
        <f t="shared" si="55"/>
        <v>Friday</v>
      </c>
      <c r="H579" s="1" t="str">
        <f t="shared" si="56"/>
        <v>April</v>
      </c>
      <c r="I579" s="1" t="str">
        <f t="shared" si="57"/>
        <v>2024</v>
      </c>
      <c r="J579" t="b">
        <v>1</v>
      </c>
      <c r="K579" t="s">
        <v>7</v>
      </c>
      <c r="L579">
        <v>698</v>
      </c>
      <c r="M579">
        <v>38</v>
      </c>
      <c r="N579" t="str">
        <f t="shared" si="53"/>
        <v>Adults</v>
      </c>
      <c r="O579" t="s">
        <v>65</v>
      </c>
      <c r="P579" t="s">
        <v>9</v>
      </c>
    </row>
    <row r="580" spans="1:16" x14ac:dyDescent="0.25">
      <c r="A580">
        <v>7624283</v>
      </c>
      <c r="B580" t="s">
        <v>84</v>
      </c>
      <c r="C580" t="s">
        <v>6</v>
      </c>
      <c r="D580">
        <v>4.9000000000000004</v>
      </c>
      <c r="E580" t="str">
        <f t="shared" si="54"/>
        <v>Excellent</v>
      </c>
      <c r="F580" s="1">
        <v>45628.10833333333</v>
      </c>
      <c r="G580" s="1" t="str">
        <f t="shared" si="55"/>
        <v>Monday</v>
      </c>
      <c r="H580" s="1" t="str">
        <f t="shared" si="56"/>
        <v>December</v>
      </c>
      <c r="I580" s="1" t="str">
        <f t="shared" si="57"/>
        <v>2024</v>
      </c>
      <c r="J580" t="b">
        <v>0</v>
      </c>
      <c r="K580" t="s">
        <v>7</v>
      </c>
      <c r="L580">
        <v>43</v>
      </c>
      <c r="M580">
        <v>35</v>
      </c>
      <c r="N580" t="str">
        <f t="shared" si="53"/>
        <v>Adults</v>
      </c>
      <c r="O580" t="s">
        <v>37</v>
      </c>
      <c r="P580" t="s">
        <v>4</v>
      </c>
    </row>
    <row r="581" spans="1:16" x14ac:dyDescent="0.25">
      <c r="A581">
        <v>1235960</v>
      </c>
      <c r="B581" t="s">
        <v>5</v>
      </c>
      <c r="C581" t="s">
        <v>20</v>
      </c>
      <c r="D581">
        <v>2.2999999999999998</v>
      </c>
      <c r="E581" t="str">
        <f t="shared" si="54"/>
        <v>Good</v>
      </c>
      <c r="F581" s="1">
        <v>45286.603472222225</v>
      </c>
      <c r="G581" s="1" t="str">
        <f t="shared" si="55"/>
        <v>Tuesday</v>
      </c>
      <c r="H581" s="1" t="str">
        <f t="shared" si="56"/>
        <v>December</v>
      </c>
      <c r="I581" s="1" t="str">
        <f t="shared" si="57"/>
        <v>2023</v>
      </c>
      <c r="J581" t="b">
        <v>0</v>
      </c>
      <c r="K581" t="s">
        <v>58</v>
      </c>
      <c r="L581">
        <v>1</v>
      </c>
      <c r="M581">
        <v>42</v>
      </c>
      <c r="N581" t="str">
        <f t="shared" ref="N581:N613" si="58">IF(M581&lt;=17,"Teenagers", IF(AND(M581&gt;=18,M581&lt;61),"Adults",IF(M581&gt;60,"Seniors")))</f>
        <v>Adults</v>
      </c>
      <c r="O581" t="s">
        <v>53</v>
      </c>
      <c r="P581" t="s">
        <v>9</v>
      </c>
    </row>
    <row r="582" spans="1:16" x14ac:dyDescent="0.25">
      <c r="A582">
        <v>6768839</v>
      </c>
      <c r="B582" t="s">
        <v>82</v>
      </c>
      <c r="C582" t="s">
        <v>47</v>
      </c>
      <c r="D582">
        <v>1.9</v>
      </c>
      <c r="E582" t="str">
        <f t="shared" si="54"/>
        <v>Poor</v>
      </c>
      <c r="F582" s="1">
        <v>45450.226388888892</v>
      </c>
      <c r="G582" s="1" t="str">
        <f t="shared" si="55"/>
        <v>Friday</v>
      </c>
      <c r="H582" s="1" t="str">
        <f t="shared" si="56"/>
        <v>June</v>
      </c>
      <c r="I582" s="1" t="str">
        <f t="shared" si="57"/>
        <v>2024</v>
      </c>
      <c r="J582" t="b">
        <v>1</v>
      </c>
      <c r="K582" t="s">
        <v>2</v>
      </c>
      <c r="L582">
        <v>49</v>
      </c>
      <c r="M582">
        <v>71</v>
      </c>
      <c r="N582" t="str">
        <f t="shared" si="58"/>
        <v>Seniors</v>
      </c>
      <c r="O582" t="s">
        <v>50</v>
      </c>
      <c r="P582" t="s">
        <v>9</v>
      </c>
    </row>
    <row r="583" spans="1:16" x14ac:dyDescent="0.25">
      <c r="A583">
        <v>4654916</v>
      </c>
      <c r="B583" t="s">
        <v>5</v>
      </c>
      <c r="C583" t="s">
        <v>1</v>
      </c>
      <c r="D583">
        <v>3</v>
      </c>
      <c r="E583" t="str">
        <f t="shared" si="54"/>
        <v>Good</v>
      </c>
      <c r="F583" s="1">
        <v>45299.600694444445</v>
      </c>
      <c r="G583" s="1" t="str">
        <f t="shared" si="55"/>
        <v>Monday</v>
      </c>
      <c r="H583" s="1" t="str">
        <f t="shared" si="56"/>
        <v>January</v>
      </c>
      <c r="I583" s="1" t="str">
        <f t="shared" si="57"/>
        <v>2024</v>
      </c>
      <c r="J583" t="b">
        <v>1</v>
      </c>
      <c r="K583" t="s">
        <v>58</v>
      </c>
      <c r="L583">
        <v>1101</v>
      </c>
      <c r="M583">
        <v>51</v>
      </c>
      <c r="N583" t="str">
        <f t="shared" si="58"/>
        <v>Adults</v>
      </c>
      <c r="O583" t="s">
        <v>68</v>
      </c>
      <c r="P583" t="s">
        <v>9</v>
      </c>
    </row>
    <row r="584" spans="1:16" x14ac:dyDescent="0.25">
      <c r="A584">
        <v>160407</v>
      </c>
      <c r="B584" t="s">
        <v>28</v>
      </c>
      <c r="C584" t="s">
        <v>57</v>
      </c>
      <c r="D584">
        <v>2.4</v>
      </c>
      <c r="E584" t="str">
        <f t="shared" si="54"/>
        <v>Good</v>
      </c>
      <c r="F584" s="1">
        <v>45825.192361111112</v>
      </c>
      <c r="G584" s="1" t="str">
        <f t="shared" si="55"/>
        <v>Tuesday</v>
      </c>
      <c r="H584" s="1" t="str">
        <f t="shared" si="56"/>
        <v>June</v>
      </c>
      <c r="I584" s="1" t="str">
        <f t="shared" si="57"/>
        <v>2025</v>
      </c>
      <c r="J584" t="b">
        <v>1</v>
      </c>
      <c r="K584" t="s">
        <v>2</v>
      </c>
      <c r="L584">
        <v>1220</v>
      </c>
      <c r="M584">
        <v>15</v>
      </c>
      <c r="N584" t="str">
        <f t="shared" si="58"/>
        <v>Teenagers</v>
      </c>
      <c r="O584" t="s">
        <v>77</v>
      </c>
      <c r="P584" t="s">
        <v>9</v>
      </c>
    </row>
    <row r="585" spans="1:16" x14ac:dyDescent="0.25">
      <c r="A585">
        <v>274620</v>
      </c>
      <c r="B585" t="s">
        <v>49</v>
      </c>
      <c r="C585" t="s">
        <v>47</v>
      </c>
      <c r="D585">
        <v>4.7</v>
      </c>
      <c r="E585" t="str">
        <f t="shared" si="54"/>
        <v>Excellent</v>
      </c>
      <c r="F585" s="1">
        <v>45485.339583333334</v>
      </c>
      <c r="G585" s="1" t="str">
        <f t="shared" si="55"/>
        <v>Friday</v>
      </c>
      <c r="H585" s="1" t="str">
        <f t="shared" si="56"/>
        <v>July</v>
      </c>
      <c r="I585" s="1" t="str">
        <f t="shared" si="57"/>
        <v>2024</v>
      </c>
      <c r="J585" t="b">
        <v>1</v>
      </c>
      <c r="K585" t="s">
        <v>2</v>
      </c>
      <c r="L585">
        <v>429</v>
      </c>
      <c r="M585">
        <v>50</v>
      </c>
      <c r="N585" t="str">
        <f t="shared" si="58"/>
        <v>Adults</v>
      </c>
      <c r="O585" t="s">
        <v>81</v>
      </c>
      <c r="P585" t="s">
        <v>9</v>
      </c>
    </row>
    <row r="586" spans="1:16" x14ac:dyDescent="0.25">
      <c r="A586">
        <v>447555</v>
      </c>
      <c r="B586" t="s">
        <v>28</v>
      </c>
      <c r="C586" t="s">
        <v>85</v>
      </c>
      <c r="D586">
        <v>2.2000000000000002</v>
      </c>
      <c r="E586" t="str">
        <f t="shared" si="54"/>
        <v>Good</v>
      </c>
      <c r="F586" s="1">
        <v>45224.345138888886</v>
      </c>
      <c r="G586" s="1" t="str">
        <f t="shared" si="55"/>
        <v>Wednesday</v>
      </c>
      <c r="H586" s="1" t="str">
        <f t="shared" si="56"/>
        <v>October</v>
      </c>
      <c r="I586" s="1" t="str">
        <f t="shared" si="57"/>
        <v>2023</v>
      </c>
      <c r="J586" t="b">
        <v>1</v>
      </c>
      <c r="K586" t="s">
        <v>58</v>
      </c>
      <c r="L586">
        <v>802</v>
      </c>
      <c r="M586">
        <v>26</v>
      </c>
      <c r="N586" t="str">
        <f t="shared" si="58"/>
        <v>Adults</v>
      </c>
      <c r="O586" t="s">
        <v>66</v>
      </c>
      <c r="P586" t="s">
        <v>4</v>
      </c>
    </row>
    <row r="587" spans="1:16" x14ac:dyDescent="0.25">
      <c r="A587">
        <v>1884071</v>
      </c>
      <c r="B587" t="s">
        <v>0</v>
      </c>
      <c r="C587" t="s">
        <v>29</v>
      </c>
      <c r="D587">
        <v>3.8</v>
      </c>
      <c r="E587" t="str">
        <f t="shared" si="54"/>
        <v>Very Good</v>
      </c>
      <c r="F587" s="1">
        <v>45560.149305555555</v>
      </c>
      <c r="G587" s="1" t="str">
        <f t="shared" si="55"/>
        <v>Wednesday</v>
      </c>
      <c r="H587" s="1" t="str">
        <f t="shared" si="56"/>
        <v>September</v>
      </c>
      <c r="I587" s="1" t="str">
        <f t="shared" si="57"/>
        <v>2024</v>
      </c>
      <c r="J587" t="b">
        <v>0</v>
      </c>
      <c r="K587" t="s">
        <v>58</v>
      </c>
      <c r="L587">
        <v>368</v>
      </c>
      <c r="M587">
        <v>26</v>
      </c>
      <c r="N587" t="str">
        <f t="shared" si="58"/>
        <v>Adults</v>
      </c>
      <c r="O587" t="s">
        <v>19</v>
      </c>
      <c r="P587" t="s">
        <v>4</v>
      </c>
    </row>
    <row r="588" spans="1:16" x14ac:dyDescent="0.25">
      <c r="A588">
        <v>5777240</v>
      </c>
      <c r="B588" t="s">
        <v>30</v>
      </c>
      <c r="C588" t="s">
        <v>31</v>
      </c>
      <c r="D588">
        <v>2.2999999999999998</v>
      </c>
      <c r="E588" t="str">
        <f t="shared" si="54"/>
        <v>Good</v>
      </c>
      <c r="F588" s="1">
        <v>45801.205555555556</v>
      </c>
      <c r="G588" s="1" t="str">
        <f t="shared" si="55"/>
        <v>Saturday</v>
      </c>
      <c r="H588" s="1" t="str">
        <f t="shared" si="56"/>
        <v>May</v>
      </c>
      <c r="I588" s="1" t="str">
        <f t="shared" si="57"/>
        <v>2025</v>
      </c>
      <c r="J588" t="b">
        <v>0</v>
      </c>
      <c r="K588" t="s">
        <v>21</v>
      </c>
      <c r="L588">
        <v>577</v>
      </c>
      <c r="M588">
        <v>32</v>
      </c>
      <c r="N588" t="str">
        <f t="shared" si="58"/>
        <v>Adults</v>
      </c>
      <c r="O588" t="s">
        <v>65</v>
      </c>
      <c r="P588" t="s">
        <v>4</v>
      </c>
    </row>
    <row r="589" spans="1:16" x14ac:dyDescent="0.25">
      <c r="A589">
        <v>1525479</v>
      </c>
      <c r="B589" t="s">
        <v>33</v>
      </c>
      <c r="C589" t="s">
        <v>31</v>
      </c>
      <c r="D589">
        <v>2.2000000000000002</v>
      </c>
      <c r="E589" t="str">
        <f t="shared" si="54"/>
        <v>Good</v>
      </c>
      <c r="F589" s="1">
        <v>45369.361805555556</v>
      </c>
      <c r="G589" s="1" t="str">
        <f t="shared" si="55"/>
        <v>Monday</v>
      </c>
      <c r="H589" s="1" t="str">
        <f t="shared" si="56"/>
        <v>March</v>
      </c>
      <c r="I589" s="1" t="str">
        <f t="shared" si="57"/>
        <v>2024</v>
      </c>
      <c r="J589" t="b">
        <v>1</v>
      </c>
      <c r="K589" t="s">
        <v>58</v>
      </c>
      <c r="L589">
        <v>463</v>
      </c>
      <c r="M589">
        <v>73</v>
      </c>
      <c r="N589" t="str">
        <f t="shared" si="58"/>
        <v>Seniors</v>
      </c>
      <c r="O589" t="s">
        <v>3</v>
      </c>
      <c r="P589" t="s">
        <v>9</v>
      </c>
    </row>
    <row r="590" spans="1:16" x14ac:dyDescent="0.25">
      <c r="A590">
        <v>2479596</v>
      </c>
      <c r="B590" t="s">
        <v>79</v>
      </c>
      <c r="C590" t="s">
        <v>18</v>
      </c>
      <c r="D590">
        <v>3.2</v>
      </c>
      <c r="E590" t="str">
        <f t="shared" si="54"/>
        <v>Very Good</v>
      </c>
      <c r="F590" s="1">
        <v>45672.304861111108</v>
      </c>
      <c r="G590" s="1" t="str">
        <f t="shared" si="55"/>
        <v>Wednesday</v>
      </c>
      <c r="H590" s="1" t="str">
        <f t="shared" si="56"/>
        <v>January</v>
      </c>
      <c r="I590" s="1" t="str">
        <f t="shared" si="57"/>
        <v>2025</v>
      </c>
      <c r="J590" t="b">
        <v>0</v>
      </c>
      <c r="K590" t="s">
        <v>15</v>
      </c>
      <c r="L590">
        <v>592</v>
      </c>
      <c r="M590">
        <v>17</v>
      </c>
      <c r="N590" t="str">
        <f t="shared" si="58"/>
        <v>Teenagers</v>
      </c>
      <c r="O590" t="s">
        <v>16</v>
      </c>
      <c r="P590" t="s">
        <v>4</v>
      </c>
    </row>
    <row r="591" spans="1:16" x14ac:dyDescent="0.25">
      <c r="A591">
        <v>1985904</v>
      </c>
      <c r="B591" t="s">
        <v>28</v>
      </c>
      <c r="C591" t="s">
        <v>1</v>
      </c>
      <c r="D591">
        <v>4.5</v>
      </c>
      <c r="E591" t="str">
        <f t="shared" si="54"/>
        <v>Excellent</v>
      </c>
      <c r="F591" s="1">
        <v>45520.886111111111</v>
      </c>
      <c r="G591" s="1" t="str">
        <f t="shared" si="55"/>
        <v>Friday</v>
      </c>
      <c r="H591" s="1" t="str">
        <f t="shared" si="56"/>
        <v>August</v>
      </c>
      <c r="I591" s="1" t="str">
        <f t="shared" si="57"/>
        <v>2024</v>
      </c>
      <c r="J591" t="b">
        <v>1</v>
      </c>
      <c r="K591" t="s">
        <v>58</v>
      </c>
      <c r="L591">
        <v>634</v>
      </c>
      <c r="M591">
        <v>32</v>
      </c>
      <c r="N591" t="str">
        <f t="shared" si="58"/>
        <v>Adults</v>
      </c>
      <c r="O591" t="s">
        <v>42</v>
      </c>
      <c r="P591" t="s">
        <v>9</v>
      </c>
    </row>
    <row r="592" spans="1:16" x14ac:dyDescent="0.25">
      <c r="A592">
        <v>5698972</v>
      </c>
      <c r="B592" t="s">
        <v>73</v>
      </c>
      <c r="C592" t="s">
        <v>43</v>
      </c>
      <c r="D592">
        <v>1.9</v>
      </c>
      <c r="E592" t="str">
        <f t="shared" si="54"/>
        <v>Poor</v>
      </c>
      <c r="F592" s="1">
        <v>45230.804166666669</v>
      </c>
      <c r="G592" s="1" t="str">
        <f t="shared" si="55"/>
        <v>Tuesday</v>
      </c>
      <c r="H592" s="1" t="str">
        <f t="shared" si="56"/>
        <v>October</v>
      </c>
      <c r="I592" s="1" t="str">
        <f t="shared" si="57"/>
        <v>2023</v>
      </c>
      <c r="J592" t="b">
        <v>1</v>
      </c>
      <c r="K592" t="s">
        <v>2</v>
      </c>
      <c r="L592">
        <v>923</v>
      </c>
      <c r="M592">
        <v>35</v>
      </c>
      <c r="N592" t="str">
        <f t="shared" si="58"/>
        <v>Adults</v>
      </c>
      <c r="O592" t="s">
        <v>12</v>
      </c>
      <c r="P592" t="s">
        <v>9</v>
      </c>
    </row>
    <row r="593" spans="1:16" x14ac:dyDescent="0.25">
      <c r="A593">
        <v>1522780</v>
      </c>
      <c r="B593" t="s">
        <v>62</v>
      </c>
      <c r="C593" t="s">
        <v>38</v>
      </c>
      <c r="D593">
        <v>4.0999999999999996</v>
      </c>
      <c r="E593" t="str">
        <f t="shared" si="54"/>
        <v>Excellent</v>
      </c>
      <c r="F593" s="1">
        <v>45834.500694444447</v>
      </c>
      <c r="G593" s="1" t="str">
        <f t="shared" si="55"/>
        <v>Thursday</v>
      </c>
      <c r="H593" s="1" t="str">
        <f t="shared" si="56"/>
        <v>June</v>
      </c>
      <c r="I593" s="1" t="str">
        <f t="shared" si="57"/>
        <v>2025</v>
      </c>
      <c r="J593" t="b">
        <v>1</v>
      </c>
      <c r="K593" t="s">
        <v>15</v>
      </c>
      <c r="L593">
        <v>659</v>
      </c>
      <c r="M593">
        <v>27</v>
      </c>
      <c r="N593" t="str">
        <f t="shared" si="58"/>
        <v>Adults</v>
      </c>
      <c r="O593" t="s">
        <v>8</v>
      </c>
      <c r="P593" t="s">
        <v>9</v>
      </c>
    </row>
    <row r="594" spans="1:16" x14ac:dyDescent="0.25">
      <c r="A594">
        <v>2635087</v>
      </c>
      <c r="B594" t="s">
        <v>76</v>
      </c>
      <c r="C594" t="s">
        <v>34</v>
      </c>
      <c r="D594">
        <v>2</v>
      </c>
      <c r="E594" t="str">
        <f t="shared" si="54"/>
        <v>Good</v>
      </c>
      <c r="F594" s="1">
        <v>45425.576388888891</v>
      </c>
      <c r="G594" s="1" t="str">
        <f t="shared" si="55"/>
        <v>Monday</v>
      </c>
      <c r="H594" s="1" t="str">
        <f t="shared" si="56"/>
        <v>May</v>
      </c>
      <c r="I594" s="1" t="str">
        <f t="shared" si="57"/>
        <v>2024</v>
      </c>
      <c r="J594" t="b">
        <v>1</v>
      </c>
      <c r="K594" t="s">
        <v>58</v>
      </c>
      <c r="L594">
        <v>957</v>
      </c>
      <c r="M594">
        <v>13</v>
      </c>
      <c r="N594" t="str">
        <f t="shared" si="58"/>
        <v>Teenagers</v>
      </c>
      <c r="O594" t="s">
        <v>24</v>
      </c>
      <c r="P594" t="s">
        <v>4</v>
      </c>
    </row>
    <row r="595" spans="1:16" x14ac:dyDescent="0.25">
      <c r="A595">
        <v>1381267</v>
      </c>
      <c r="B595" t="s">
        <v>41</v>
      </c>
      <c r="C595" t="s">
        <v>26</v>
      </c>
      <c r="D595">
        <v>4.5999999999999996</v>
      </c>
      <c r="E595" t="str">
        <f t="shared" si="54"/>
        <v>Excellent</v>
      </c>
      <c r="F595" s="1">
        <v>45751.600694444445</v>
      </c>
      <c r="G595" s="1" t="str">
        <f t="shared" si="55"/>
        <v>Friday</v>
      </c>
      <c r="H595" s="1" t="str">
        <f t="shared" si="56"/>
        <v>April</v>
      </c>
      <c r="I595" s="1" t="str">
        <f t="shared" si="57"/>
        <v>2025</v>
      </c>
      <c r="J595" t="b">
        <v>1</v>
      </c>
      <c r="K595" t="s">
        <v>21</v>
      </c>
      <c r="L595">
        <v>404</v>
      </c>
      <c r="M595">
        <v>64</v>
      </c>
      <c r="N595" t="str">
        <f t="shared" si="58"/>
        <v>Seniors</v>
      </c>
      <c r="O595" t="s">
        <v>68</v>
      </c>
      <c r="P595" t="s">
        <v>9</v>
      </c>
    </row>
    <row r="596" spans="1:16" x14ac:dyDescent="0.25">
      <c r="A596">
        <v>7210722</v>
      </c>
      <c r="B596" t="s">
        <v>30</v>
      </c>
      <c r="C596" t="s">
        <v>29</v>
      </c>
      <c r="D596">
        <v>3.6</v>
      </c>
      <c r="E596" t="str">
        <f t="shared" si="54"/>
        <v>Very Good</v>
      </c>
      <c r="F596" s="1">
        <v>45296.770138888889</v>
      </c>
      <c r="G596" s="1" t="str">
        <f t="shared" si="55"/>
        <v>Friday</v>
      </c>
      <c r="H596" s="1" t="str">
        <f t="shared" si="56"/>
        <v>January</v>
      </c>
      <c r="I596" s="1" t="str">
        <f t="shared" si="57"/>
        <v>2024</v>
      </c>
      <c r="J596" t="b">
        <v>1</v>
      </c>
      <c r="K596" t="s">
        <v>2</v>
      </c>
      <c r="L596">
        <v>482</v>
      </c>
      <c r="M596">
        <v>19</v>
      </c>
      <c r="N596" t="str">
        <f t="shared" si="58"/>
        <v>Adults</v>
      </c>
      <c r="O596" t="s">
        <v>42</v>
      </c>
      <c r="P596" t="s">
        <v>4</v>
      </c>
    </row>
    <row r="597" spans="1:16" x14ac:dyDescent="0.25">
      <c r="A597">
        <v>5124905</v>
      </c>
      <c r="B597" t="s">
        <v>25</v>
      </c>
      <c r="C597" t="s">
        <v>31</v>
      </c>
      <c r="D597">
        <v>4.3</v>
      </c>
      <c r="E597" t="str">
        <f t="shared" si="54"/>
        <v>Excellent</v>
      </c>
      <c r="F597" s="1">
        <v>45528.693749999999</v>
      </c>
      <c r="G597" s="1" t="str">
        <f t="shared" si="55"/>
        <v>Saturday</v>
      </c>
      <c r="H597" s="1" t="str">
        <f t="shared" si="56"/>
        <v>August</v>
      </c>
      <c r="I597" s="1" t="str">
        <f t="shared" si="57"/>
        <v>2024</v>
      </c>
      <c r="J597" t="b">
        <v>1</v>
      </c>
      <c r="K597" t="s">
        <v>58</v>
      </c>
      <c r="L597">
        <v>984</v>
      </c>
      <c r="M597">
        <v>37</v>
      </c>
      <c r="N597" t="str">
        <f t="shared" si="58"/>
        <v>Adults</v>
      </c>
      <c r="O597" t="s">
        <v>3</v>
      </c>
      <c r="P597" t="s">
        <v>4</v>
      </c>
    </row>
    <row r="598" spans="1:16" x14ac:dyDescent="0.25">
      <c r="A598">
        <v>6434410</v>
      </c>
      <c r="B598" t="s">
        <v>5</v>
      </c>
      <c r="C598" t="s">
        <v>63</v>
      </c>
      <c r="D598">
        <v>2.7</v>
      </c>
      <c r="E598" t="str">
        <f t="shared" si="54"/>
        <v>Good</v>
      </c>
      <c r="F598" s="1">
        <v>45223.075694444444</v>
      </c>
      <c r="G598" s="1" t="str">
        <f t="shared" si="55"/>
        <v>Tuesday</v>
      </c>
      <c r="H598" s="1" t="str">
        <f t="shared" si="56"/>
        <v>October</v>
      </c>
      <c r="I598" s="1" t="str">
        <f t="shared" si="57"/>
        <v>2023</v>
      </c>
      <c r="J598" t="b">
        <v>1</v>
      </c>
      <c r="K598" t="s">
        <v>21</v>
      </c>
      <c r="L598">
        <v>890</v>
      </c>
      <c r="M598">
        <v>45</v>
      </c>
      <c r="N598" t="str">
        <f t="shared" si="58"/>
        <v>Adults</v>
      </c>
      <c r="O598" t="s">
        <v>48</v>
      </c>
      <c r="P598" t="s">
        <v>9</v>
      </c>
    </row>
    <row r="599" spans="1:16" x14ac:dyDescent="0.25">
      <c r="A599">
        <v>8216934</v>
      </c>
      <c r="B599" t="s">
        <v>70</v>
      </c>
      <c r="C599" t="s">
        <v>1</v>
      </c>
      <c r="D599">
        <v>3.2</v>
      </c>
      <c r="E599" t="str">
        <f t="shared" si="54"/>
        <v>Very Good</v>
      </c>
      <c r="F599" s="1">
        <v>45174.359027777777</v>
      </c>
      <c r="G599" s="1" t="str">
        <f t="shared" si="55"/>
        <v>Tuesday</v>
      </c>
      <c r="H599" s="1" t="str">
        <f t="shared" si="56"/>
        <v>September</v>
      </c>
      <c r="I599" s="1" t="str">
        <f t="shared" si="57"/>
        <v>2023</v>
      </c>
      <c r="J599" t="b">
        <v>1</v>
      </c>
      <c r="K599" t="s">
        <v>7</v>
      </c>
      <c r="L599">
        <v>814</v>
      </c>
      <c r="M599">
        <v>74</v>
      </c>
      <c r="N599" t="str">
        <f t="shared" si="58"/>
        <v>Seniors</v>
      </c>
      <c r="O599" t="s">
        <v>12</v>
      </c>
      <c r="P599" t="s">
        <v>9</v>
      </c>
    </row>
    <row r="600" spans="1:16" x14ac:dyDescent="0.25">
      <c r="A600">
        <v>8548643</v>
      </c>
      <c r="B600" t="s">
        <v>83</v>
      </c>
      <c r="C600" t="s">
        <v>29</v>
      </c>
      <c r="D600">
        <v>2.2000000000000002</v>
      </c>
      <c r="E600" t="str">
        <f t="shared" si="54"/>
        <v>Good</v>
      </c>
      <c r="F600" s="1">
        <v>45217.32916666667</v>
      </c>
      <c r="G600" s="1" t="str">
        <f t="shared" si="55"/>
        <v>Wednesday</v>
      </c>
      <c r="H600" s="1" t="str">
        <f t="shared" si="56"/>
        <v>October</v>
      </c>
      <c r="I600" s="1" t="str">
        <f t="shared" si="57"/>
        <v>2023</v>
      </c>
      <c r="J600" t="b">
        <v>1</v>
      </c>
      <c r="K600" t="s">
        <v>21</v>
      </c>
      <c r="L600">
        <v>962</v>
      </c>
      <c r="M600">
        <v>29</v>
      </c>
      <c r="N600" t="str">
        <f t="shared" si="58"/>
        <v>Adults</v>
      </c>
      <c r="O600" t="s">
        <v>55</v>
      </c>
      <c r="P600" t="s">
        <v>9</v>
      </c>
    </row>
    <row r="601" spans="1:16" x14ac:dyDescent="0.25">
      <c r="A601">
        <v>727606</v>
      </c>
      <c r="B601" t="s">
        <v>0</v>
      </c>
      <c r="C601" t="s">
        <v>63</v>
      </c>
      <c r="D601">
        <v>1.6</v>
      </c>
      <c r="E601" t="str">
        <f t="shared" si="54"/>
        <v>Poor</v>
      </c>
      <c r="F601" s="1">
        <v>45364.220138888886</v>
      </c>
      <c r="G601" s="1" t="str">
        <f t="shared" si="55"/>
        <v>Wednesday</v>
      </c>
      <c r="H601" s="1" t="str">
        <f t="shared" si="56"/>
        <v>March</v>
      </c>
      <c r="I601" s="1" t="str">
        <f t="shared" si="57"/>
        <v>2024</v>
      </c>
      <c r="J601" t="b">
        <v>1</v>
      </c>
      <c r="K601" t="s">
        <v>21</v>
      </c>
      <c r="L601">
        <v>61</v>
      </c>
      <c r="M601">
        <v>68</v>
      </c>
      <c r="N601" t="str">
        <f t="shared" si="58"/>
        <v>Seniors</v>
      </c>
      <c r="O601" t="s">
        <v>72</v>
      </c>
      <c r="P601" t="s">
        <v>9</v>
      </c>
    </row>
    <row r="602" spans="1:16" x14ac:dyDescent="0.25">
      <c r="A602">
        <v>1421253</v>
      </c>
      <c r="B602" t="s">
        <v>56</v>
      </c>
      <c r="C602" t="s">
        <v>43</v>
      </c>
      <c r="D602">
        <v>2.6</v>
      </c>
      <c r="E602" t="str">
        <f t="shared" si="54"/>
        <v>Good</v>
      </c>
      <c r="F602" s="1">
        <v>45826.436111111114</v>
      </c>
      <c r="G602" s="1" t="str">
        <f t="shared" si="55"/>
        <v>Wednesday</v>
      </c>
      <c r="H602" s="1" t="str">
        <f t="shared" si="56"/>
        <v>June</v>
      </c>
      <c r="I602" s="1" t="str">
        <f t="shared" si="57"/>
        <v>2025</v>
      </c>
      <c r="J602" t="b">
        <v>0</v>
      </c>
      <c r="K602" t="s">
        <v>15</v>
      </c>
      <c r="L602">
        <v>1188</v>
      </c>
      <c r="M602">
        <v>73</v>
      </c>
      <c r="N602" t="str">
        <f t="shared" si="58"/>
        <v>Seniors</v>
      </c>
      <c r="O602" t="s">
        <v>53</v>
      </c>
      <c r="P602" t="s">
        <v>4</v>
      </c>
    </row>
    <row r="603" spans="1:16" x14ac:dyDescent="0.25">
      <c r="A603">
        <v>1665160</v>
      </c>
      <c r="B603" t="s">
        <v>69</v>
      </c>
      <c r="C603" t="s">
        <v>75</v>
      </c>
      <c r="D603">
        <v>2.2999999999999998</v>
      </c>
      <c r="E603" t="str">
        <f t="shared" si="54"/>
        <v>Good</v>
      </c>
      <c r="F603" s="1">
        <v>45528.497916666667</v>
      </c>
      <c r="G603" s="1" t="str">
        <f t="shared" si="55"/>
        <v>Saturday</v>
      </c>
      <c r="H603" s="1" t="str">
        <f t="shared" si="56"/>
        <v>August</v>
      </c>
      <c r="I603" s="1" t="str">
        <f t="shared" si="57"/>
        <v>2024</v>
      </c>
      <c r="J603" t="b">
        <v>1</v>
      </c>
      <c r="K603" t="s">
        <v>15</v>
      </c>
      <c r="L603">
        <v>678</v>
      </c>
      <c r="M603">
        <v>36</v>
      </c>
      <c r="N603" t="str">
        <f t="shared" si="58"/>
        <v>Adults</v>
      </c>
      <c r="O603" t="s">
        <v>39</v>
      </c>
      <c r="P603" t="s">
        <v>4</v>
      </c>
    </row>
    <row r="604" spans="1:16" x14ac:dyDescent="0.25">
      <c r="A604">
        <v>5787823</v>
      </c>
      <c r="B604" t="s">
        <v>40</v>
      </c>
      <c r="C604" t="s">
        <v>26</v>
      </c>
      <c r="D604">
        <v>4.3</v>
      </c>
      <c r="E604" t="str">
        <f t="shared" si="54"/>
        <v>Excellent</v>
      </c>
      <c r="F604" s="1">
        <v>45214.535416666666</v>
      </c>
      <c r="G604" s="1" t="str">
        <f t="shared" si="55"/>
        <v>Sunday</v>
      </c>
      <c r="H604" s="1" t="str">
        <f t="shared" si="56"/>
        <v>October</v>
      </c>
      <c r="I604" s="1" t="str">
        <f t="shared" si="57"/>
        <v>2023</v>
      </c>
      <c r="J604" t="b">
        <v>1</v>
      </c>
      <c r="K604" t="s">
        <v>2</v>
      </c>
      <c r="L604">
        <v>138</v>
      </c>
      <c r="M604">
        <v>64</v>
      </c>
      <c r="N604" t="str">
        <f t="shared" si="58"/>
        <v>Seniors</v>
      </c>
      <c r="O604" t="s">
        <v>65</v>
      </c>
      <c r="P604" t="s">
        <v>4</v>
      </c>
    </row>
    <row r="605" spans="1:16" x14ac:dyDescent="0.25">
      <c r="A605">
        <v>2492808</v>
      </c>
      <c r="B605" t="s">
        <v>56</v>
      </c>
      <c r="C605" t="s">
        <v>47</v>
      </c>
      <c r="D605">
        <v>2.8</v>
      </c>
      <c r="E605" t="str">
        <f t="shared" si="54"/>
        <v>Good</v>
      </c>
      <c r="F605" s="1">
        <v>45734.094444444447</v>
      </c>
      <c r="G605" s="1" t="str">
        <f t="shared" si="55"/>
        <v>Tuesday</v>
      </c>
      <c r="H605" s="1" t="str">
        <f t="shared" si="56"/>
        <v>March</v>
      </c>
      <c r="I605" s="1" t="str">
        <f t="shared" si="57"/>
        <v>2025</v>
      </c>
      <c r="J605" t="b">
        <v>1</v>
      </c>
      <c r="K605" t="s">
        <v>21</v>
      </c>
      <c r="L605">
        <v>1243</v>
      </c>
      <c r="M605">
        <v>75</v>
      </c>
      <c r="N605" t="str">
        <f t="shared" si="58"/>
        <v>Seniors</v>
      </c>
      <c r="O605" t="s">
        <v>3</v>
      </c>
      <c r="P605" t="s">
        <v>9</v>
      </c>
    </row>
    <row r="606" spans="1:16" x14ac:dyDescent="0.25">
      <c r="A606">
        <v>5363326</v>
      </c>
      <c r="B606" t="s">
        <v>30</v>
      </c>
      <c r="C606" t="s">
        <v>6</v>
      </c>
      <c r="D606">
        <v>4.3</v>
      </c>
      <c r="E606" t="str">
        <f t="shared" si="54"/>
        <v>Excellent</v>
      </c>
      <c r="F606" s="1">
        <v>45208.184027777781</v>
      </c>
      <c r="G606" s="1" t="str">
        <f t="shared" si="55"/>
        <v>Monday</v>
      </c>
      <c r="H606" s="1" t="str">
        <f t="shared" si="56"/>
        <v>October</v>
      </c>
      <c r="I606" s="1" t="str">
        <f t="shared" si="57"/>
        <v>2023</v>
      </c>
      <c r="J606" t="b">
        <v>1</v>
      </c>
      <c r="K606" t="s">
        <v>21</v>
      </c>
      <c r="L606">
        <v>981</v>
      </c>
      <c r="M606">
        <v>49</v>
      </c>
      <c r="N606" t="str">
        <f t="shared" si="58"/>
        <v>Adults</v>
      </c>
      <c r="O606" t="s">
        <v>72</v>
      </c>
      <c r="P606" t="s">
        <v>4</v>
      </c>
    </row>
    <row r="607" spans="1:16" x14ac:dyDescent="0.25">
      <c r="A607">
        <v>3106246</v>
      </c>
      <c r="B607" t="s">
        <v>74</v>
      </c>
      <c r="C607" t="s">
        <v>85</v>
      </c>
      <c r="D607">
        <v>2.5</v>
      </c>
      <c r="E607" t="str">
        <f t="shared" si="54"/>
        <v>Good</v>
      </c>
      <c r="F607" s="1">
        <v>45690.859722222223</v>
      </c>
      <c r="G607" s="1" t="str">
        <f t="shared" si="55"/>
        <v>Sunday</v>
      </c>
      <c r="H607" s="1" t="str">
        <f t="shared" si="56"/>
        <v>February</v>
      </c>
      <c r="I607" s="1" t="str">
        <f t="shared" si="57"/>
        <v>2025</v>
      </c>
      <c r="J607" t="b">
        <v>0</v>
      </c>
      <c r="K607" t="s">
        <v>21</v>
      </c>
      <c r="L607">
        <v>1048</v>
      </c>
      <c r="M607">
        <v>38</v>
      </c>
      <c r="N607" t="str">
        <f t="shared" si="58"/>
        <v>Adults</v>
      </c>
      <c r="O607" t="s">
        <v>50</v>
      </c>
      <c r="P607" t="s">
        <v>9</v>
      </c>
    </row>
    <row r="608" spans="1:16" x14ac:dyDescent="0.25">
      <c r="A608">
        <v>4207344</v>
      </c>
      <c r="B608" t="s">
        <v>28</v>
      </c>
      <c r="C608" t="s">
        <v>14</v>
      </c>
      <c r="D608">
        <v>4.4000000000000004</v>
      </c>
      <c r="E608" t="str">
        <f t="shared" si="54"/>
        <v>Excellent</v>
      </c>
      <c r="F608" s="1">
        <v>45497.94027777778</v>
      </c>
      <c r="G608" s="1" t="str">
        <f t="shared" si="55"/>
        <v>Wednesday</v>
      </c>
      <c r="H608" s="1" t="str">
        <f t="shared" si="56"/>
        <v>July</v>
      </c>
      <c r="I608" s="1" t="str">
        <f t="shared" si="57"/>
        <v>2024</v>
      </c>
      <c r="J608" t="b">
        <v>0</v>
      </c>
      <c r="K608" t="s">
        <v>15</v>
      </c>
      <c r="L608">
        <v>116</v>
      </c>
      <c r="M608">
        <v>41</v>
      </c>
      <c r="N608" t="str">
        <f t="shared" si="58"/>
        <v>Adults</v>
      </c>
      <c r="O608" t="s">
        <v>24</v>
      </c>
      <c r="P608" t="s">
        <v>9</v>
      </c>
    </row>
    <row r="609" spans="1:16" x14ac:dyDescent="0.25">
      <c r="A609">
        <v>7959936</v>
      </c>
      <c r="B609" t="s">
        <v>23</v>
      </c>
      <c r="C609" t="s">
        <v>20</v>
      </c>
      <c r="D609">
        <v>4.2</v>
      </c>
      <c r="E609" t="str">
        <f t="shared" si="54"/>
        <v>Excellent</v>
      </c>
      <c r="F609" s="1">
        <v>45637.910416666666</v>
      </c>
      <c r="G609" s="1" t="str">
        <f t="shared" si="55"/>
        <v>Wednesday</v>
      </c>
      <c r="H609" s="1" t="str">
        <f t="shared" si="56"/>
        <v>December</v>
      </c>
      <c r="I609" s="1" t="str">
        <f t="shared" si="57"/>
        <v>2024</v>
      </c>
      <c r="J609" t="b">
        <v>1</v>
      </c>
      <c r="K609" t="s">
        <v>7</v>
      </c>
      <c r="L609">
        <v>400</v>
      </c>
      <c r="M609">
        <v>23</v>
      </c>
      <c r="N609" t="str">
        <f t="shared" si="58"/>
        <v>Adults</v>
      </c>
      <c r="O609" t="s">
        <v>42</v>
      </c>
      <c r="P609" t="s">
        <v>4</v>
      </c>
    </row>
    <row r="610" spans="1:16" x14ac:dyDescent="0.25">
      <c r="A610">
        <v>3446568</v>
      </c>
      <c r="B610" t="s">
        <v>5</v>
      </c>
      <c r="C610" t="s">
        <v>31</v>
      </c>
      <c r="D610">
        <v>3.3</v>
      </c>
      <c r="E610" t="str">
        <f t="shared" si="54"/>
        <v>Very Good</v>
      </c>
      <c r="F610" s="1">
        <v>45450.747916666667</v>
      </c>
      <c r="G610" s="1" t="str">
        <f t="shared" si="55"/>
        <v>Friday</v>
      </c>
      <c r="H610" s="1" t="str">
        <f t="shared" si="56"/>
        <v>June</v>
      </c>
      <c r="I610" s="1" t="str">
        <f t="shared" si="57"/>
        <v>2024</v>
      </c>
      <c r="J610" t="b">
        <v>1</v>
      </c>
      <c r="K610" t="s">
        <v>58</v>
      </c>
      <c r="L610">
        <v>258</v>
      </c>
      <c r="M610">
        <v>75</v>
      </c>
      <c r="N610" t="str">
        <f t="shared" si="58"/>
        <v>Seniors</v>
      </c>
      <c r="O610" t="s">
        <v>53</v>
      </c>
      <c r="P610" t="s">
        <v>4</v>
      </c>
    </row>
    <row r="611" spans="1:16" x14ac:dyDescent="0.25">
      <c r="A611">
        <v>1181652</v>
      </c>
      <c r="B611" t="s">
        <v>67</v>
      </c>
      <c r="C611" t="s">
        <v>85</v>
      </c>
      <c r="D611">
        <v>2.1</v>
      </c>
      <c r="E611" t="str">
        <f t="shared" si="54"/>
        <v>Good</v>
      </c>
      <c r="F611" s="1">
        <v>45385.320138888892</v>
      </c>
      <c r="G611" s="1" t="str">
        <f t="shared" si="55"/>
        <v>Wednesday</v>
      </c>
      <c r="H611" s="1" t="str">
        <f t="shared" si="56"/>
        <v>April</v>
      </c>
      <c r="I611" s="1" t="str">
        <f t="shared" si="57"/>
        <v>2024</v>
      </c>
      <c r="J611" t="b">
        <v>1</v>
      </c>
      <c r="K611" t="s">
        <v>2</v>
      </c>
      <c r="L611">
        <v>72</v>
      </c>
      <c r="M611">
        <v>14</v>
      </c>
      <c r="N611" t="str">
        <f t="shared" si="58"/>
        <v>Teenagers</v>
      </c>
      <c r="O611" t="s">
        <v>50</v>
      </c>
      <c r="P611" t="s">
        <v>4</v>
      </c>
    </row>
    <row r="612" spans="1:16" x14ac:dyDescent="0.25">
      <c r="A612">
        <v>7726564</v>
      </c>
      <c r="B612" t="s">
        <v>52</v>
      </c>
      <c r="C612" t="s">
        <v>6</v>
      </c>
      <c r="D612">
        <v>3.4</v>
      </c>
      <c r="E612" t="str">
        <f t="shared" si="54"/>
        <v>Very Good</v>
      </c>
      <c r="F612" s="1">
        <v>45168.612500000003</v>
      </c>
      <c r="G612" s="1" t="str">
        <f t="shared" si="55"/>
        <v>Wednesday</v>
      </c>
      <c r="H612" s="1" t="str">
        <f t="shared" si="56"/>
        <v>August</v>
      </c>
      <c r="I612" s="1" t="str">
        <f t="shared" si="57"/>
        <v>2023</v>
      </c>
      <c r="J612" t="b">
        <v>1</v>
      </c>
      <c r="K612" t="s">
        <v>58</v>
      </c>
      <c r="L612">
        <v>5</v>
      </c>
      <c r="M612">
        <v>67</v>
      </c>
      <c r="N612" t="str">
        <f t="shared" si="58"/>
        <v>Seniors</v>
      </c>
      <c r="O612" t="s">
        <v>44</v>
      </c>
      <c r="P612" t="s">
        <v>4</v>
      </c>
    </row>
    <row r="613" spans="1:16" x14ac:dyDescent="0.25">
      <c r="A613">
        <v>1007270</v>
      </c>
      <c r="B613" t="s">
        <v>69</v>
      </c>
      <c r="C613" t="s">
        <v>26</v>
      </c>
      <c r="D613">
        <v>3.9</v>
      </c>
      <c r="E613" t="str">
        <f t="shared" si="54"/>
        <v>Very Good</v>
      </c>
      <c r="F613" s="1">
        <v>45489.506944444445</v>
      </c>
      <c r="G613" s="1" t="str">
        <f t="shared" si="55"/>
        <v>Tuesday</v>
      </c>
      <c r="H613" s="1" t="str">
        <f t="shared" si="56"/>
        <v>July</v>
      </c>
      <c r="I613" s="1" t="str">
        <f t="shared" si="57"/>
        <v>2024</v>
      </c>
      <c r="J613" t="b">
        <v>1</v>
      </c>
      <c r="K613" t="s">
        <v>2</v>
      </c>
      <c r="L613">
        <v>1111</v>
      </c>
      <c r="M613">
        <v>45</v>
      </c>
      <c r="N613" t="str">
        <f t="shared" si="58"/>
        <v>Adults</v>
      </c>
      <c r="O613" t="s">
        <v>66</v>
      </c>
      <c r="P613" t="s">
        <v>4</v>
      </c>
    </row>
    <row r="614" spans="1:16" x14ac:dyDescent="0.25">
      <c r="A614">
        <v>9803556</v>
      </c>
      <c r="B614" t="s">
        <v>56</v>
      </c>
      <c r="C614" t="s">
        <v>1</v>
      </c>
      <c r="D614">
        <v>1.4</v>
      </c>
      <c r="E614" t="str">
        <f t="shared" si="54"/>
        <v>Poor</v>
      </c>
      <c r="F614" s="1">
        <v>45526.563888888886</v>
      </c>
      <c r="G614" s="1" t="str">
        <f t="shared" si="55"/>
        <v>Thursday</v>
      </c>
      <c r="H614" s="1" t="str">
        <f t="shared" si="56"/>
        <v>August</v>
      </c>
      <c r="I614" s="1" t="str">
        <f t="shared" si="57"/>
        <v>2024</v>
      </c>
      <c r="J614" t="b">
        <v>0</v>
      </c>
      <c r="K614" t="s">
        <v>15</v>
      </c>
      <c r="L614">
        <v>488</v>
      </c>
      <c r="M614">
        <v>42</v>
      </c>
      <c r="N614" t="str">
        <f t="shared" ref="N614:N651" si="59">IF(M614&lt;=17,"Teenagers", IF(AND(M614&gt;=18,M614&lt;61),"Adults",IF(M614&gt;60,"Seniors")))</f>
        <v>Adults</v>
      </c>
      <c r="O614" t="s">
        <v>72</v>
      </c>
      <c r="P614" t="s">
        <v>4</v>
      </c>
    </row>
    <row r="615" spans="1:16" x14ac:dyDescent="0.25">
      <c r="A615">
        <v>7750368</v>
      </c>
      <c r="B615" t="s">
        <v>71</v>
      </c>
      <c r="C615" t="s">
        <v>34</v>
      </c>
      <c r="D615">
        <v>4.0999999999999996</v>
      </c>
      <c r="E615" t="str">
        <f t="shared" si="54"/>
        <v>Excellent</v>
      </c>
      <c r="F615" s="1">
        <v>45477.432638888888</v>
      </c>
      <c r="G615" s="1" t="str">
        <f t="shared" si="55"/>
        <v>Thursday</v>
      </c>
      <c r="H615" s="1" t="str">
        <f t="shared" si="56"/>
        <v>July</v>
      </c>
      <c r="I615" s="1" t="str">
        <f t="shared" si="57"/>
        <v>2024</v>
      </c>
      <c r="J615" t="b">
        <v>1</v>
      </c>
      <c r="K615" t="s">
        <v>2</v>
      </c>
      <c r="L615">
        <v>616</v>
      </c>
      <c r="M615">
        <v>51</v>
      </c>
      <c r="N615" t="str">
        <f t="shared" si="59"/>
        <v>Adults</v>
      </c>
      <c r="O615" t="s">
        <v>55</v>
      </c>
      <c r="P615" t="s">
        <v>9</v>
      </c>
    </row>
    <row r="616" spans="1:16" x14ac:dyDescent="0.25">
      <c r="A616">
        <v>7439925</v>
      </c>
      <c r="B616" t="s">
        <v>54</v>
      </c>
      <c r="C616" t="s">
        <v>63</v>
      </c>
      <c r="D616">
        <v>1.4</v>
      </c>
      <c r="E616" t="str">
        <f t="shared" si="54"/>
        <v>Poor</v>
      </c>
      <c r="F616" s="1">
        <v>45789.177083333336</v>
      </c>
      <c r="G616" s="1" t="str">
        <f t="shared" si="55"/>
        <v>Monday</v>
      </c>
      <c r="H616" s="1" t="str">
        <f t="shared" si="56"/>
        <v>May</v>
      </c>
      <c r="I616" s="1" t="str">
        <f t="shared" si="57"/>
        <v>2025</v>
      </c>
      <c r="J616" t="b">
        <v>1</v>
      </c>
      <c r="K616" t="s">
        <v>58</v>
      </c>
      <c r="L616">
        <v>1061</v>
      </c>
      <c r="M616">
        <v>36</v>
      </c>
      <c r="N616" t="str">
        <f t="shared" si="59"/>
        <v>Adults</v>
      </c>
      <c r="O616" t="s">
        <v>37</v>
      </c>
      <c r="P616" t="s">
        <v>9</v>
      </c>
    </row>
    <row r="617" spans="1:16" x14ac:dyDescent="0.25">
      <c r="A617">
        <v>7550817</v>
      </c>
      <c r="B617" t="s">
        <v>28</v>
      </c>
      <c r="C617" t="s">
        <v>1</v>
      </c>
      <c r="D617">
        <v>3.9</v>
      </c>
      <c r="E617" t="str">
        <f t="shared" si="54"/>
        <v>Very Good</v>
      </c>
      <c r="F617" s="1">
        <v>45529.850694444445</v>
      </c>
      <c r="G617" s="1" t="str">
        <f t="shared" si="55"/>
        <v>Sunday</v>
      </c>
      <c r="H617" s="1" t="str">
        <f t="shared" si="56"/>
        <v>August</v>
      </c>
      <c r="I617" s="1" t="str">
        <f t="shared" si="57"/>
        <v>2024</v>
      </c>
      <c r="J617" t="b">
        <v>1</v>
      </c>
      <c r="K617" t="s">
        <v>7</v>
      </c>
      <c r="L617">
        <v>915</v>
      </c>
      <c r="M617">
        <v>32</v>
      </c>
      <c r="N617" t="str">
        <f t="shared" si="59"/>
        <v>Adults</v>
      </c>
      <c r="O617" t="s">
        <v>8</v>
      </c>
      <c r="P617" t="s">
        <v>9</v>
      </c>
    </row>
    <row r="618" spans="1:16" x14ac:dyDescent="0.25">
      <c r="A618">
        <v>7027895</v>
      </c>
      <c r="B618" t="s">
        <v>54</v>
      </c>
      <c r="C618" t="s">
        <v>36</v>
      </c>
      <c r="D618">
        <v>1.8</v>
      </c>
      <c r="E618" t="str">
        <f t="shared" si="54"/>
        <v>Poor</v>
      </c>
      <c r="F618" s="1">
        <v>45844.137499999997</v>
      </c>
      <c r="G618" s="1" t="str">
        <f t="shared" si="55"/>
        <v>Sunday</v>
      </c>
      <c r="H618" s="1" t="str">
        <f t="shared" si="56"/>
        <v>July</v>
      </c>
      <c r="I618" s="1" t="str">
        <f t="shared" si="57"/>
        <v>2025</v>
      </c>
      <c r="J618" t="b">
        <v>0</v>
      </c>
      <c r="K618" t="s">
        <v>58</v>
      </c>
      <c r="L618">
        <v>215</v>
      </c>
      <c r="M618">
        <v>21</v>
      </c>
      <c r="N618" t="str">
        <f t="shared" si="59"/>
        <v>Adults</v>
      </c>
      <c r="O618" t="s">
        <v>24</v>
      </c>
      <c r="P618" t="s">
        <v>9</v>
      </c>
    </row>
    <row r="619" spans="1:16" x14ac:dyDescent="0.25">
      <c r="A619">
        <v>4589736</v>
      </c>
      <c r="B619" t="s">
        <v>71</v>
      </c>
      <c r="C619" t="s">
        <v>57</v>
      </c>
      <c r="D619">
        <v>2.8</v>
      </c>
      <c r="E619" t="str">
        <f t="shared" si="54"/>
        <v>Good</v>
      </c>
      <c r="F619" s="1">
        <v>45639.425000000003</v>
      </c>
      <c r="G619" s="1" t="str">
        <f t="shared" si="55"/>
        <v>Friday</v>
      </c>
      <c r="H619" s="1" t="str">
        <f t="shared" si="56"/>
        <v>December</v>
      </c>
      <c r="I619" s="1" t="str">
        <f t="shared" si="57"/>
        <v>2024</v>
      </c>
      <c r="J619" t="b">
        <v>1</v>
      </c>
      <c r="K619" t="s">
        <v>58</v>
      </c>
      <c r="L619">
        <v>672</v>
      </c>
      <c r="M619">
        <v>22</v>
      </c>
      <c r="N619" t="str">
        <f t="shared" si="59"/>
        <v>Adults</v>
      </c>
      <c r="O619" t="s">
        <v>16</v>
      </c>
      <c r="P619" t="s">
        <v>4</v>
      </c>
    </row>
    <row r="620" spans="1:16" x14ac:dyDescent="0.25">
      <c r="A620">
        <v>2758243</v>
      </c>
      <c r="B620" t="s">
        <v>74</v>
      </c>
      <c r="C620" t="s">
        <v>6</v>
      </c>
      <c r="D620">
        <v>1.8</v>
      </c>
      <c r="E620" t="str">
        <f t="shared" si="54"/>
        <v>Poor</v>
      </c>
      <c r="F620" s="1">
        <v>45478.618055555555</v>
      </c>
      <c r="G620" s="1" t="str">
        <f t="shared" si="55"/>
        <v>Friday</v>
      </c>
      <c r="H620" s="1" t="str">
        <f t="shared" si="56"/>
        <v>July</v>
      </c>
      <c r="I620" s="1" t="str">
        <f t="shared" si="57"/>
        <v>2024</v>
      </c>
      <c r="J620" t="b">
        <v>1</v>
      </c>
      <c r="K620" t="s">
        <v>15</v>
      </c>
      <c r="L620">
        <v>927</v>
      </c>
      <c r="M620">
        <v>44</v>
      </c>
      <c r="N620" t="str">
        <f t="shared" si="59"/>
        <v>Adults</v>
      </c>
      <c r="O620" t="s">
        <v>24</v>
      </c>
      <c r="P620" t="s">
        <v>9</v>
      </c>
    </row>
    <row r="621" spans="1:16" x14ac:dyDescent="0.25">
      <c r="A621">
        <v>1770640</v>
      </c>
      <c r="B621" t="s">
        <v>64</v>
      </c>
      <c r="C621" t="s">
        <v>38</v>
      </c>
      <c r="D621">
        <v>2.2000000000000002</v>
      </c>
      <c r="E621" t="str">
        <f t="shared" si="54"/>
        <v>Good</v>
      </c>
      <c r="F621" s="1">
        <v>45690.370833333334</v>
      </c>
      <c r="G621" s="1" t="str">
        <f t="shared" si="55"/>
        <v>Sunday</v>
      </c>
      <c r="H621" s="1" t="str">
        <f t="shared" si="56"/>
        <v>February</v>
      </c>
      <c r="I621" s="1" t="str">
        <f t="shared" si="57"/>
        <v>2025</v>
      </c>
      <c r="J621" t="b">
        <v>1</v>
      </c>
      <c r="K621" t="s">
        <v>15</v>
      </c>
      <c r="L621">
        <v>521</v>
      </c>
      <c r="M621">
        <v>15</v>
      </c>
      <c r="N621" t="str">
        <f t="shared" si="59"/>
        <v>Teenagers</v>
      </c>
      <c r="O621" t="s">
        <v>27</v>
      </c>
      <c r="P621" t="s">
        <v>4</v>
      </c>
    </row>
    <row r="622" spans="1:16" x14ac:dyDescent="0.25">
      <c r="A622">
        <v>9779342</v>
      </c>
      <c r="B622" t="s">
        <v>76</v>
      </c>
      <c r="C622" t="s">
        <v>18</v>
      </c>
      <c r="D622">
        <v>3.7</v>
      </c>
      <c r="E622" t="str">
        <f t="shared" si="54"/>
        <v>Very Good</v>
      </c>
      <c r="F622" s="1">
        <v>45748.047222222223</v>
      </c>
      <c r="G622" s="1" t="str">
        <f t="shared" si="55"/>
        <v>Tuesday</v>
      </c>
      <c r="H622" s="1" t="str">
        <f t="shared" si="56"/>
        <v>April</v>
      </c>
      <c r="I622" s="1" t="str">
        <f t="shared" si="57"/>
        <v>2025</v>
      </c>
      <c r="J622" t="b">
        <v>1</v>
      </c>
      <c r="K622" t="s">
        <v>2</v>
      </c>
      <c r="L622">
        <v>467</v>
      </c>
      <c r="M622">
        <v>26</v>
      </c>
      <c r="N622" t="str">
        <f t="shared" si="59"/>
        <v>Adults</v>
      </c>
      <c r="O622" t="s">
        <v>39</v>
      </c>
      <c r="P622" t="s">
        <v>4</v>
      </c>
    </row>
    <row r="623" spans="1:16" x14ac:dyDescent="0.25">
      <c r="A623">
        <v>4713144</v>
      </c>
      <c r="B623" t="s">
        <v>28</v>
      </c>
      <c r="C623" t="s">
        <v>38</v>
      </c>
      <c r="D623">
        <v>2.5</v>
      </c>
      <c r="E623" t="str">
        <f t="shared" si="54"/>
        <v>Good</v>
      </c>
      <c r="F623" s="1">
        <v>45203.317361111112</v>
      </c>
      <c r="G623" s="1" t="str">
        <f t="shared" si="55"/>
        <v>Wednesday</v>
      </c>
      <c r="H623" s="1" t="str">
        <f t="shared" si="56"/>
        <v>October</v>
      </c>
      <c r="I623" s="1" t="str">
        <f t="shared" si="57"/>
        <v>2023</v>
      </c>
      <c r="J623" t="b">
        <v>1</v>
      </c>
      <c r="K623" t="s">
        <v>15</v>
      </c>
      <c r="L623">
        <v>423</v>
      </c>
      <c r="M623">
        <v>42</v>
      </c>
      <c r="N623" t="str">
        <f t="shared" si="59"/>
        <v>Adults</v>
      </c>
      <c r="O623" t="s">
        <v>86</v>
      </c>
      <c r="P623" t="s">
        <v>4</v>
      </c>
    </row>
    <row r="624" spans="1:16" x14ac:dyDescent="0.25">
      <c r="A624">
        <v>2158301</v>
      </c>
      <c r="B624" t="s">
        <v>88</v>
      </c>
      <c r="C624" t="s">
        <v>20</v>
      </c>
      <c r="D624">
        <v>3.6</v>
      </c>
      <c r="E624" t="str">
        <f t="shared" si="54"/>
        <v>Very Good</v>
      </c>
      <c r="F624" s="1">
        <v>45222.046527777777</v>
      </c>
      <c r="G624" s="1" t="str">
        <f t="shared" si="55"/>
        <v>Monday</v>
      </c>
      <c r="H624" s="1" t="str">
        <f t="shared" si="56"/>
        <v>October</v>
      </c>
      <c r="I624" s="1" t="str">
        <f t="shared" si="57"/>
        <v>2023</v>
      </c>
      <c r="J624" t="b">
        <v>1</v>
      </c>
      <c r="K624" t="s">
        <v>58</v>
      </c>
      <c r="L624">
        <v>137</v>
      </c>
      <c r="M624">
        <v>52</v>
      </c>
      <c r="N624" t="str">
        <f t="shared" si="59"/>
        <v>Adults</v>
      </c>
      <c r="O624" t="s">
        <v>24</v>
      </c>
      <c r="P624" t="s">
        <v>4</v>
      </c>
    </row>
    <row r="625" spans="1:16" x14ac:dyDescent="0.25">
      <c r="A625">
        <v>4838943</v>
      </c>
      <c r="B625" t="s">
        <v>83</v>
      </c>
      <c r="C625" t="s">
        <v>38</v>
      </c>
      <c r="D625">
        <v>2.9</v>
      </c>
      <c r="E625" t="str">
        <f t="shared" si="54"/>
        <v>Good</v>
      </c>
      <c r="F625" s="1">
        <v>45342.375</v>
      </c>
      <c r="G625" s="1" t="str">
        <f t="shared" si="55"/>
        <v>Tuesday</v>
      </c>
      <c r="H625" s="1" t="str">
        <f t="shared" si="56"/>
        <v>February</v>
      </c>
      <c r="I625" s="1" t="str">
        <f t="shared" si="57"/>
        <v>2024</v>
      </c>
      <c r="J625" t="b">
        <v>1</v>
      </c>
      <c r="K625" t="s">
        <v>58</v>
      </c>
      <c r="L625">
        <v>1050</v>
      </c>
      <c r="M625">
        <v>59</v>
      </c>
      <c r="N625" t="str">
        <f t="shared" si="59"/>
        <v>Adults</v>
      </c>
      <c r="O625" t="s">
        <v>22</v>
      </c>
      <c r="P625" t="s">
        <v>4</v>
      </c>
    </row>
    <row r="626" spans="1:16" x14ac:dyDescent="0.25">
      <c r="A626">
        <v>1656542</v>
      </c>
      <c r="B626" t="s">
        <v>54</v>
      </c>
      <c r="C626" t="s">
        <v>14</v>
      </c>
      <c r="D626">
        <v>1.8</v>
      </c>
      <c r="E626" t="str">
        <f t="shared" si="54"/>
        <v>Poor</v>
      </c>
      <c r="F626" s="1">
        <v>45198.981944444444</v>
      </c>
      <c r="G626" s="1" t="str">
        <f t="shared" si="55"/>
        <v>Friday</v>
      </c>
      <c r="H626" s="1" t="str">
        <f t="shared" si="56"/>
        <v>September</v>
      </c>
      <c r="I626" s="1" t="str">
        <f t="shared" si="57"/>
        <v>2023</v>
      </c>
      <c r="J626" t="b">
        <v>1</v>
      </c>
      <c r="K626" t="s">
        <v>2</v>
      </c>
      <c r="L626">
        <v>478</v>
      </c>
      <c r="M626">
        <v>31</v>
      </c>
      <c r="N626" t="str">
        <f t="shared" si="59"/>
        <v>Adults</v>
      </c>
      <c r="O626" t="s">
        <v>24</v>
      </c>
      <c r="P626" t="s">
        <v>9</v>
      </c>
    </row>
    <row r="627" spans="1:16" x14ac:dyDescent="0.25">
      <c r="A627">
        <v>6163240</v>
      </c>
      <c r="B627" t="s">
        <v>46</v>
      </c>
      <c r="C627" t="s">
        <v>47</v>
      </c>
      <c r="D627">
        <v>3.8</v>
      </c>
      <c r="E627" t="str">
        <f t="shared" si="54"/>
        <v>Very Good</v>
      </c>
      <c r="F627" s="1">
        <v>45847.807638888888</v>
      </c>
      <c r="G627" s="1" t="str">
        <f t="shared" si="55"/>
        <v>Wednesday</v>
      </c>
      <c r="H627" s="1" t="str">
        <f t="shared" si="56"/>
        <v>July</v>
      </c>
      <c r="I627" s="1" t="str">
        <f t="shared" si="57"/>
        <v>2025</v>
      </c>
      <c r="J627" t="b">
        <v>1</v>
      </c>
      <c r="K627" t="s">
        <v>7</v>
      </c>
      <c r="L627">
        <v>979</v>
      </c>
      <c r="M627">
        <v>51</v>
      </c>
      <c r="N627" t="str">
        <f t="shared" si="59"/>
        <v>Adults</v>
      </c>
      <c r="O627" t="s">
        <v>86</v>
      </c>
      <c r="P627" t="s">
        <v>9</v>
      </c>
    </row>
    <row r="628" spans="1:16" x14ac:dyDescent="0.25">
      <c r="A628">
        <v>6656539</v>
      </c>
      <c r="B628" t="s">
        <v>87</v>
      </c>
      <c r="C628" t="s">
        <v>14</v>
      </c>
      <c r="D628">
        <v>2</v>
      </c>
      <c r="E628" t="str">
        <f t="shared" si="54"/>
        <v>Good</v>
      </c>
      <c r="F628" s="1">
        <v>45405.146527777775</v>
      </c>
      <c r="G628" s="1" t="str">
        <f t="shared" si="55"/>
        <v>Tuesday</v>
      </c>
      <c r="H628" s="1" t="str">
        <f t="shared" si="56"/>
        <v>April</v>
      </c>
      <c r="I628" s="1" t="str">
        <f t="shared" si="57"/>
        <v>2024</v>
      </c>
      <c r="J628" t="b">
        <v>1</v>
      </c>
      <c r="K628" t="s">
        <v>21</v>
      </c>
      <c r="L628">
        <v>751</v>
      </c>
      <c r="M628">
        <v>43</v>
      </c>
      <c r="N628" t="str">
        <f t="shared" si="59"/>
        <v>Adults</v>
      </c>
      <c r="O628" t="s">
        <v>3</v>
      </c>
      <c r="P628" t="s">
        <v>4</v>
      </c>
    </row>
    <row r="629" spans="1:16" x14ac:dyDescent="0.25">
      <c r="A629">
        <v>8853488</v>
      </c>
      <c r="B629" t="s">
        <v>17</v>
      </c>
      <c r="C629" t="s">
        <v>38</v>
      </c>
      <c r="D629">
        <v>4.3</v>
      </c>
      <c r="E629" t="str">
        <f t="shared" si="54"/>
        <v>Excellent</v>
      </c>
      <c r="F629" s="1">
        <v>45714.970833333333</v>
      </c>
      <c r="G629" s="1" t="str">
        <f t="shared" si="55"/>
        <v>Wednesday</v>
      </c>
      <c r="H629" s="1" t="str">
        <f t="shared" si="56"/>
        <v>February</v>
      </c>
      <c r="I629" s="1" t="str">
        <f t="shared" si="57"/>
        <v>2025</v>
      </c>
      <c r="J629" t="b">
        <v>1</v>
      </c>
      <c r="K629" t="s">
        <v>15</v>
      </c>
      <c r="L629">
        <v>192</v>
      </c>
      <c r="M629">
        <v>41</v>
      </c>
      <c r="N629" t="str">
        <f t="shared" si="59"/>
        <v>Adults</v>
      </c>
      <c r="O629" t="s">
        <v>81</v>
      </c>
      <c r="P629" t="s">
        <v>4</v>
      </c>
    </row>
    <row r="630" spans="1:16" x14ac:dyDescent="0.25">
      <c r="A630">
        <v>6809915</v>
      </c>
      <c r="B630" t="s">
        <v>41</v>
      </c>
      <c r="C630" t="s">
        <v>20</v>
      </c>
      <c r="D630">
        <v>3</v>
      </c>
      <c r="E630" t="str">
        <f t="shared" si="54"/>
        <v>Good</v>
      </c>
      <c r="F630" s="1">
        <v>45855.286805555559</v>
      </c>
      <c r="G630" s="1" t="str">
        <f t="shared" si="55"/>
        <v>Thursday</v>
      </c>
      <c r="H630" s="1" t="str">
        <f t="shared" si="56"/>
        <v>July</v>
      </c>
      <c r="I630" s="1" t="str">
        <f t="shared" si="57"/>
        <v>2025</v>
      </c>
      <c r="J630" t="b">
        <v>1</v>
      </c>
      <c r="K630" t="s">
        <v>21</v>
      </c>
      <c r="L630">
        <v>157</v>
      </c>
      <c r="M630">
        <v>18</v>
      </c>
      <c r="N630" t="str">
        <f t="shared" si="59"/>
        <v>Adults</v>
      </c>
      <c r="O630" t="s">
        <v>24</v>
      </c>
      <c r="P630" t="s">
        <v>9</v>
      </c>
    </row>
    <row r="631" spans="1:16" x14ac:dyDescent="0.25">
      <c r="A631">
        <v>602309</v>
      </c>
      <c r="B631" t="s">
        <v>67</v>
      </c>
      <c r="C631" t="s">
        <v>75</v>
      </c>
      <c r="D631">
        <v>1.9</v>
      </c>
      <c r="E631" t="str">
        <f t="shared" si="54"/>
        <v>Poor</v>
      </c>
      <c r="F631" s="1">
        <v>45195.299305555556</v>
      </c>
      <c r="G631" s="1" t="str">
        <f t="shared" si="55"/>
        <v>Tuesday</v>
      </c>
      <c r="H631" s="1" t="str">
        <f t="shared" si="56"/>
        <v>September</v>
      </c>
      <c r="I631" s="1" t="str">
        <f t="shared" si="57"/>
        <v>2023</v>
      </c>
      <c r="J631" t="b">
        <v>1</v>
      </c>
      <c r="K631" t="s">
        <v>58</v>
      </c>
      <c r="L631">
        <v>266</v>
      </c>
      <c r="M631">
        <v>15</v>
      </c>
      <c r="N631" t="str">
        <f t="shared" si="59"/>
        <v>Teenagers</v>
      </c>
      <c r="O631" t="s">
        <v>8</v>
      </c>
      <c r="P631" t="s">
        <v>4</v>
      </c>
    </row>
    <row r="632" spans="1:16" x14ac:dyDescent="0.25">
      <c r="A632">
        <v>6335425</v>
      </c>
      <c r="B632" t="s">
        <v>46</v>
      </c>
      <c r="C632" t="s">
        <v>1</v>
      </c>
      <c r="D632">
        <v>4.0999999999999996</v>
      </c>
      <c r="E632" t="str">
        <f t="shared" si="54"/>
        <v>Excellent</v>
      </c>
      <c r="F632" s="1">
        <v>45427.790972222225</v>
      </c>
      <c r="G632" s="1" t="str">
        <f t="shared" si="55"/>
        <v>Wednesday</v>
      </c>
      <c r="H632" s="1" t="str">
        <f t="shared" si="56"/>
        <v>May</v>
      </c>
      <c r="I632" s="1" t="str">
        <f t="shared" si="57"/>
        <v>2024</v>
      </c>
      <c r="J632" t="b">
        <v>1</v>
      </c>
      <c r="K632" t="s">
        <v>7</v>
      </c>
      <c r="L632">
        <v>162</v>
      </c>
      <c r="M632">
        <v>36</v>
      </c>
      <c r="N632" t="str">
        <f t="shared" si="59"/>
        <v>Adults</v>
      </c>
      <c r="O632" t="s">
        <v>42</v>
      </c>
      <c r="P632" t="s">
        <v>4</v>
      </c>
    </row>
    <row r="633" spans="1:16" x14ac:dyDescent="0.25">
      <c r="A633">
        <v>5375644</v>
      </c>
      <c r="B633" t="s">
        <v>89</v>
      </c>
      <c r="C633" t="s">
        <v>75</v>
      </c>
      <c r="D633">
        <v>4.5</v>
      </c>
      <c r="E633" t="str">
        <f t="shared" si="54"/>
        <v>Excellent</v>
      </c>
      <c r="F633" s="1">
        <v>45233.873611111114</v>
      </c>
      <c r="G633" s="1" t="str">
        <f t="shared" si="55"/>
        <v>Friday</v>
      </c>
      <c r="H633" s="1" t="str">
        <f t="shared" si="56"/>
        <v>November</v>
      </c>
      <c r="I633" s="1" t="str">
        <f t="shared" si="57"/>
        <v>2023</v>
      </c>
      <c r="J633" t="b">
        <v>1</v>
      </c>
      <c r="K633" t="s">
        <v>58</v>
      </c>
      <c r="L633">
        <v>182</v>
      </c>
      <c r="M633">
        <v>46</v>
      </c>
      <c r="N633" t="str">
        <f t="shared" si="59"/>
        <v>Adults</v>
      </c>
      <c r="O633" t="s">
        <v>72</v>
      </c>
      <c r="P633" t="s">
        <v>4</v>
      </c>
    </row>
    <row r="634" spans="1:16" x14ac:dyDescent="0.25">
      <c r="A634">
        <v>7401537</v>
      </c>
      <c r="B634" t="s">
        <v>84</v>
      </c>
      <c r="C634" t="s">
        <v>63</v>
      </c>
      <c r="D634">
        <v>4.4000000000000004</v>
      </c>
      <c r="E634" t="str">
        <f t="shared" si="54"/>
        <v>Excellent</v>
      </c>
      <c r="F634" s="1">
        <v>45385.707638888889</v>
      </c>
      <c r="G634" s="1" t="str">
        <f t="shared" si="55"/>
        <v>Wednesday</v>
      </c>
      <c r="H634" s="1" t="str">
        <f t="shared" si="56"/>
        <v>April</v>
      </c>
      <c r="I634" s="1" t="str">
        <f t="shared" si="57"/>
        <v>2024</v>
      </c>
      <c r="J634" t="b">
        <v>1</v>
      </c>
      <c r="K634" t="s">
        <v>58</v>
      </c>
      <c r="L634">
        <v>1230</v>
      </c>
      <c r="M634">
        <v>74</v>
      </c>
      <c r="N634" t="str">
        <f t="shared" si="59"/>
        <v>Seniors</v>
      </c>
      <c r="O634" t="s">
        <v>53</v>
      </c>
      <c r="P634" t="s">
        <v>4</v>
      </c>
    </row>
    <row r="635" spans="1:16" x14ac:dyDescent="0.25">
      <c r="A635">
        <v>3424412</v>
      </c>
      <c r="B635" t="s">
        <v>30</v>
      </c>
      <c r="C635" t="s">
        <v>36</v>
      </c>
      <c r="D635">
        <v>4.5</v>
      </c>
      <c r="E635" t="str">
        <f t="shared" si="54"/>
        <v>Excellent</v>
      </c>
      <c r="F635" s="1">
        <v>45291.988194444442</v>
      </c>
      <c r="G635" s="1" t="str">
        <f t="shared" si="55"/>
        <v>Sunday</v>
      </c>
      <c r="H635" s="1" t="str">
        <f t="shared" si="56"/>
        <v>December</v>
      </c>
      <c r="I635" s="1" t="str">
        <f t="shared" si="57"/>
        <v>2023</v>
      </c>
      <c r="J635" t="b">
        <v>1</v>
      </c>
      <c r="K635" t="s">
        <v>15</v>
      </c>
      <c r="L635">
        <v>799</v>
      </c>
      <c r="M635">
        <v>64</v>
      </c>
      <c r="N635" t="str">
        <f t="shared" si="59"/>
        <v>Seniors</v>
      </c>
      <c r="O635" t="s">
        <v>50</v>
      </c>
      <c r="P635" t="s">
        <v>4</v>
      </c>
    </row>
    <row r="636" spans="1:16" x14ac:dyDescent="0.25">
      <c r="A636">
        <v>8386841</v>
      </c>
      <c r="B636" t="s">
        <v>0</v>
      </c>
      <c r="C636" t="s">
        <v>34</v>
      </c>
      <c r="D636">
        <v>2.6</v>
      </c>
      <c r="E636" t="str">
        <f t="shared" si="54"/>
        <v>Good</v>
      </c>
      <c r="F636" s="1">
        <v>45451.75</v>
      </c>
      <c r="G636" s="1" t="str">
        <f t="shared" si="55"/>
        <v>Saturday</v>
      </c>
      <c r="H636" s="1" t="str">
        <f t="shared" si="56"/>
        <v>June</v>
      </c>
      <c r="I636" s="1" t="str">
        <f t="shared" si="57"/>
        <v>2024</v>
      </c>
      <c r="J636" t="b">
        <v>1</v>
      </c>
      <c r="K636" t="s">
        <v>7</v>
      </c>
      <c r="L636">
        <v>67</v>
      </c>
      <c r="M636">
        <v>47</v>
      </c>
      <c r="N636" t="str">
        <f t="shared" si="59"/>
        <v>Adults</v>
      </c>
      <c r="O636" t="s">
        <v>48</v>
      </c>
      <c r="P636" t="s">
        <v>9</v>
      </c>
    </row>
    <row r="637" spans="1:16" x14ac:dyDescent="0.25">
      <c r="A637">
        <v>373003</v>
      </c>
      <c r="B637" t="s">
        <v>89</v>
      </c>
      <c r="C637" t="s">
        <v>34</v>
      </c>
      <c r="D637">
        <v>4</v>
      </c>
      <c r="E637" t="str">
        <f t="shared" si="54"/>
        <v>Very Good</v>
      </c>
      <c r="F637" s="1">
        <v>45192.824305555558</v>
      </c>
      <c r="G637" s="1" t="str">
        <f t="shared" si="55"/>
        <v>Saturday</v>
      </c>
      <c r="H637" s="1" t="str">
        <f t="shared" si="56"/>
        <v>September</v>
      </c>
      <c r="I637" s="1" t="str">
        <f t="shared" si="57"/>
        <v>2023</v>
      </c>
      <c r="J637" t="b">
        <v>1</v>
      </c>
      <c r="K637" t="s">
        <v>21</v>
      </c>
      <c r="L637">
        <v>377</v>
      </c>
      <c r="M637">
        <v>27</v>
      </c>
      <c r="N637" t="str">
        <f t="shared" si="59"/>
        <v>Adults</v>
      </c>
      <c r="O637" t="s">
        <v>44</v>
      </c>
      <c r="P637" t="s">
        <v>9</v>
      </c>
    </row>
    <row r="638" spans="1:16" x14ac:dyDescent="0.25">
      <c r="A638">
        <v>5149913</v>
      </c>
      <c r="B638" t="s">
        <v>40</v>
      </c>
      <c r="C638" t="s">
        <v>38</v>
      </c>
      <c r="D638">
        <v>4.7</v>
      </c>
      <c r="E638" t="str">
        <f t="shared" si="54"/>
        <v>Excellent</v>
      </c>
      <c r="F638" s="1">
        <v>45352.222916666666</v>
      </c>
      <c r="G638" s="1" t="str">
        <f t="shared" si="55"/>
        <v>Friday</v>
      </c>
      <c r="H638" s="1" t="str">
        <f t="shared" si="56"/>
        <v>March</v>
      </c>
      <c r="I638" s="1" t="str">
        <f t="shared" si="57"/>
        <v>2024</v>
      </c>
      <c r="J638" t="b">
        <v>1</v>
      </c>
      <c r="K638" t="s">
        <v>7</v>
      </c>
      <c r="L638">
        <v>355</v>
      </c>
      <c r="M638">
        <v>53</v>
      </c>
      <c r="N638" t="str">
        <f t="shared" si="59"/>
        <v>Adults</v>
      </c>
      <c r="O638" t="s">
        <v>37</v>
      </c>
      <c r="P638" t="s">
        <v>4</v>
      </c>
    </row>
    <row r="639" spans="1:16" x14ac:dyDescent="0.25">
      <c r="A639">
        <v>5901971</v>
      </c>
      <c r="B639" t="s">
        <v>33</v>
      </c>
      <c r="C639" t="s">
        <v>85</v>
      </c>
      <c r="D639">
        <v>3.6</v>
      </c>
      <c r="E639" t="str">
        <f t="shared" si="54"/>
        <v>Very Good</v>
      </c>
      <c r="F639" s="1">
        <v>45146.952777777777</v>
      </c>
      <c r="G639" s="1" t="str">
        <f t="shared" si="55"/>
        <v>Tuesday</v>
      </c>
      <c r="H639" s="1" t="str">
        <f t="shared" si="56"/>
        <v>August</v>
      </c>
      <c r="I639" s="1" t="str">
        <f t="shared" si="57"/>
        <v>2023</v>
      </c>
      <c r="J639" t="b">
        <v>1</v>
      </c>
      <c r="K639" t="s">
        <v>21</v>
      </c>
      <c r="L639">
        <v>1136</v>
      </c>
      <c r="M639">
        <v>20</v>
      </c>
      <c r="N639" t="str">
        <f t="shared" si="59"/>
        <v>Adults</v>
      </c>
      <c r="O639" t="s">
        <v>55</v>
      </c>
      <c r="P639" t="s">
        <v>4</v>
      </c>
    </row>
    <row r="640" spans="1:16" x14ac:dyDescent="0.25">
      <c r="A640">
        <v>2411285</v>
      </c>
      <c r="B640" t="s">
        <v>28</v>
      </c>
      <c r="C640" t="s">
        <v>85</v>
      </c>
      <c r="D640">
        <v>4</v>
      </c>
      <c r="E640" t="str">
        <f t="shared" si="54"/>
        <v>Very Good</v>
      </c>
      <c r="F640" s="1">
        <v>45592.05972222222</v>
      </c>
      <c r="G640" s="1" t="str">
        <f t="shared" si="55"/>
        <v>Sunday</v>
      </c>
      <c r="H640" s="1" t="str">
        <f t="shared" si="56"/>
        <v>October</v>
      </c>
      <c r="I640" s="1" t="str">
        <f t="shared" si="57"/>
        <v>2024</v>
      </c>
      <c r="J640" t="b">
        <v>1</v>
      </c>
      <c r="K640" t="s">
        <v>21</v>
      </c>
      <c r="L640">
        <v>273</v>
      </c>
      <c r="M640">
        <v>75</v>
      </c>
      <c r="N640" t="str">
        <f t="shared" si="59"/>
        <v>Seniors</v>
      </c>
      <c r="O640" t="s">
        <v>48</v>
      </c>
      <c r="P640" t="s">
        <v>9</v>
      </c>
    </row>
    <row r="641" spans="1:16" x14ac:dyDescent="0.25">
      <c r="A641">
        <v>2111612</v>
      </c>
      <c r="B641" t="s">
        <v>30</v>
      </c>
      <c r="C641" t="s">
        <v>26</v>
      </c>
      <c r="D641">
        <v>4</v>
      </c>
      <c r="E641" t="str">
        <f t="shared" si="54"/>
        <v>Very Good</v>
      </c>
      <c r="F641" s="1">
        <v>45203.186111111114</v>
      </c>
      <c r="G641" s="1" t="str">
        <f t="shared" si="55"/>
        <v>Wednesday</v>
      </c>
      <c r="H641" s="1" t="str">
        <f t="shared" si="56"/>
        <v>October</v>
      </c>
      <c r="I641" s="1" t="str">
        <f t="shared" si="57"/>
        <v>2023</v>
      </c>
      <c r="J641" t="b">
        <v>1</v>
      </c>
      <c r="K641" t="s">
        <v>2</v>
      </c>
      <c r="L641">
        <v>890</v>
      </c>
      <c r="M641">
        <v>61</v>
      </c>
      <c r="N641" t="str">
        <f t="shared" si="59"/>
        <v>Seniors</v>
      </c>
      <c r="O641" t="s">
        <v>19</v>
      </c>
      <c r="P641" t="s">
        <v>4</v>
      </c>
    </row>
    <row r="642" spans="1:16" x14ac:dyDescent="0.25">
      <c r="A642">
        <v>9470330</v>
      </c>
      <c r="B642" t="s">
        <v>82</v>
      </c>
      <c r="C642" t="s">
        <v>6</v>
      </c>
      <c r="D642">
        <v>3.9</v>
      </c>
      <c r="E642" t="str">
        <f t="shared" ref="E642:E705" si="60">IF(D642&lt;2,"Poor",IF(AND(D642&gt;=2,D642&lt;=3),"Good",IF(AND(D642&gt;3,D642&lt;=4),"Very Good",IF(D642&gt;4,"Excellent"))))</f>
        <v>Very Good</v>
      </c>
      <c r="F642" s="1">
        <v>45787.862500000003</v>
      </c>
      <c r="G642" s="1" t="str">
        <f t="shared" ref="G642:G705" si="61">TEXT(F642,"DDDD")</f>
        <v>Saturday</v>
      </c>
      <c r="H642" s="1" t="str">
        <f t="shared" ref="H642:H705" si="62">TEXT(F642,"MMMM")</f>
        <v>May</v>
      </c>
      <c r="I642" s="1" t="str">
        <f t="shared" ref="I642:I705" si="63">TEXT(F642,"YYYY")</f>
        <v>2025</v>
      </c>
      <c r="J642" t="b">
        <v>1</v>
      </c>
      <c r="K642" t="s">
        <v>21</v>
      </c>
      <c r="L642">
        <v>901</v>
      </c>
      <c r="M642">
        <v>68</v>
      </c>
      <c r="N642" t="str">
        <f t="shared" si="59"/>
        <v>Seniors</v>
      </c>
      <c r="O642" t="s">
        <v>53</v>
      </c>
      <c r="P642" t="s">
        <v>4</v>
      </c>
    </row>
    <row r="643" spans="1:16" x14ac:dyDescent="0.25">
      <c r="A643">
        <v>3554281</v>
      </c>
      <c r="B643" t="s">
        <v>13</v>
      </c>
      <c r="C643" t="s">
        <v>18</v>
      </c>
      <c r="D643">
        <v>2.1</v>
      </c>
      <c r="E643" t="str">
        <f t="shared" si="60"/>
        <v>Good</v>
      </c>
      <c r="F643" s="1">
        <v>45678.67291666667</v>
      </c>
      <c r="G643" s="1" t="str">
        <f t="shared" si="61"/>
        <v>Tuesday</v>
      </c>
      <c r="H643" s="1" t="str">
        <f t="shared" si="62"/>
        <v>January</v>
      </c>
      <c r="I643" s="1" t="str">
        <f t="shared" si="63"/>
        <v>2025</v>
      </c>
      <c r="J643" t="b">
        <v>1</v>
      </c>
      <c r="K643" t="s">
        <v>21</v>
      </c>
      <c r="L643">
        <v>1044</v>
      </c>
      <c r="M643">
        <v>23</v>
      </c>
      <c r="N643" t="str">
        <f t="shared" si="59"/>
        <v>Adults</v>
      </c>
      <c r="O643" t="s">
        <v>50</v>
      </c>
      <c r="P643" t="s">
        <v>9</v>
      </c>
    </row>
    <row r="644" spans="1:16" x14ac:dyDescent="0.25">
      <c r="A644">
        <v>1872688</v>
      </c>
      <c r="B644" t="s">
        <v>51</v>
      </c>
      <c r="C644" t="s">
        <v>20</v>
      </c>
      <c r="D644">
        <v>2.9</v>
      </c>
      <c r="E644" t="str">
        <f t="shared" si="60"/>
        <v>Good</v>
      </c>
      <c r="F644" s="1">
        <v>45833.344444444447</v>
      </c>
      <c r="G644" s="1" t="str">
        <f t="shared" si="61"/>
        <v>Wednesday</v>
      </c>
      <c r="H644" s="1" t="str">
        <f t="shared" si="62"/>
        <v>June</v>
      </c>
      <c r="I644" s="1" t="str">
        <f t="shared" si="63"/>
        <v>2025</v>
      </c>
      <c r="J644" t="b">
        <v>1</v>
      </c>
      <c r="K644" t="s">
        <v>15</v>
      </c>
      <c r="L644">
        <v>1018</v>
      </c>
      <c r="M644">
        <v>56</v>
      </c>
      <c r="N644" t="str">
        <f t="shared" si="59"/>
        <v>Adults</v>
      </c>
      <c r="O644" t="s">
        <v>39</v>
      </c>
      <c r="P644" t="s">
        <v>4</v>
      </c>
    </row>
    <row r="645" spans="1:16" x14ac:dyDescent="0.25">
      <c r="A645">
        <v>3237838</v>
      </c>
      <c r="B645" t="s">
        <v>32</v>
      </c>
      <c r="C645" t="s">
        <v>38</v>
      </c>
      <c r="D645">
        <v>4.7</v>
      </c>
      <c r="E645" t="str">
        <f t="shared" si="60"/>
        <v>Excellent</v>
      </c>
      <c r="F645" s="1">
        <v>45346.074305555558</v>
      </c>
      <c r="G645" s="1" t="str">
        <f t="shared" si="61"/>
        <v>Saturday</v>
      </c>
      <c r="H645" s="1" t="str">
        <f t="shared" si="62"/>
        <v>February</v>
      </c>
      <c r="I645" s="1" t="str">
        <f t="shared" si="63"/>
        <v>2024</v>
      </c>
      <c r="J645" t="b">
        <v>1</v>
      </c>
      <c r="K645" t="s">
        <v>58</v>
      </c>
      <c r="L645">
        <v>418</v>
      </c>
      <c r="M645">
        <v>60</v>
      </c>
      <c r="N645" t="str">
        <f t="shared" si="59"/>
        <v>Adults</v>
      </c>
      <c r="O645" t="s">
        <v>42</v>
      </c>
      <c r="P645" t="s">
        <v>9</v>
      </c>
    </row>
    <row r="646" spans="1:16" x14ac:dyDescent="0.25">
      <c r="A646">
        <v>7694054</v>
      </c>
      <c r="B646" t="s">
        <v>88</v>
      </c>
      <c r="C646" t="s">
        <v>1</v>
      </c>
      <c r="D646">
        <v>2.5</v>
      </c>
      <c r="E646" t="str">
        <f t="shared" si="60"/>
        <v>Good</v>
      </c>
      <c r="F646" s="1">
        <v>45412.250694444447</v>
      </c>
      <c r="G646" s="1" t="str">
        <f t="shared" si="61"/>
        <v>Tuesday</v>
      </c>
      <c r="H646" s="1" t="str">
        <f t="shared" si="62"/>
        <v>April</v>
      </c>
      <c r="I646" s="1" t="str">
        <f t="shared" si="63"/>
        <v>2024</v>
      </c>
      <c r="J646" t="b">
        <v>1</v>
      </c>
      <c r="K646" t="s">
        <v>7</v>
      </c>
      <c r="L646">
        <v>629</v>
      </c>
      <c r="M646">
        <v>32</v>
      </c>
      <c r="N646" t="str">
        <f t="shared" si="59"/>
        <v>Adults</v>
      </c>
      <c r="O646" t="s">
        <v>27</v>
      </c>
      <c r="P646" t="s">
        <v>4</v>
      </c>
    </row>
    <row r="647" spans="1:16" x14ac:dyDescent="0.25">
      <c r="A647">
        <v>1510406</v>
      </c>
      <c r="B647" t="s">
        <v>0</v>
      </c>
      <c r="C647" t="s">
        <v>38</v>
      </c>
      <c r="D647">
        <v>4.5</v>
      </c>
      <c r="E647" t="str">
        <f t="shared" si="60"/>
        <v>Excellent</v>
      </c>
      <c r="F647" s="1">
        <v>45667.950694444444</v>
      </c>
      <c r="G647" s="1" t="str">
        <f t="shared" si="61"/>
        <v>Friday</v>
      </c>
      <c r="H647" s="1" t="str">
        <f t="shared" si="62"/>
        <v>January</v>
      </c>
      <c r="I647" s="1" t="str">
        <f t="shared" si="63"/>
        <v>2025</v>
      </c>
      <c r="J647" t="b">
        <v>1</v>
      </c>
      <c r="K647" t="s">
        <v>15</v>
      </c>
      <c r="L647">
        <v>164</v>
      </c>
      <c r="M647">
        <v>57</v>
      </c>
      <c r="N647" t="str">
        <f t="shared" si="59"/>
        <v>Adults</v>
      </c>
      <c r="O647" t="s">
        <v>77</v>
      </c>
      <c r="P647" t="s">
        <v>9</v>
      </c>
    </row>
    <row r="648" spans="1:16" x14ac:dyDescent="0.25">
      <c r="A648">
        <v>4276591</v>
      </c>
      <c r="B648" t="s">
        <v>5</v>
      </c>
      <c r="C648" t="s">
        <v>47</v>
      </c>
      <c r="D648">
        <v>2.7</v>
      </c>
      <c r="E648" t="str">
        <f t="shared" si="60"/>
        <v>Good</v>
      </c>
      <c r="F648" s="1">
        <v>45225.158333333333</v>
      </c>
      <c r="G648" s="1" t="str">
        <f t="shared" si="61"/>
        <v>Thursday</v>
      </c>
      <c r="H648" s="1" t="str">
        <f t="shared" si="62"/>
        <v>October</v>
      </c>
      <c r="I648" s="1" t="str">
        <f t="shared" si="63"/>
        <v>2023</v>
      </c>
      <c r="J648" t="b">
        <v>1</v>
      </c>
      <c r="K648" t="s">
        <v>21</v>
      </c>
      <c r="L648">
        <v>829</v>
      </c>
      <c r="M648">
        <v>53</v>
      </c>
      <c r="N648" t="str">
        <f t="shared" si="59"/>
        <v>Adults</v>
      </c>
      <c r="O648" t="s">
        <v>55</v>
      </c>
      <c r="P648" t="s">
        <v>9</v>
      </c>
    </row>
    <row r="649" spans="1:16" x14ac:dyDescent="0.25">
      <c r="A649">
        <v>2032532</v>
      </c>
      <c r="B649" t="s">
        <v>67</v>
      </c>
      <c r="C649" t="s">
        <v>31</v>
      </c>
      <c r="D649">
        <v>4.5999999999999996</v>
      </c>
      <c r="E649" t="str">
        <f t="shared" si="60"/>
        <v>Excellent</v>
      </c>
      <c r="F649" s="1">
        <v>45180.151388888888</v>
      </c>
      <c r="G649" s="1" t="str">
        <f t="shared" si="61"/>
        <v>Monday</v>
      </c>
      <c r="H649" s="1" t="str">
        <f t="shared" si="62"/>
        <v>September</v>
      </c>
      <c r="I649" s="1" t="str">
        <f t="shared" si="63"/>
        <v>2023</v>
      </c>
      <c r="J649" t="b">
        <v>1</v>
      </c>
      <c r="K649" t="s">
        <v>58</v>
      </c>
      <c r="L649">
        <v>473</v>
      </c>
      <c r="M649">
        <v>46</v>
      </c>
      <c r="N649" t="str">
        <f t="shared" si="59"/>
        <v>Adults</v>
      </c>
      <c r="O649" t="s">
        <v>44</v>
      </c>
      <c r="P649" t="s">
        <v>4</v>
      </c>
    </row>
    <row r="650" spans="1:16" x14ac:dyDescent="0.25">
      <c r="A650">
        <v>1204735</v>
      </c>
      <c r="B650" t="s">
        <v>88</v>
      </c>
      <c r="C650" t="s">
        <v>75</v>
      </c>
      <c r="D650">
        <v>1.1000000000000001</v>
      </c>
      <c r="E650" t="str">
        <f t="shared" si="60"/>
        <v>Poor</v>
      </c>
      <c r="F650" s="1">
        <v>45552.196527777778</v>
      </c>
      <c r="G650" s="1" t="str">
        <f t="shared" si="61"/>
        <v>Tuesday</v>
      </c>
      <c r="H650" s="1" t="str">
        <f t="shared" si="62"/>
        <v>September</v>
      </c>
      <c r="I650" s="1" t="str">
        <f t="shared" si="63"/>
        <v>2024</v>
      </c>
      <c r="J650" t="b">
        <v>1</v>
      </c>
      <c r="K650" t="s">
        <v>15</v>
      </c>
      <c r="L650">
        <v>186</v>
      </c>
      <c r="M650">
        <v>14</v>
      </c>
      <c r="N650" t="str">
        <f t="shared" si="59"/>
        <v>Teenagers</v>
      </c>
      <c r="O650" t="s">
        <v>55</v>
      </c>
      <c r="P650" t="s">
        <v>4</v>
      </c>
    </row>
    <row r="651" spans="1:16" x14ac:dyDescent="0.25">
      <c r="A651">
        <v>4600772</v>
      </c>
      <c r="B651" t="s">
        <v>70</v>
      </c>
      <c r="C651" t="s">
        <v>1</v>
      </c>
      <c r="D651">
        <v>4.9000000000000004</v>
      </c>
      <c r="E651" t="str">
        <f t="shared" si="60"/>
        <v>Excellent</v>
      </c>
      <c r="F651" s="1">
        <v>45523.488888888889</v>
      </c>
      <c r="G651" s="1" t="str">
        <f t="shared" si="61"/>
        <v>Monday</v>
      </c>
      <c r="H651" s="1" t="str">
        <f t="shared" si="62"/>
        <v>August</v>
      </c>
      <c r="I651" s="1" t="str">
        <f t="shared" si="63"/>
        <v>2024</v>
      </c>
      <c r="J651" t="b">
        <v>1</v>
      </c>
      <c r="K651" t="s">
        <v>58</v>
      </c>
      <c r="L651">
        <v>905</v>
      </c>
      <c r="M651">
        <v>26</v>
      </c>
      <c r="N651" t="str">
        <f t="shared" si="59"/>
        <v>Adults</v>
      </c>
      <c r="O651" t="s">
        <v>27</v>
      </c>
      <c r="P651" t="s">
        <v>4</v>
      </c>
    </row>
    <row r="652" spans="1:16" x14ac:dyDescent="0.25">
      <c r="A652">
        <v>2969392</v>
      </c>
      <c r="B652" t="s">
        <v>17</v>
      </c>
      <c r="C652" t="s">
        <v>85</v>
      </c>
      <c r="D652">
        <v>2.9</v>
      </c>
      <c r="E652" t="str">
        <f t="shared" si="60"/>
        <v>Good</v>
      </c>
      <c r="F652" s="1">
        <v>45749.17083333333</v>
      </c>
      <c r="G652" s="1" t="str">
        <f t="shared" si="61"/>
        <v>Wednesday</v>
      </c>
      <c r="H652" s="1" t="str">
        <f t="shared" si="62"/>
        <v>April</v>
      </c>
      <c r="I652" s="1" t="str">
        <f t="shared" si="63"/>
        <v>2025</v>
      </c>
      <c r="J652" t="b">
        <v>1</v>
      </c>
      <c r="K652" t="s">
        <v>2</v>
      </c>
      <c r="L652">
        <v>119</v>
      </c>
      <c r="M652">
        <v>63</v>
      </c>
      <c r="N652" t="str">
        <f t="shared" ref="N652:N680" si="64">IF(M652&lt;=17,"Teenagers", IF(AND(M652&gt;=18,M652&lt;61),"Adults",IF(M652&gt;60,"Seniors")))</f>
        <v>Seniors</v>
      </c>
      <c r="O652" t="s">
        <v>72</v>
      </c>
      <c r="P652" t="s">
        <v>9</v>
      </c>
    </row>
    <row r="653" spans="1:16" x14ac:dyDescent="0.25">
      <c r="A653">
        <v>5932315</v>
      </c>
      <c r="B653" t="s">
        <v>88</v>
      </c>
      <c r="C653" t="s">
        <v>31</v>
      </c>
      <c r="D653">
        <v>2.7</v>
      </c>
      <c r="E653" t="str">
        <f t="shared" si="60"/>
        <v>Good</v>
      </c>
      <c r="F653" s="1">
        <v>45249.043055555558</v>
      </c>
      <c r="G653" s="1" t="str">
        <f t="shared" si="61"/>
        <v>Sunday</v>
      </c>
      <c r="H653" s="1" t="str">
        <f t="shared" si="62"/>
        <v>November</v>
      </c>
      <c r="I653" s="1" t="str">
        <f t="shared" si="63"/>
        <v>2023</v>
      </c>
      <c r="J653" t="b">
        <v>1</v>
      </c>
      <c r="K653" t="s">
        <v>21</v>
      </c>
      <c r="L653">
        <v>614</v>
      </c>
      <c r="M653">
        <v>29</v>
      </c>
      <c r="N653" t="str">
        <f t="shared" si="64"/>
        <v>Adults</v>
      </c>
      <c r="O653" t="s">
        <v>59</v>
      </c>
      <c r="P653" t="s">
        <v>4</v>
      </c>
    </row>
    <row r="654" spans="1:16" x14ac:dyDescent="0.25">
      <c r="A654">
        <v>5731731</v>
      </c>
      <c r="B654" t="s">
        <v>69</v>
      </c>
      <c r="C654" t="s">
        <v>29</v>
      </c>
      <c r="D654">
        <v>1.7</v>
      </c>
      <c r="E654" t="str">
        <f t="shared" si="60"/>
        <v>Poor</v>
      </c>
      <c r="F654" s="1">
        <v>45490.435416666667</v>
      </c>
      <c r="G654" s="1" t="str">
        <f t="shared" si="61"/>
        <v>Wednesday</v>
      </c>
      <c r="H654" s="1" t="str">
        <f t="shared" si="62"/>
        <v>July</v>
      </c>
      <c r="I654" s="1" t="str">
        <f t="shared" si="63"/>
        <v>2024</v>
      </c>
      <c r="J654" t="b">
        <v>1</v>
      </c>
      <c r="K654" t="s">
        <v>7</v>
      </c>
      <c r="L654">
        <v>724</v>
      </c>
      <c r="M654">
        <v>67</v>
      </c>
      <c r="N654" t="str">
        <f t="shared" si="64"/>
        <v>Seniors</v>
      </c>
      <c r="O654" t="s">
        <v>42</v>
      </c>
      <c r="P654" t="s">
        <v>9</v>
      </c>
    </row>
    <row r="655" spans="1:16" x14ac:dyDescent="0.25">
      <c r="A655">
        <v>3561265</v>
      </c>
      <c r="B655" t="s">
        <v>54</v>
      </c>
      <c r="C655" t="s">
        <v>75</v>
      </c>
      <c r="D655">
        <v>4.8</v>
      </c>
      <c r="E655" t="str">
        <f t="shared" si="60"/>
        <v>Excellent</v>
      </c>
      <c r="F655" s="1">
        <v>45786.79791666667</v>
      </c>
      <c r="G655" s="1" t="str">
        <f t="shared" si="61"/>
        <v>Friday</v>
      </c>
      <c r="H655" s="1" t="str">
        <f t="shared" si="62"/>
        <v>May</v>
      </c>
      <c r="I655" s="1" t="str">
        <f t="shared" si="63"/>
        <v>2025</v>
      </c>
      <c r="J655" t="b">
        <v>0</v>
      </c>
      <c r="K655" t="s">
        <v>2</v>
      </c>
      <c r="L655">
        <v>651</v>
      </c>
      <c r="M655">
        <v>44</v>
      </c>
      <c r="N655" t="str">
        <f t="shared" si="64"/>
        <v>Adults</v>
      </c>
      <c r="O655" t="s">
        <v>55</v>
      </c>
      <c r="P655" t="s">
        <v>9</v>
      </c>
    </row>
    <row r="656" spans="1:16" x14ac:dyDescent="0.25">
      <c r="A656">
        <v>2620403</v>
      </c>
      <c r="B656" t="s">
        <v>49</v>
      </c>
      <c r="C656" t="s">
        <v>26</v>
      </c>
      <c r="D656">
        <v>1</v>
      </c>
      <c r="E656" t="str">
        <f t="shared" si="60"/>
        <v>Poor</v>
      </c>
      <c r="F656" s="1">
        <v>45170.686805555553</v>
      </c>
      <c r="G656" s="1" t="str">
        <f t="shared" si="61"/>
        <v>Friday</v>
      </c>
      <c r="H656" s="1" t="str">
        <f t="shared" si="62"/>
        <v>September</v>
      </c>
      <c r="I656" s="1" t="str">
        <f t="shared" si="63"/>
        <v>2023</v>
      </c>
      <c r="J656" t="b">
        <v>1</v>
      </c>
      <c r="K656" t="s">
        <v>58</v>
      </c>
      <c r="L656">
        <v>829</v>
      </c>
      <c r="M656">
        <v>63</v>
      </c>
      <c r="N656" t="str">
        <f t="shared" si="64"/>
        <v>Seniors</v>
      </c>
      <c r="O656" t="s">
        <v>86</v>
      </c>
      <c r="P656" t="s">
        <v>9</v>
      </c>
    </row>
    <row r="657" spans="1:16" x14ac:dyDescent="0.25">
      <c r="A657">
        <v>937217</v>
      </c>
      <c r="B657" t="s">
        <v>71</v>
      </c>
      <c r="C657" t="s">
        <v>34</v>
      </c>
      <c r="D657">
        <v>2.7</v>
      </c>
      <c r="E657" t="str">
        <f t="shared" si="60"/>
        <v>Good</v>
      </c>
      <c r="F657" s="1">
        <v>45334.172222222223</v>
      </c>
      <c r="G657" s="1" t="str">
        <f t="shared" si="61"/>
        <v>Monday</v>
      </c>
      <c r="H657" s="1" t="str">
        <f t="shared" si="62"/>
        <v>February</v>
      </c>
      <c r="I657" s="1" t="str">
        <f t="shared" si="63"/>
        <v>2024</v>
      </c>
      <c r="J657" t="b">
        <v>1</v>
      </c>
      <c r="K657" t="s">
        <v>15</v>
      </c>
      <c r="L657">
        <v>631</v>
      </c>
      <c r="M657">
        <v>51</v>
      </c>
      <c r="N657" t="str">
        <f t="shared" si="64"/>
        <v>Adults</v>
      </c>
      <c r="O657" t="s">
        <v>50</v>
      </c>
      <c r="P657" t="s">
        <v>4</v>
      </c>
    </row>
    <row r="658" spans="1:16" x14ac:dyDescent="0.25">
      <c r="A658">
        <v>9507809</v>
      </c>
      <c r="B658" t="s">
        <v>45</v>
      </c>
      <c r="C658" t="s">
        <v>18</v>
      </c>
      <c r="D658">
        <v>3.9</v>
      </c>
      <c r="E658" t="str">
        <f t="shared" si="60"/>
        <v>Very Good</v>
      </c>
      <c r="F658" s="1">
        <v>45259.298611111109</v>
      </c>
      <c r="G658" s="1" t="str">
        <f t="shared" si="61"/>
        <v>Wednesday</v>
      </c>
      <c r="H658" s="1" t="str">
        <f t="shared" si="62"/>
        <v>November</v>
      </c>
      <c r="I658" s="1" t="str">
        <f t="shared" si="63"/>
        <v>2023</v>
      </c>
      <c r="J658" t="b">
        <v>1</v>
      </c>
      <c r="K658" t="s">
        <v>21</v>
      </c>
      <c r="L658">
        <v>557</v>
      </c>
      <c r="M658">
        <v>36</v>
      </c>
      <c r="N658" t="str">
        <f t="shared" si="64"/>
        <v>Adults</v>
      </c>
      <c r="O658" t="s">
        <v>53</v>
      </c>
      <c r="P658" t="s">
        <v>9</v>
      </c>
    </row>
    <row r="659" spans="1:16" x14ac:dyDescent="0.25">
      <c r="A659">
        <v>4641070</v>
      </c>
      <c r="B659" t="s">
        <v>83</v>
      </c>
      <c r="C659" t="s">
        <v>20</v>
      </c>
      <c r="D659">
        <v>4.5999999999999996</v>
      </c>
      <c r="E659" t="str">
        <f t="shared" si="60"/>
        <v>Excellent</v>
      </c>
      <c r="F659" s="1">
        <v>45448.878472222219</v>
      </c>
      <c r="G659" s="1" t="str">
        <f t="shared" si="61"/>
        <v>Wednesday</v>
      </c>
      <c r="H659" s="1" t="str">
        <f t="shared" si="62"/>
        <v>June</v>
      </c>
      <c r="I659" s="1" t="str">
        <f t="shared" si="63"/>
        <v>2024</v>
      </c>
      <c r="J659" t="b">
        <v>1</v>
      </c>
      <c r="K659" t="s">
        <v>15</v>
      </c>
      <c r="L659">
        <v>223</v>
      </c>
      <c r="M659">
        <v>63</v>
      </c>
      <c r="N659" t="str">
        <f t="shared" si="64"/>
        <v>Seniors</v>
      </c>
      <c r="O659" t="s">
        <v>86</v>
      </c>
      <c r="P659" t="s">
        <v>9</v>
      </c>
    </row>
    <row r="660" spans="1:16" x14ac:dyDescent="0.25">
      <c r="A660">
        <v>4483230</v>
      </c>
      <c r="B660" t="s">
        <v>74</v>
      </c>
      <c r="C660" t="s">
        <v>63</v>
      </c>
      <c r="D660">
        <v>3.8</v>
      </c>
      <c r="E660" t="str">
        <f t="shared" si="60"/>
        <v>Very Good</v>
      </c>
      <c r="F660" s="1">
        <v>45853.613888888889</v>
      </c>
      <c r="G660" s="1" t="str">
        <f t="shared" si="61"/>
        <v>Tuesday</v>
      </c>
      <c r="H660" s="1" t="str">
        <f t="shared" si="62"/>
        <v>July</v>
      </c>
      <c r="I660" s="1" t="str">
        <f t="shared" si="63"/>
        <v>2025</v>
      </c>
      <c r="J660" t="b">
        <v>1</v>
      </c>
      <c r="K660" t="s">
        <v>7</v>
      </c>
      <c r="L660">
        <v>92</v>
      </c>
      <c r="M660">
        <v>61</v>
      </c>
      <c r="N660" t="str">
        <f t="shared" si="64"/>
        <v>Seniors</v>
      </c>
      <c r="O660" t="s">
        <v>81</v>
      </c>
      <c r="P660" t="s">
        <v>9</v>
      </c>
    </row>
    <row r="661" spans="1:16" x14ac:dyDescent="0.25">
      <c r="A661">
        <v>6042386</v>
      </c>
      <c r="B661" t="s">
        <v>89</v>
      </c>
      <c r="C661" t="s">
        <v>85</v>
      </c>
      <c r="D661">
        <v>1.5</v>
      </c>
      <c r="E661" t="str">
        <f t="shared" si="60"/>
        <v>Poor</v>
      </c>
      <c r="F661" s="1">
        <v>45471.058333333334</v>
      </c>
      <c r="G661" s="1" t="str">
        <f t="shared" si="61"/>
        <v>Friday</v>
      </c>
      <c r="H661" s="1" t="str">
        <f t="shared" si="62"/>
        <v>June</v>
      </c>
      <c r="I661" s="1" t="str">
        <f t="shared" si="63"/>
        <v>2024</v>
      </c>
      <c r="J661" t="b">
        <v>1</v>
      </c>
      <c r="K661" t="s">
        <v>15</v>
      </c>
      <c r="L661">
        <v>195</v>
      </c>
      <c r="M661">
        <v>55</v>
      </c>
      <c r="N661" t="str">
        <f t="shared" si="64"/>
        <v>Adults</v>
      </c>
      <c r="O661" t="s">
        <v>24</v>
      </c>
      <c r="P661" t="s">
        <v>9</v>
      </c>
    </row>
    <row r="662" spans="1:16" x14ac:dyDescent="0.25">
      <c r="A662">
        <v>9836194</v>
      </c>
      <c r="B662" t="s">
        <v>35</v>
      </c>
      <c r="C662" t="s">
        <v>63</v>
      </c>
      <c r="D662">
        <v>1.1000000000000001</v>
      </c>
      <c r="E662" t="str">
        <f t="shared" si="60"/>
        <v>Poor</v>
      </c>
      <c r="F662" s="1">
        <v>45536.720833333333</v>
      </c>
      <c r="G662" s="1" t="str">
        <f t="shared" si="61"/>
        <v>Sunday</v>
      </c>
      <c r="H662" s="1" t="str">
        <f t="shared" si="62"/>
        <v>September</v>
      </c>
      <c r="I662" s="1" t="str">
        <f t="shared" si="63"/>
        <v>2024</v>
      </c>
      <c r="J662" t="b">
        <v>1</v>
      </c>
      <c r="K662" t="s">
        <v>2</v>
      </c>
      <c r="L662">
        <v>773</v>
      </c>
      <c r="M662">
        <v>74</v>
      </c>
      <c r="N662" t="str">
        <f t="shared" si="64"/>
        <v>Seniors</v>
      </c>
      <c r="O662" t="s">
        <v>37</v>
      </c>
      <c r="P662" t="s">
        <v>4</v>
      </c>
    </row>
    <row r="663" spans="1:16" x14ac:dyDescent="0.25">
      <c r="A663">
        <v>7821222</v>
      </c>
      <c r="B663" t="s">
        <v>88</v>
      </c>
      <c r="C663" t="s">
        <v>75</v>
      </c>
      <c r="D663">
        <v>4.5</v>
      </c>
      <c r="E663" t="str">
        <f t="shared" si="60"/>
        <v>Excellent</v>
      </c>
      <c r="F663" s="1">
        <v>45790.70208333333</v>
      </c>
      <c r="G663" s="1" t="str">
        <f t="shared" si="61"/>
        <v>Tuesday</v>
      </c>
      <c r="H663" s="1" t="str">
        <f t="shared" si="62"/>
        <v>May</v>
      </c>
      <c r="I663" s="1" t="str">
        <f t="shared" si="63"/>
        <v>2025</v>
      </c>
      <c r="J663" t="b">
        <v>1</v>
      </c>
      <c r="K663" t="s">
        <v>21</v>
      </c>
      <c r="L663">
        <v>721</v>
      </c>
      <c r="M663">
        <v>27</v>
      </c>
      <c r="N663" t="str">
        <f t="shared" si="64"/>
        <v>Adults</v>
      </c>
      <c r="O663" t="s">
        <v>48</v>
      </c>
      <c r="P663" t="s">
        <v>4</v>
      </c>
    </row>
    <row r="664" spans="1:16" x14ac:dyDescent="0.25">
      <c r="A664">
        <v>1895982</v>
      </c>
      <c r="B664" t="s">
        <v>74</v>
      </c>
      <c r="C664" t="s">
        <v>11</v>
      </c>
      <c r="D664">
        <v>4</v>
      </c>
      <c r="E664" t="str">
        <f t="shared" si="60"/>
        <v>Very Good</v>
      </c>
      <c r="F664" s="1">
        <v>45663.694444444445</v>
      </c>
      <c r="G664" s="1" t="str">
        <f t="shared" si="61"/>
        <v>Monday</v>
      </c>
      <c r="H664" s="1" t="str">
        <f t="shared" si="62"/>
        <v>January</v>
      </c>
      <c r="I664" s="1" t="str">
        <f t="shared" si="63"/>
        <v>2025</v>
      </c>
      <c r="J664" t="b">
        <v>0</v>
      </c>
      <c r="K664" t="s">
        <v>21</v>
      </c>
      <c r="L664">
        <v>762</v>
      </c>
      <c r="M664">
        <v>49</v>
      </c>
      <c r="N664" t="str">
        <f t="shared" si="64"/>
        <v>Adults</v>
      </c>
      <c r="O664" t="s">
        <v>86</v>
      </c>
      <c r="P664" t="s">
        <v>4</v>
      </c>
    </row>
    <row r="665" spans="1:16" x14ac:dyDescent="0.25">
      <c r="A665">
        <v>8236197</v>
      </c>
      <c r="B665" t="s">
        <v>76</v>
      </c>
      <c r="C665" t="s">
        <v>1</v>
      </c>
      <c r="D665">
        <v>2.2999999999999998</v>
      </c>
      <c r="E665" t="str">
        <f t="shared" si="60"/>
        <v>Good</v>
      </c>
      <c r="F665" s="1">
        <v>45623.292361111111</v>
      </c>
      <c r="G665" s="1" t="str">
        <f t="shared" si="61"/>
        <v>Wednesday</v>
      </c>
      <c r="H665" s="1" t="str">
        <f t="shared" si="62"/>
        <v>November</v>
      </c>
      <c r="I665" s="1" t="str">
        <f t="shared" si="63"/>
        <v>2024</v>
      </c>
      <c r="J665" t="b">
        <v>0</v>
      </c>
      <c r="K665" t="s">
        <v>21</v>
      </c>
      <c r="L665">
        <v>0</v>
      </c>
      <c r="M665">
        <v>32</v>
      </c>
      <c r="N665" t="str">
        <f t="shared" si="64"/>
        <v>Adults</v>
      </c>
      <c r="O665" t="s">
        <v>65</v>
      </c>
      <c r="P665" t="s">
        <v>4</v>
      </c>
    </row>
    <row r="666" spans="1:16" x14ac:dyDescent="0.25">
      <c r="A666">
        <v>100599</v>
      </c>
      <c r="B666" t="s">
        <v>69</v>
      </c>
      <c r="C666" t="s">
        <v>11</v>
      </c>
      <c r="D666">
        <v>1.7</v>
      </c>
      <c r="E666" t="str">
        <f t="shared" si="60"/>
        <v>Poor</v>
      </c>
      <c r="F666" s="1">
        <v>45257.734027777777</v>
      </c>
      <c r="G666" s="1" t="str">
        <f t="shared" si="61"/>
        <v>Monday</v>
      </c>
      <c r="H666" s="1" t="str">
        <f t="shared" si="62"/>
        <v>November</v>
      </c>
      <c r="I666" s="1" t="str">
        <f t="shared" si="63"/>
        <v>2023</v>
      </c>
      <c r="J666" t="b">
        <v>1</v>
      </c>
      <c r="K666" t="s">
        <v>58</v>
      </c>
      <c r="L666">
        <v>1196</v>
      </c>
      <c r="M666">
        <v>56</v>
      </c>
      <c r="N666" t="str">
        <f t="shared" si="64"/>
        <v>Adults</v>
      </c>
      <c r="O666" t="s">
        <v>8</v>
      </c>
      <c r="P666" t="s">
        <v>9</v>
      </c>
    </row>
    <row r="667" spans="1:16" x14ac:dyDescent="0.25">
      <c r="A667">
        <v>4247429</v>
      </c>
      <c r="B667" t="s">
        <v>41</v>
      </c>
      <c r="C667" t="s">
        <v>26</v>
      </c>
      <c r="D667">
        <v>3.7</v>
      </c>
      <c r="E667" t="str">
        <f t="shared" si="60"/>
        <v>Very Good</v>
      </c>
      <c r="F667" s="1">
        <v>45297.557638888888</v>
      </c>
      <c r="G667" s="1" t="str">
        <f t="shared" si="61"/>
        <v>Saturday</v>
      </c>
      <c r="H667" s="1" t="str">
        <f t="shared" si="62"/>
        <v>January</v>
      </c>
      <c r="I667" s="1" t="str">
        <f t="shared" si="63"/>
        <v>2024</v>
      </c>
      <c r="J667" t="b">
        <v>1</v>
      </c>
      <c r="K667" t="s">
        <v>15</v>
      </c>
      <c r="L667">
        <v>374</v>
      </c>
      <c r="M667">
        <v>59</v>
      </c>
      <c r="N667" t="str">
        <f t="shared" si="64"/>
        <v>Adults</v>
      </c>
      <c r="O667" t="s">
        <v>53</v>
      </c>
      <c r="P667" t="s">
        <v>9</v>
      </c>
    </row>
    <row r="668" spans="1:16" x14ac:dyDescent="0.25">
      <c r="A668">
        <v>3636303</v>
      </c>
      <c r="B668" t="s">
        <v>76</v>
      </c>
      <c r="C668" t="s">
        <v>1</v>
      </c>
      <c r="D668">
        <v>2.5</v>
      </c>
      <c r="E668" t="str">
        <f t="shared" si="60"/>
        <v>Good</v>
      </c>
      <c r="F668" s="1">
        <v>45409.825694444444</v>
      </c>
      <c r="G668" s="1" t="str">
        <f t="shared" si="61"/>
        <v>Saturday</v>
      </c>
      <c r="H668" s="1" t="str">
        <f t="shared" si="62"/>
        <v>April</v>
      </c>
      <c r="I668" s="1" t="str">
        <f t="shared" si="63"/>
        <v>2024</v>
      </c>
      <c r="J668" t="b">
        <v>0</v>
      </c>
      <c r="K668" t="s">
        <v>21</v>
      </c>
      <c r="L668">
        <v>1066</v>
      </c>
      <c r="M668">
        <v>74</v>
      </c>
      <c r="N668" t="str">
        <f t="shared" si="64"/>
        <v>Seniors</v>
      </c>
      <c r="O668" t="s">
        <v>65</v>
      </c>
      <c r="P668" t="s">
        <v>9</v>
      </c>
    </row>
    <row r="669" spans="1:16" x14ac:dyDescent="0.25">
      <c r="A669">
        <v>1153034</v>
      </c>
      <c r="B669" t="s">
        <v>67</v>
      </c>
      <c r="C669" t="s">
        <v>34</v>
      </c>
      <c r="D669">
        <v>2.8</v>
      </c>
      <c r="E669" t="str">
        <f t="shared" si="60"/>
        <v>Good</v>
      </c>
      <c r="F669" s="1">
        <v>45274.413888888892</v>
      </c>
      <c r="G669" s="1" t="str">
        <f t="shared" si="61"/>
        <v>Thursday</v>
      </c>
      <c r="H669" s="1" t="str">
        <f t="shared" si="62"/>
        <v>December</v>
      </c>
      <c r="I669" s="1" t="str">
        <f t="shared" si="63"/>
        <v>2023</v>
      </c>
      <c r="J669" t="b">
        <v>0</v>
      </c>
      <c r="K669" t="s">
        <v>2</v>
      </c>
      <c r="L669">
        <v>672</v>
      </c>
      <c r="M669">
        <v>55</v>
      </c>
      <c r="N669" t="str">
        <f t="shared" si="64"/>
        <v>Adults</v>
      </c>
      <c r="O669" t="s">
        <v>65</v>
      </c>
      <c r="P669" t="s">
        <v>9</v>
      </c>
    </row>
    <row r="670" spans="1:16" x14ac:dyDescent="0.25">
      <c r="A670">
        <v>1244375</v>
      </c>
      <c r="B670" t="s">
        <v>33</v>
      </c>
      <c r="C670" t="s">
        <v>20</v>
      </c>
      <c r="D670">
        <v>3.1</v>
      </c>
      <c r="E670" t="str">
        <f t="shared" si="60"/>
        <v>Very Good</v>
      </c>
      <c r="F670" s="1">
        <v>45850.480555555558</v>
      </c>
      <c r="G670" s="1" t="str">
        <f t="shared" si="61"/>
        <v>Saturday</v>
      </c>
      <c r="H670" s="1" t="str">
        <f t="shared" si="62"/>
        <v>July</v>
      </c>
      <c r="I670" s="1" t="str">
        <f t="shared" si="63"/>
        <v>2025</v>
      </c>
      <c r="J670" t="b">
        <v>0</v>
      </c>
      <c r="K670" t="s">
        <v>58</v>
      </c>
      <c r="L670">
        <v>66</v>
      </c>
      <c r="M670">
        <v>49</v>
      </c>
      <c r="N670" t="str">
        <f t="shared" si="64"/>
        <v>Adults</v>
      </c>
      <c r="O670" t="s">
        <v>12</v>
      </c>
      <c r="P670" t="s">
        <v>9</v>
      </c>
    </row>
    <row r="671" spans="1:16" x14ac:dyDescent="0.25">
      <c r="A671">
        <v>8215888</v>
      </c>
      <c r="B671" t="s">
        <v>25</v>
      </c>
      <c r="C671" t="s">
        <v>47</v>
      </c>
      <c r="D671">
        <v>1.6</v>
      </c>
      <c r="E671" t="str">
        <f t="shared" si="60"/>
        <v>Poor</v>
      </c>
      <c r="F671" s="1">
        <v>45431.331944444442</v>
      </c>
      <c r="G671" s="1" t="str">
        <f t="shared" si="61"/>
        <v>Sunday</v>
      </c>
      <c r="H671" s="1" t="str">
        <f t="shared" si="62"/>
        <v>May</v>
      </c>
      <c r="I671" s="1" t="str">
        <f t="shared" si="63"/>
        <v>2024</v>
      </c>
      <c r="J671" t="b">
        <v>1</v>
      </c>
      <c r="K671" t="s">
        <v>7</v>
      </c>
      <c r="L671">
        <v>670</v>
      </c>
      <c r="M671">
        <v>28</v>
      </c>
      <c r="N671" t="str">
        <f t="shared" si="64"/>
        <v>Adults</v>
      </c>
      <c r="O671" t="s">
        <v>50</v>
      </c>
      <c r="P671" t="s">
        <v>9</v>
      </c>
    </row>
    <row r="672" spans="1:16" x14ac:dyDescent="0.25">
      <c r="A672">
        <v>7147372</v>
      </c>
      <c r="B672" t="s">
        <v>30</v>
      </c>
      <c r="C672" t="s">
        <v>38</v>
      </c>
      <c r="D672">
        <v>4.4000000000000004</v>
      </c>
      <c r="E672" t="str">
        <f t="shared" si="60"/>
        <v>Excellent</v>
      </c>
      <c r="F672" s="1">
        <v>45855.308333333334</v>
      </c>
      <c r="G672" s="1" t="str">
        <f t="shared" si="61"/>
        <v>Thursday</v>
      </c>
      <c r="H672" s="1" t="str">
        <f t="shared" si="62"/>
        <v>July</v>
      </c>
      <c r="I672" s="1" t="str">
        <f t="shared" si="63"/>
        <v>2025</v>
      </c>
      <c r="J672" t="b">
        <v>1</v>
      </c>
      <c r="K672" t="s">
        <v>7</v>
      </c>
      <c r="L672">
        <v>1027</v>
      </c>
      <c r="M672">
        <v>42</v>
      </c>
      <c r="N672" t="str">
        <f t="shared" si="64"/>
        <v>Adults</v>
      </c>
      <c r="O672" t="s">
        <v>8</v>
      </c>
      <c r="P672" t="s">
        <v>9</v>
      </c>
    </row>
    <row r="673" spans="1:16" x14ac:dyDescent="0.25">
      <c r="A673">
        <v>1138956</v>
      </c>
      <c r="B673" t="s">
        <v>56</v>
      </c>
      <c r="C673" t="s">
        <v>1</v>
      </c>
      <c r="D673">
        <v>2.6</v>
      </c>
      <c r="E673" t="str">
        <f t="shared" si="60"/>
        <v>Good</v>
      </c>
      <c r="F673" s="1">
        <v>45614.157638888886</v>
      </c>
      <c r="G673" s="1" t="str">
        <f t="shared" si="61"/>
        <v>Monday</v>
      </c>
      <c r="H673" s="1" t="str">
        <f t="shared" si="62"/>
        <v>November</v>
      </c>
      <c r="I673" s="1" t="str">
        <f t="shared" si="63"/>
        <v>2024</v>
      </c>
      <c r="J673" t="b">
        <v>1</v>
      </c>
      <c r="K673" t="s">
        <v>7</v>
      </c>
      <c r="L673">
        <v>84</v>
      </c>
      <c r="M673">
        <v>28</v>
      </c>
      <c r="N673" t="str">
        <f t="shared" si="64"/>
        <v>Adults</v>
      </c>
      <c r="O673" t="s">
        <v>44</v>
      </c>
      <c r="P673" t="s">
        <v>9</v>
      </c>
    </row>
    <row r="674" spans="1:16" x14ac:dyDescent="0.25">
      <c r="A674">
        <v>8960962</v>
      </c>
      <c r="B674" t="s">
        <v>80</v>
      </c>
      <c r="C674" t="s">
        <v>34</v>
      </c>
      <c r="D674">
        <v>3</v>
      </c>
      <c r="E674" t="str">
        <f t="shared" si="60"/>
        <v>Good</v>
      </c>
      <c r="F674" s="1">
        <v>45524.268750000003</v>
      </c>
      <c r="G674" s="1" t="str">
        <f t="shared" si="61"/>
        <v>Tuesday</v>
      </c>
      <c r="H674" s="1" t="str">
        <f t="shared" si="62"/>
        <v>August</v>
      </c>
      <c r="I674" s="1" t="str">
        <f t="shared" si="63"/>
        <v>2024</v>
      </c>
      <c r="J674" t="b">
        <v>1</v>
      </c>
      <c r="K674" t="s">
        <v>2</v>
      </c>
      <c r="L674">
        <v>813</v>
      </c>
      <c r="M674">
        <v>36</v>
      </c>
      <c r="N674" t="str">
        <f t="shared" si="64"/>
        <v>Adults</v>
      </c>
      <c r="O674" t="s">
        <v>68</v>
      </c>
      <c r="P674" t="s">
        <v>9</v>
      </c>
    </row>
    <row r="675" spans="1:16" x14ac:dyDescent="0.25">
      <c r="A675">
        <v>9752869</v>
      </c>
      <c r="B675" t="s">
        <v>32</v>
      </c>
      <c r="C675" t="s">
        <v>14</v>
      </c>
      <c r="D675">
        <v>3.5</v>
      </c>
      <c r="E675" t="str">
        <f t="shared" si="60"/>
        <v>Very Good</v>
      </c>
      <c r="F675" s="1">
        <v>45326.37777777778</v>
      </c>
      <c r="G675" s="1" t="str">
        <f t="shared" si="61"/>
        <v>Sunday</v>
      </c>
      <c r="H675" s="1" t="str">
        <f t="shared" si="62"/>
        <v>February</v>
      </c>
      <c r="I675" s="1" t="str">
        <f t="shared" si="63"/>
        <v>2024</v>
      </c>
      <c r="J675" t="b">
        <v>1</v>
      </c>
      <c r="K675" t="s">
        <v>21</v>
      </c>
      <c r="L675">
        <v>935</v>
      </c>
      <c r="M675">
        <v>50</v>
      </c>
      <c r="N675" t="str">
        <f t="shared" si="64"/>
        <v>Adults</v>
      </c>
      <c r="O675" t="s">
        <v>12</v>
      </c>
      <c r="P675" t="s">
        <v>4</v>
      </c>
    </row>
    <row r="676" spans="1:16" x14ac:dyDescent="0.25">
      <c r="A676">
        <v>4197740</v>
      </c>
      <c r="B676" t="s">
        <v>80</v>
      </c>
      <c r="C676" t="s">
        <v>34</v>
      </c>
      <c r="D676">
        <v>4.2</v>
      </c>
      <c r="E676" t="str">
        <f t="shared" si="60"/>
        <v>Excellent</v>
      </c>
      <c r="F676" s="1">
        <v>45867.731249999997</v>
      </c>
      <c r="G676" s="1" t="str">
        <f t="shared" si="61"/>
        <v>Tuesday</v>
      </c>
      <c r="H676" s="1" t="str">
        <f t="shared" si="62"/>
        <v>July</v>
      </c>
      <c r="I676" s="1" t="str">
        <f t="shared" si="63"/>
        <v>2025</v>
      </c>
      <c r="J676" t="b">
        <v>1</v>
      </c>
      <c r="K676" t="s">
        <v>15</v>
      </c>
      <c r="L676">
        <v>86</v>
      </c>
      <c r="M676">
        <v>16</v>
      </c>
      <c r="N676" t="str">
        <f t="shared" si="64"/>
        <v>Teenagers</v>
      </c>
      <c r="O676" t="s">
        <v>65</v>
      </c>
      <c r="P676" t="s">
        <v>4</v>
      </c>
    </row>
    <row r="677" spans="1:16" x14ac:dyDescent="0.25">
      <c r="A677">
        <v>3553773</v>
      </c>
      <c r="B677" t="s">
        <v>88</v>
      </c>
      <c r="C677" t="s">
        <v>20</v>
      </c>
      <c r="D677">
        <v>3.7</v>
      </c>
      <c r="E677" t="str">
        <f t="shared" si="60"/>
        <v>Very Good</v>
      </c>
      <c r="F677" s="1">
        <v>45523.300694444442</v>
      </c>
      <c r="G677" s="1" t="str">
        <f t="shared" si="61"/>
        <v>Monday</v>
      </c>
      <c r="H677" s="1" t="str">
        <f t="shared" si="62"/>
        <v>August</v>
      </c>
      <c r="I677" s="1" t="str">
        <f t="shared" si="63"/>
        <v>2024</v>
      </c>
      <c r="J677" t="b">
        <v>0</v>
      </c>
      <c r="K677" t="s">
        <v>58</v>
      </c>
      <c r="L677">
        <v>696</v>
      </c>
      <c r="M677">
        <v>39</v>
      </c>
      <c r="N677" t="str">
        <f t="shared" si="64"/>
        <v>Adults</v>
      </c>
      <c r="O677" t="s">
        <v>77</v>
      </c>
      <c r="P677" t="s">
        <v>9</v>
      </c>
    </row>
    <row r="678" spans="1:16" x14ac:dyDescent="0.25">
      <c r="A678">
        <v>6347667</v>
      </c>
      <c r="B678" t="s">
        <v>5</v>
      </c>
      <c r="C678" t="s">
        <v>47</v>
      </c>
      <c r="D678">
        <v>2.4</v>
      </c>
      <c r="E678" t="str">
        <f t="shared" si="60"/>
        <v>Good</v>
      </c>
      <c r="F678" s="1">
        <v>45701.932638888888</v>
      </c>
      <c r="G678" s="1" t="str">
        <f t="shared" si="61"/>
        <v>Thursday</v>
      </c>
      <c r="H678" s="1" t="str">
        <f t="shared" si="62"/>
        <v>February</v>
      </c>
      <c r="I678" s="1" t="str">
        <f t="shared" si="63"/>
        <v>2025</v>
      </c>
      <c r="J678" t="b">
        <v>1</v>
      </c>
      <c r="K678" t="s">
        <v>2</v>
      </c>
      <c r="L678">
        <v>935</v>
      </c>
      <c r="M678">
        <v>73</v>
      </c>
      <c r="N678" t="str">
        <f t="shared" si="64"/>
        <v>Seniors</v>
      </c>
      <c r="O678" t="s">
        <v>81</v>
      </c>
      <c r="P678" t="s">
        <v>9</v>
      </c>
    </row>
    <row r="679" spans="1:16" x14ac:dyDescent="0.25">
      <c r="A679">
        <v>701759</v>
      </c>
      <c r="B679" t="s">
        <v>84</v>
      </c>
      <c r="C679" t="s">
        <v>1</v>
      </c>
      <c r="D679">
        <v>1</v>
      </c>
      <c r="E679" t="str">
        <f t="shared" si="60"/>
        <v>Poor</v>
      </c>
      <c r="F679" s="1">
        <v>45321.489583333336</v>
      </c>
      <c r="G679" s="1" t="str">
        <f t="shared" si="61"/>
        <v>Tuesday</v>
      </c>
      <c r="H679" s="1" t="str">
        <f t="shared" si="62"/>
        <v>January</v>
      </c>
      <c r="I679" s="1" t="str">
        <f t="shared" si="63"/>
        <v>2024</v>
      </c>
      <c r="J679" t="b">
        <v>0</v>
      </c>
      <c r="K679" t="s">
        <v>2</v>
      </c>
      <c r="L679">
        <v>155</v>
      </c>
      <c r="M679">
        <v>62</v>
      </c>
      <c r="N679" t="str">
        <f t="shared" si="64"/>
        <v>Seniors</v>
      </c>
      <c r="O679" t="s">
        <v>3</v>
      </c>
      <c r="P679" t="s">
        <v>4</v>
      </c>
    </row>
    <row r="680" spans="1:16" x14ac:dyDescent="0.25">
      <c r="A680">
        <v>625229</v>
      </c>
      <c r="B680" t="s">
        <v>83</v>
      </c>
      <c r="C680" t="s">
        <v>38</v>
      </c>
      <c r="D680">
        <v>4.0999999999999996</v>
      </c>
      <c r="E680" t="str">
        <f t="shared" si="60"/>
        <v>Excellent</v>
      </c>
      <c r="F680" s="1">
        <v>45867.425694444442</v>
      </c>
      <c r="G680" s="1" t="str">
        <f t="shared" si="61"/>
        <v>Tuesday</v>
      </c>
      <c r="H680" s="1" t="str">
        <f t="shared" si="62"/>
        <v>July</v>
      </c>
      <c r="I680" s="1" t="str">
        <f t="shared" si="63"/>
        <v>2025</v>
      </c>
      <c r="J680" t="b">
        <v>1</v>
      </c>
      <c r="K680" t="s">
        <v>58</v>
      </c>
      <c r="L680">
        <v>102</v>
      </c>
      <c r="M680">
        <v>51</v>
      </c>
      <c r="N680" t="str">
        <f t="shared" si="64"/>
        <v>Adults</v>
      </c>
      <c r="O680" t="s">
        <v>12</v>
      </c>
      <c r="P680" t="s">
        <v>4</v>
      </c>
    </row>
    <row r="681" spans="1:16" x14ac:dyDescent="0.25">
      <c r="A681">
        <v>9634543</v>
      </c>
      <c r="B681" t="s">
        <v>41</v>
      </c>
      <c r="C681" t="s">
        <v>26</v>
      </c>
      <c r="D681">
        <v>4.5</v>
      </c>
      <c r="E681" t="str">
        <f t="shared" si="60"/>
        <v>Excellent</v>
      </c>
      <c r="F681" s="1">
        <v>45788.218055555553</v>
      </c>
      <c r="G681" s="1" t="str">
        <f t="shared" si="61"/>
        <v>Sunday</v>
      </c>
      <c r="H681" s="1" t="str">
        <f t="shared" si="62"/>
        <v>May</v>
      </c>
      <c r="I681" s="1" t="str">
        <f t="shared" si="63"/>
        <v>2025</v>
      </c>
      <c r="J681" t="b">
        <v>1</v>
      </c>
      <c r="K681" t="s">
        <v>15</v>
      </c>
      <c r="L681">
        <v>1130</v>
      </c>
      <c r="M681">
        <v>70</v>
      </c>
      <c r="N681" t="str">
        <f t="shared" ref="N681:N711" si="65">IF(M681&lt;=17,"Teenagers", IF(AND(M681&gt;=18,M681&lt;61),"Adults",IF(M681&gt;60,"Seniors")))</f>
        <v>Seniors</v>
      </c>
      <c r="O681" t="s">
        <v>55</v>
      </c>
      <c r="P681" t="s">
        <v>4</v>
      </c>
    </row>
    <row r="682" spans="1:16" x14ac:dyDescent="0.25">
      <c r="A682">
        <v>3099504</v>
      </c>
      <c r="B682" t="s">
        <v>61</v>
      </c>
      <c r="C682" t="s">
        <v>31</v>
      </c>
      <c r="D682">
        <v>1.1000000000000001</v>
      </c>
      <c r="E682" t="str">
        <f t="shared" si="60"/>
        <v>Poor</v>
      </c>
      <c r="F682" s="1">
        <v>45483.594444444447</v>
      </c>
      <c r="G682" s="1" t="str">
        <f t="shared" si="61"/>
        <v>Wednesday</v>
      </c>
      <c r="H682" s="1" t="str">
        <f t="shared" si="62"/>
        <v>July</v>
      </c>
      <c r="I682" s="1" t="str">
        <f t="shared" si="63"/>
        <v>2024</v>
      </c>
      <c r="J682" t="b">
        <v>1</v>
      </c>
      <c r="K682" t="s">
        <v>21</v>
      </c>
      <c r="L682">
        <v>193</v>
      </c>
      <c r="M682">
        <v>44</v>
      </c>
      <c r="N682" t="str">
        <f t="shared" si="65"/>
        <v>Adults</v>
      </c>
      <c r="O682" t="s">
        <v>27</v>
      </c>
      <c r="P682" t="s">
        <v>4</v>
      </c>
    </row>
    <row r="683" spans="1:16" x14ac:dyDescent="0.25">
      <c r="A683">
        <v>4732933</v>
      </c>
      <c r="B683" t="s">
        <v>69</v>
      </c>
      <c r="C683" t="s">
        <v>1</v>
      </c>
      <c r="D683">
        <v>2.1</v>
      </c>
      <c r="E683" t="str">
        <f t="shared" si="60"/>
        <v>Good</v>
      </c>
      <c r="F683" s="1">
        <v>45340.469444444447</v>
      </c>
      <c r="G683" s="1" t="str">
        <f t="shared" si="61"/>
        <v>Sunday</v>
      </c>
      <c r="H683" s="1" t="str">
        <f t="shared" si="62"/>
        <v>February</v>
      </c>
      <c r="I683" s="1" t="str">
        <f t="shared" si="63"/>
        <v>2024</v>
      </c>
      <c r="J683" t="b">
        <v>1</v>
      </c>
      <c r="K683" t="s">
        <v>21</v>
      </c>
      <c r="L683">
        <v>7</v>
      </c>
      <c r="M683">
        <v>65</v>
      </c>
      <c r="N683" t="str">
        <f t="shared" si="65"/>
        <v>Seniors</v>
      </c>
      <c r="O683" t="s">
        <v>22</v>
      </c>
      <c r="P683" t="s">
        <v>9</v>
      </c>
    </row>
    <row r="684" spans="1:16" x14ac:dyDescent="0.25">
      <c r="A684">
        <v>1399884</v>
      </c>
      <c r="B684" t="s">
        <v>23</v>
      </c>
      <c r="C684" t="s">
        <v>31</v>
      </c>
      <c r="D684">
        <v>2.9</v>
      </c>
      <c r="E684" t="str">
        <f t="shared" si="60"/>
        <v>Good</v>
      </c>
      <c r="F684" s="1">
        <v>45532.628472222219</v>
      </c>
      <c r="G684" s="1" t="str">
        <f t="shared" si="61"/>
        <v>Wednesday</v>
      </c>
      <c r="H684" s="1" t="str">
        <f t="shared" si="62"/>
        <v>August</v>
      </c>
      <c r="I684" s="1" t="str">
        <f t="shared" si="63"/>
        <v>2024</v>
      </c>
      <c r="J684" t="b">
        <v>1</v>
      </c>
      <c r="K684" t="s">
        <v>58</v>
      </c>
      <c r="L684">
        <v>363</v>
      </c>
      <c r="M684">
        <v>35</v>
      </c>
      <c r="N684" t="str">
        <f t="shared" si="65"/>
        <v>Adults</v>
      </c>
      <c r="O684" t="s">
        <v>81</v>
      </c>
      <c r="P684" t="s">
        <v>9</v>
      </c>
    </row>
    <row r="685" spans="1:16" x14ac:dyDescent="0.25">
      <c r="A685">
        <v>1998888</v>
      </c>
      <c r="B685" t="s">
        <v>0</v>
      </c>
      <c r="C685" t="s">
        <v>1</v>
      </c>
      <c r="D685">
        <v>3.3</v>
      </c>
      <c r="E685" t="str">
        <f t="shared" si="60"/>
        <v>Very Good</v>
      </c>
      <c r="F685" s="1">
        <v>45535.811111111114</v>
      </c>
      <c r="G685" s="1" t="str">
        <f t="shared" si="61"/>
        <v>Saturday</v>
      </c>
      <c r="H685" s="1" t="str">
        <f t="shared" si="62"/>
        <v>August</v>
      </c>
      <c r="I685" s="1" t="str">
        <f t="shared" si="63"/>
        <v>2024</v>
      </c>
      <c r="J685" t="b">
        <v>1</v>
      </c>
      <c r="K685" t="s">
        <v>15</v>
      </c>
      <c r="L685">
        <v>756</v>
      </c>
      <c r="M685">
        <v>28</v>
      </c>
      <c r="N685" t="str">
        <f t="shared" si="65"/>
        <v>Adults</v>
      </c>
      <c r="O685" t="s">
        <v>55</v>
      </c>
      <c r="P685" t="s">
        <v>9</v>
      </c>
    </row>
    <row r="686" spans="1:16" x14ac:dyDescent="0.25">
      <c r="A686">
        <v>9669151</v>
      </c>
      <c r="B686" t="s">
        <v>28</v>
      </c>
      <c r="C686" t="s">
        <v>29</v>
      </c>
      <c r="D686">
        <v>2.8</v>
      </c>
      <c r="E686" t="str">
        <f t="shared" si="60"/>
        <v>Good</v>
      </c>
      <c r="F686" s="1">
        <v>45427.321527777778</v>
      </c>
      <c r="G686" s="1" t="str">
        <f t="shared" si="61"/>
        <v>Wednesday</v>
      </c>
      <c r="H686" s="1" t="str">
        <f t="shared" si="62"/>
        <v>May</v>
      </c>
      <c r="I686" s="1" t="str">
        <f t="shared" si="63"/>
        <v>2024</v>
      </c>
      <c r="J686" t="b">
        <v>0</v>
      </c>
      <c r="K686" t="s">
        <v>21</v>
      </c>
      <c r="L686">
        <v>338</v>
      </c>
      <c r="M686">
        <v>64</v>
      </c>
      <c r="N686" t="str">
        <f t="shared" si="65"/>
        <v>Seniors</v>
      </c>
      <c r="O686" t="s">
        <v>81</v>
      </c>
      <c r="P686" t="s">
        <v>4</v>
      </c>
    </row>
    <row r="687" spans="1:16" x14ac:dyDescent="0.25">
      <c r="A687">
        <v>3648039</v>
      </c>
      <c r="B687" t="s">
        <v>67</v>
      </c>
      <c r="C687" t="s">
        <v>18</v>
      </c>
      <c r="D687">
        <v>2.4</v>
      </c>
      <c r="E687" t="str">
        <f t="shared" si="60"/>
        <v>Good</v>
      </c>
      <c r="F687" s="1">
        <v>45766.496527777781</v>
      </c>
      <c r="G687" s="1" t="str">
        <f t="shared" si="61"/>
        <v>Saturday</v>
      </c>
      <c r="H687" s="1" t="str">
        <f t="shared" si="62"/>
        <v>April</v>
      </c>
      <c r="I687" s="1" t="str">
        <f t="shared" si="63"/>
        <v>2025</v>
      </c>
      <c r="J687" t="b">
        <v>1</v>
      </c>
      <c r="K687" t="s">
        <v>21</v>
      </c>
      <c r="L687">
        <v>288</v>
      </c>
      <c r="M687">
        <v>70</v>
      </c>
      <c r="N687" t="str">
        <f t="shared" si="65"/>
        <v>Seniors</v>
      </c>
      <c r="O687" t="s">
        <v>42</v>
      </c>
      <c r="P687" t="s">
        <v>4</v>
      </c>
    </row>
    <row r="688" spans="1:16" x14ac:dyDescent="0.25">
      <c r="A688">
        <v>8669737</v>
      </c>
      <c r="B688" t="s">
        <v>88</v>
      </c>
      <c r="C688" t="s">
        <v>34</v>
      </c>
      <c r="D688">
        <v>1.4</v>
      </c>
      <c r="E688" t="str">
        <f t="shared" si="60"/>
        <v>Poor</v>
      </c>
      <c r="F688" s="1">
        <v>45694.831250000003</v>
      </c>
      <c r="G688" s="1" t="str">
        <f t="shared" si="61"/>
        <v>Thursday</v>
      </c>
      <c r="H688" s="1" t="str">
        <f t="shared" si="62"/>
        <v>February</v>
      </c>
      <c r="I688" s="1" t="str">
        <f t="shared" si="63"/>
        <v>2025</v>
      </c>
      <c r="J688" t="b">
        <v>0</v>
      </c>
      <c r="K688" t="s">
        <v>21</v>
      </c>
      <c r="L688">
        <v>773</v>
      </c>
      <c r="M688">
        <v>69</v>
      </c>
      <c r="N688" t="str">
        <f t="shared" si="65"/>
        <v>Seniors</v>
      </c>
      <c r="O688" t="s">
        <v>42</v>
      </c>
      <c r="P688" t="s">
        <v>9</v>
      </c>
    </row>
    <row r="689" spans="1:16" x14ac:dyDescent="0.25">
      <c r="A689">
        <v>6171358</v>
      </c>
      <c r="B689" t="s">
        <v>28</v>
      </c>
      <c r="C689" t="s">
        <v>29</v>
      </c>
      <c r="D689">
        <v>1.7</v>
      </c>
      <c r="E689" t="str">
        <f t="shared" si="60"/>
        <v>Poor</v>
      </c>
      <c r="F689" s="1">
        <v>45522.734722222223</v>
      </c>
      <c r="G689" s="1" t="str">
        <f t="shared" si="61"/>
        <v>Sunday</v>
      </c>
      <c r="H689" s="1" t="str">
        <f t="shared" si="62"/>
        <v>August</v>
      </c>
      <c r="I689" s="1" t="str">
        <f t="shared" si="63"/>
        <v>2024</v>
      </c>
      <c r="J689" t="b">
        <v>0</v>
      </c>
      <c r="K689" t="s">
        <v>21</v>
      </c>
      <c r="L689">
        <v>237</v>
      </c>
      <c r="M689">
        <v>54</v>
      </c>
      <c r="N689" t="str">
        <f t="shared" si="65"/>
        <v>Adults</v>
      </c>
      <c r="O689" t="s">
        <v>55</v>
      </c>
      <c r="P689" t="s">
        <v>9</v>
      </c>
    </row>
    <row r="690" spans="1:16" x14ac:dyDescent="0.25">
      <c r="A690">
        <v>1908110</v>
      </c>
      <c r="B690" t="s">
        <v>33</v>
      </c>
      <c r="C690" t="s">
        <v>63</v>
      </c>
      <c r="D690">
        <v>1.7</v>
      </c>
      <c r="E690" t="str">
        <f t="shared" si="60"/>
        <v>Poor</v>
      </c>
      <c r="F690" s="1">
        <v>45700.997916666667</v>
      </c>
      <c r="G690" s="1" t="str">
        <f t="shared" si="61"/>
        <v>Wednesday</v>
      </c>
      <c r="H690" s="1" t="str">
        <f t="shared" si="62"/>
        <v>February</v>
      </c>
      <c r="I690" s="1" t="str">
        <f t="shared" si="63"/>
        <v>2025</v>
      </c>
      <c r="J690" t="b">
        <v>0</v>
      </c>
      <c r="K690" t="s">
        <v>2</v>
      </c>
      <c r="L690">
        <v>976</v>
      </c>
      <c r="M690">
        <v>66</v>
      </c>
      <c r="N690" t="str">
        <f t="shared" si="65"/>
        <v>Seniors</v>
      </c>
      <c r="O690" t="s">
        <v>3</v>
      </c>
      <c r="P690" t="s">
        <v>4</v>
      </c>
    </row>
    <row r="691" spans="1:16" x14ac:dyDescent="0.25">
      <c r="A691">
        <v>8626649</v>
      </c>
      <c r="B691" t="s">
        <v>32</v>
      </c>
      <c r="C691" t="s">
        <v>43</v>
      </c>
      <c r="D691">
        <v>3.6</v>
      </c>
      <c r="E691" t="str">
        <f t="shared" si="60"/>
        <v>Very Good</v>
      </c>
      <c r="F691" s="1">
        <v>45824.245833333334</v>
      </c>
      <c r="G691" s="1" t="str">
        <f t="shared" si="61"/>
        <v>Monday</v>
      </c>
      <c r="H691" s="1" t="str">
        <f t="shared" si="62"/>
        <v>June</v>
      </c>
      <c r="I691" s="1" t="str">
        <f t="shared" si="63"/>
        <v>2025</v>
      </c>
      <c r="J691" t="b">
        <v>0</v>
      </c>
      <c r="K691" t="s">
        <v>15</v>
      </c>
      <c r="L691">
        <v>598</v>
      </c>
      <c r="M691">
        <v>66</v>
      </c>
      <c r="N691" t="str">
        <f t="shared" si="65"/>
        <v>Seniors</v>
      </c>
      <c r="O691" t="s">
        <v>37</v>
      </c>
      <c r="P691" t="s">
        <v>9</v>
      </c>
    </row>
    <row r="692" spans="1:16" x14ac:dyDescent="0.25">
      <c r="A692">
        <v>3634635</v>
      </c>
      <c r="B692" t="s">
        <v>89</v>
      </c>
      <c r="C692" t="s">
        <v>26</v>
      </c>
      <c r="D692">
        <v>2.4</v>
      </c>
      <c r="E692" t="str">
        <f t="shared" si="60"/>
        <v>Good</v>
      </c>
      <c r="F692" s="1">
        <v>45473.286111111112</v>
      </c>
      <c r="G692" s="1" t="str">
        <f t="shared" si="61"/>
        <v>Sunday</v>
      </c>
      <c r="H692" s="1" t="str">
        <f t="shared" si="62"/>
        <v>June</v>
      </c>
      <c r="I692" s="1" t="str">
        <f t="shared" si="63"/>
        <v>2024</v>
      </c>
      <c r="J692" t="b">
        <v>1</v>
      </c>
      <c r="K692" t="s">
        <v>15</v>
      </c>
      <c r="L692">
        <v>885</v>
      </c>
      <c r="M692">
        <v>35</v>
      </c>
      <c r="N692" t="str">
        <f t="shared" si="65"/>
        <v>Adults</v>
      </c>
      <c r="O692" t="s">
        <v>65</v>
      </c>
      <c r="P692" t="s">
        <v>9</v>
      </c>
    </row>
    <row r="693" spans="1:16" x14ac:dyDescent="0.25">
      <c r="A693">
        <v>5374209</v>
      </c>
      <c r="B693" t="s">
        <v>41</v>
      </c>
      <c r="C693" t="s">
        <v>31</v>
      </c>
      <c r="D693">
        <v>1.7</v>
      </c>
      <c r="E693" t="str">
        <f t="shared" si="60"/>
        <v>Poor</v>
      </c>
      <c r="F693" s="1">
        <v>45312.57916666667</v>
      </c>
      <c r="G693" s="1" t="str">
        <f t="shared" si="61"/>
        <v>Sunday</v>
      </c>
      <c r="H693" s="1" t="str">
        <f t="shared" si="62"/>
        <v>January</v>
      </c>
      <c r="I693" s="1" t="str">
        <f t="shared" si="63"/>
        <v>2024</v>
      </c>
      <c r="J693" t="b">
        <v>1</v>
      </c>
      <c r="K693" t="s">
        <v>15</v>
      </c>
      <c r="L693">
        <v>721</v>
      </c>
      <c r="M693">
        <v>70</v>
      </c>
      <c r="N693" t="str">
        <f t="shared" si="65"/>
        <v>Seniors</v>
      </c>
      <c r="O693" t="s">
        <v>42</v>
      </c>
      <c r="P693" t="s">
        <v>4</v>
      </c>
    </row>
    <row r="694" spans="1:16" x14ac:dyDescent="0.25">
      <c r="A694">
        <v>4939871</v>
      </c>
      <c r="B694" t="s">
        <v>78</v>
      </c>
      <c r="C694" t="s">
        <v>29</v>
      </c>
      <c r="D694">
        <v>1.2</v>
      </c>
      <c r="E694" t="str">
        <f t="shared" si="60"/>
        <v>Poor</v>
      </c>
      <c r="F694" s="1">
        <v>45868.379861111112</v>
      </c>
      <c r="G694" s="1" t="str">
        <f t="shared" si="61"/>
        <v>Wednesday</v>
      </c>
      <c r="H694" s="1" t="str">
        <f t="shared" si="62"/>
        <v>July</v>
      </c>
      <c r="I694" s="1" t="str">
        <f t="shared" si="63"/>
        <v>2025</v>
      </c>
      <c r="J694" t="b">
        <v>1</v>
      </c>
      <c r="K694" t="s">
        <v>58</v>
      </c>
      <c r="L694">
        <v>961</v>
      </c>
      <c r="M694">
        <v>75</v>
      </c>
      <c r="N694" t="str">
        <f t="shared" si="65"/>
        <v>Seniors</v>
      </c>
      <c r="O694" t="s">
        <v>24</v>
      </c>
      <c r="P694" t="s">
        <v>9</v>
      </c>
    </row>
    <row r="695" spans="1:16" x14ac:dyDescent="0.25">
      <c r="A695">
        <v>4771669</v>
      </c>
      <c r="B695" t="s">
        <v>10</v>
      </c>
      <c r="C695" t="s">
        <v>1</v>
      </c>
      <c r="D695">
        <v>1.9</v>
      </c>
      <c r="E695" t="str">
        <f t="shared" si="60"/>
        <v>Poor</v>
      </c>
      <c r="F695" s="1">
        <v>45707.154861111114</v>
      </c>
      <c r="G695" s="1" t="str">
        <f t="shared" si="61"/>
        <v>Wednesday</v>
      </c>
      <c r="H695" s="1" t="str">
        <f t="shared" si="62"/>
        <v>February</v>
      </c>
      <c r="I695" s="1" t="str">
        <f t="shared" si="63"/>
        <v>2025</v>
      </c>
      <c r="J695" t="b">
        <v>0</v>
      </c>
      <c r="K695" t="s">
        <v>7</v>
      </c>
      <c r="L695">
        <v>1239</v>
      </c>
      <c r="M695">
        <v>13</v>
      </c>
      <c r="N695" t="str">
        <f t="shared" si="65"/>
        <v>Teenagers</v>
      </c>
      <c r="O695" t="s">
        <v>44</v>
      </c>
      <c r="P695" t="s">
        <v>9</v>
      </c>
    </row>
    <row r="696" spans="1:16" x14ac:dyDescent="0.25">
      <c r="A696">
        <v>2053918</v>
      </c>
      <c r="B696" t="s">
        <v>40</v>
      </c>
      <c r="C696" t="s">
        <v>63</v>
      </c>
      <c r="D696">
        <v>1.8</v>
      </c>
      <c r="E696" t="str">
        <f t="shared" si="60"/>
        <v>Poor</v>
      </c>
      <c r="F696" s="1">
        <v>45491.09375</v>
      </c>
      <c r="G696" s="1" t="str">
        <f t="shared" si="61"/>
        <v>Thursday</v>
      </c>
      <c r="H696" s="1" t="str">
        <f t="shared" si="62"/>
        <v>July</v>
      </c>
      <c r="I696" s="1" t="str">
        <f t="shared" si="63"/>
        <v>2024</v>
      </c>
      <c r="J696" t="b">
        <v>0</v>
      </c>
      <c r="K696" t="s">
        <v>15</v>
      </c>
      <c r="L696">
        <v>443</v>
      </c>
      <c r="M696">
        <v>53</v>
      </c>
      <c r="N696" t="str">
        <f t="shared" si="65"/>
        <v>Adults</v>
      </c>
      <c r="O696" t="s">
        <v>22</v>
      </c>
      <c r="P696" t="s">
        <v>9</v>
      </c>
    </row>
    <row r="697" spans="1:16" x14ac:dyDescent="0.25">
      <c r="A697">
        <v>8845909</v>
      </c>
      <c r="B697" t="s">
        <v>71</v>
      </c>
      <c r="C697" t="s">
        <v>85</v>
      </c>
      <c r="D697">
        <v>4.3</v>
      </c>
      <c r="E697" t="str">
        <f t="shared" si="60"/>
        <v>Excellent</v>
      </c>
      <c r="F697" s="1">
        <v>45385.508333333331</v>
      </c>
      <c r="G697" s="1" t="str">
        <f t="shared" si="61"/>
        <v>Wednesday</v>
      </c>
      <c r="H697" s="1" t="str">
        <f t="shared" si="62"/>
        <v>April</v>
      </c>
      <c r="I697" s="1" t="str">
        <f t="shared" si="63"/>
        <v>2024</v>
      </c>
      <c r="J697" t="b">
        <v>1</v>
      </c>
      <c r="K697" t="s">
        <v>7</v>
      </c>
      <c r="L697">
        <v>1190</v>
      </c>
      <c r="M697">
        <v>69</v>
      </c>
      <c r="N697" t="str">
        <f t="shared" si="65"/>
        <v>Seniors</v>
      </c>
      <c r="O697" t="s">
        <v>86</v>
      </c>
      <c r="P697" t="s">
        <v>9</v>
      </c>
    </row>
    <row r="698" spans="1:16" x14ac:dyDescent="0.25">
      <c r="A698">
        <v>9464543</v>
      </c>
      <c r="B698" t="s">
        <v>5</v>
      </c>
      <c r="C698" t="s">
        <v>43</v>
      </c>
      <c r="D698">
        <v>1.6</v>
      </c>
      <c r="E698" t="str">
        <f t="shared" si="60"/>
        <v>Poor</v>
      </c>
      <c r="F698" s="1">
        <v>45256.499305555553</v>
      </c>
      <c r="G698" s="1" t="str">
        <f t="shared" si="61"/>
        <v>Sunday</v>
      </c>
      <c r="H698" s="1" t="str">
        <f t="shared" si="62"/>
        <v>November</v>
      </c>
      <c r="I698" s="1" t="str">
        <f t="shared" si="63"/>
        <v>2023</v>
      </c>
      <c r="J698" t="b">
        <v>1</v>
      </c>
      <c r="K698" t="s">
        <v>58</v>
      </c>
      <c r="L698">
        <v>517</v>
      </c>
      <c r="M698">
        <v>14</v>
      </c>
      <c r="N698" t="str">
        <f t="shared" si="65"/>
        <v>Teenagers</v>
      </c>
      <c r="O698" t="s">
        <v>22</v>
      </c>
      <c r="P698" t="s">
        <v>9</v>
      </c>
    </row>
    <row r="699" spans="1:16" x14ac:dyDescent="0.25">
      <c r="A699">
        <v>3239098</v>
      </c>
      <c r="B699" t="s">
        <v>28</v>
      </c>
      <c r="C699" t="s">
        <v>36</v>
      </c>
      <c r="D699">
        <v>3.3</v>
      </c>
      <c r="E699" t="str">
        <f t="shared" si="60"/>
        <v>Very Good</v>
      </c>
      <c r="F699" s="1">
        <v>45278.738194444442</v>
      </c>
      <c r="G699" s="1" t="str">
        <f t="shared" si="61"/>
        <v>Monday</v>
      </c>
      <c r="H699" s="1" t="str">
        <f t="shared" si="62"/>
        <v>December</v>
      </c>
      <c r="I699" s="1" t="str">
        <f t="shared" si="63"/>
        <v>2023</v>
      </c>
      <c r="J699" t="b">
        <v>1</v>
      </c>
      <c r="K699" t="s">
        <v>58</v>
      </c>
      <c r="L699">
        <v>429</v>
      </c>
      <c r="M699">
        <v>55</v>
      </c>
      <c r="N699" t="str">
        <f t="shared" si="65"/>
        <v>Adults</v>
      </c>
      <c r="O699" t="s">
        <v>81</v>
      </c>
      <c r="P699" t="s">
        <v>9</v>
      </c>
    </row>
    <row r="700" spans="1:16" x14ac:dyDescent="0.25">
      <c r="A700">
        <v>1719558</v>
      </c>
      <c r="B700" t="s">
        <v>41</v>
      </c>
      <c r="C700" t="s">
        <v>6</v>
      </c>
      <c r="D700">
        <v>2.6</v>
      </c>
      <c r="E700" t="str">
        <f t="shared" si="60"/>
        <v>Good</v>
      </c>
      <c r="F700" s="1">
        <v>45308.926388888889</v>
      </c>
      <c r="G700" s="1" t="str">
        <f t="shared" si="61"/>
        <v>Wednesday</v>
      </c>
      <c r="H700" s="1" t="str">
        <f t="shared" si="62"/>
        <v>January</v>
      </c>
      <c r="I700" s="1" t="str">
        <f t="shared" si="63"/>
        <v>2024</v>
      </c>
      <c r="J700" t="b">
        <v>1</v>
      </c>
      <c r="K700" t="s">
        <v>7</v>
      </c>
      <c r="L700">
        <v>82</v>
      </c>
      <c r="M700">
        <v>28</v>
      </c>
      <c r="N700" t="str">
        <f t="shared" si="65"/>
        <v>Adults</v>
      </c>
      <c r="O700" t="s">
        <v>24</v>
      </c>
      <c r="P700" t="s">
        <v>9</v>
      </c>
    </row>
    <row r="701" spans="1:16" x14ac:dyDescent="0.25">
      <c r="A701">
        <v>4919613</v>
      </c>
      <c r="B701" t="s">
        <v>17</v>
      </c>
      <c r="C701" t="s">
        <v>1</v>
      </c>
      <c r="D701">
        <v>2.4</v>
      </c>
      <c r="E701" t="str">
        <f t="shared" si="60"/>
        <v>Good</v>
      </c>
      <c r="F701" s="1">
        <v>45464.786111111112</v>
      </c>
      <c r="G701" s="1" t="str">
        <f t="shared" si="61"/>
        <v>Friday</v>
      </c>
      <c r="H701" s="1" t="str">
        <f t="shared" si="62"/>
        <v>June</v>
      </c>
      <c r="I701" s="1" t="str">
        <f t="shared" si="63"/>
        <v>2024</v>
      </c>
      <c r="J701" t="b">
        <v>1</v>
      </c>
      <c r="K701" t="s">
        <v>7</v>
      </c>
      <c r="L701">
        <v>626</v>
      </c>
      <c r="M701">
        <v>51</v>
      </c>
      <c r="N701" t="str">
        <f t="shared" si="65"/>
        <v>Adults</v>
      </c>
      <c r="O701" t="s">
        <v>68</v>
      </c>
      <c r="P701" t="s">
        <v>4</v>
      </c>
    </row>
    <row r="702" spans="1:16" x14ac:dyDescent="0.25">
      <c r="A702">
        <v>2004822</v>
      </c>
      <c r="B702" t="s">
        <v>70</v>
      </c>
      <c r="C702" t="s">
        <v>34</v>
      </c>
      <c r="D702">
        <v>4.9000000000000004</v>
      </c>
      <c r="E702" t="str">
        <f t="shared" si="60"/>
        <v>Excellent</v>
      </c>
      <c r="F702" s="1">
        <v>45408.85</v>
      </c>
      <c r="G702" s="1" t="str">
        <f t="shared" si="61"/>
        <v>Friday</v>
      </c>
      <c r="H702" s="1" t="str">
        <f t="shared" si="62"/>
        <v>April</v>
      </c>
      <c r="I702" s="1" t="str">
        <f t="shared" si="63"/>
        <v>2024</v>
      </c>
      <c r="J702" t="b">
        <v>0</v>
      </c>
      <c r="K702" t="s">
        <v>21</v>
      </c>
      <c r="L702">
        <v>875</v>
      </c>
      <c r="M702">
        <v>39</v>
      </c>
      <c r="N702" t="str">
        <f t="shared" si="65"/>
        <v>Adults</v>
      </c>
      <c r="O702" t="s">
        <v>59</v>
      </c>
      <c r="P702" t="s">
        <v>9</v>
      </c>
    </row>
    <row r="703" spans="1:16" x14ac:dyDescent="0.25">
      <c r="A703">
        <v>7012261</v>
      </c>
      <c r="B703" t="s">
        <v>51</v>
      </c>
      <c r="C703" t="s">
        <v>6</v>
      </c>
      <c r="D703">
        <v>3.3</v>
      </c>
      <c r="E703" t="str">
        <f t="shared" si="60"/>
        <v>Very Good</v>
      </c>
      <c r="F703" s="1">
        <v>45672.65902777778</v>
      </c>
      <c r="G703" s="1" t="str">
        <f t="shared" si="61"/>
        <v>Wednesday</v>
      </c>
      <c r="H703" s="1" t="str">
        <f t="shared" si="62"/>
        <v>January</v>
      </c>
      <c r="I703" s="1" t="str">
        <f t="shared" si="63"/>
        <v>2025</v>
      </c>
      <c r="J703" t="b">
        <v>1</v>
      </c>
      <c r="K703" t="s">
        <v>7</v>
      </c>
      <c r="L703">
        <v>827</v>
      </c>
      <c r="M703">
        <v>66</v>
      </c>
      <c r="N703" t="str">
        <f t="shared" si="65"/>
        <v>Seniors</v>
      </c>
      <c r="O703" t="s">
        <v>19</v>
      </c>
      <c r="P703" t="s">
        <v>4</v>
      </c>
    </row>
    <row r="704" spans="1:16" x14ac:dyDescent="0.25">
      <c r="A704">
        <v>585910</v>
      </c>
      <c r="B704" t="s">
        <v>52</v>
      </c>
      <c r="C704" t="s">
        <v>38</v>
      </c>
      <c r="D704">
        <v>4.7</v>
      </c>
      <c r="E704" t="str">
        <f t="shared" si="60"/>
        <v>Excellent</v>
      </c>
      <c r="F704" s="1">
        <v>45364.85</v>
      </c>
      <c r="G704" s="1" t="str">
        <f t="shared" si="61"/>
        <v>Wednesday</v>
      </c>
      <c r="H704" s="1" t="str">
        <f t="shared" si="62"/>
        <v>March</v>
      </c>
      <c r="I704" s="1" t="str">
        <f t="shared" si="63"/>
        <v>2024</v>
      </c>
      <c r="J704" t="b">
        <v>1</v>
      </c>
      <c r="K704" t="s">
        <v>2</v>
      </c>
      <c r="L704">
        <v>761</v>
      </c>
      <c r="M704">
        <v>19</v>
      </c>
      <c r="N704" t="str">
        <f t="shared" si="65"/>
        <v>Adults</v>
      </c>
      <c r="O704" t="s">
        <v>50</v>
      </c>
      <c r="P704" t="s">
        <v>9</v>
      </c>
    </row>
    <row r="705" spans="1:16" x14ac:dyDescent="0.25">
      <c r="A705">
        <v>8614225</v>
      </c>
      <c r="B705" t="s">
        <v>40</v>
      </c>
      <c r="C705" t="s">
        <v>63</v>
      </c>
      <c r="D705">
        <v>2.9</v>
      </c>
      <c r="E705" t="str">
        <f t="shared" si="60"/>
        <v>Good</v>
      </c>
      <c r="F705" s="1">
        <v>45305.955555555556</v>
      </c>
      <c r="G705" s="1" t="str">
        <f t="shared" si="61"/>
        <v>Sunday</v>
      </c>
      <c r="H705" s="1" t="str">
        <f t="shared" si="62"/>
        <v>January</v>
      </c>
      <c r="I705" s="1" t="str">
        <f t="shared" si="63"/>
        <v>2024</v>
      </c>
      <c r="J705" t="b">
        <v>1</v>
      </c>
      <c r="K705" t="s">
        <v>58</v>
      </c>
      <c r="L705">
        <v>677</v>
      </c>
      <c r="M705">
        <v>26</v>
      </c>
      <c r="N705" t="str">
        <f t="shared" si="65"/>
        <v>Adults</v>
      </c>
      <c r="O705" t="s">
        <v>8</v>
      </c>
      <c r="P705" t="s">
        <v>4</v>
      </c>
    </row>
    <row r="706" spans="1:16" x14ac:dyDescent="0.25">
      <c r="A706">
        <v>5522262</v>
      </c>
      <c r="B706" t="s">
        <v>67</v>
      </c>
      <c r="C706" t="s">
        <v>63</v>
      </c>
      <c r="D706">
        <v>1.5</v>
      </c>
      <c r="E706" t="str">
        <f t="shared" ref="E706:E769" si="66">IF(D706&lt;2,"Poor",IF(AND(D706&gt;=2,D706&lt;=3),"Good",IF(AND(D706&gt;3,D706&lt;=4),"Very Good",IF(D706&gt;4,"Excellent"))))</f>
        <v>Poor</v>
      </c>
      <c r="F706" s="1">
        <v>45774.644444444442</v>
      </c>
      <c r="G706" s="1" t="str">
        <f t="shared" ref="G706:G769" si="67">TEXT(F706,"DDDD")</f>
        <v>Sunday</v>
      </c>
      <c r="H706" s="1" t="str">
        <f t="shared" ref="H706:H769" si="68">TEXT(F706,"MMMM")</f>
        <v>April</v>
      </c>
      <c r="I706" s="1" t="str">
        <f t="shared" ref="I706:I769" si="69">TEXT(F706,"YYYY")</f>
        <v>2025</v>
      </c>
      <c r="J706" t="b">
        <v>1</v>
      </c>
      <c r="K706" t="s">
        <v>2</v>
      </c>
      <c r="L706">
        <v>245</v>
      </c>
      <c r="M706">
        <v>20</v>
      </c>
      <c r="N706" t="str">
        <f t="shared" si="65"/>
        <v>Adults</v>
      </c>
      <c r="O706" t="s">
        <v>53</v>
      </c>
      <c r="P706" t="s">
        <v>9</v>
      </c>
    </row>
    <row r="707" spans="1:16" x14ac:dyDescent="0.25">
      <c r="A707">
        <v>1950788</v>
      </c>
      <c r="B707" t="s">
        <v>13</v>
      </c>
      <c r="C707" t="s">
        <v>11</v>
      </c>
      <c r="D707">
        <v>2.7</v>
      </c>
      <c r="E707" t="str">
        <f t="shared" si="66"/>
        <v>Good</v>
      </c>
      <c r="F707" s="1">
        <v>45615.245138888888</v>
      </c>
      <c r="G707" s="1" t="str">
        <f t="shared" si="67"/>
        <v>Tuesday</v>
      </c>
      <c r="H707" s="1" t="str">
        <f t="shared" si="68"/>
        <v>November</v>
      </c>
      <c r="I707" s="1" t="str">
        <f t="shared" si="69"/>
        <v>2024</v>
      </c>
      <c r="J707" t="b">
        <v>0</v>
      </c>
      <c r="K707" t="s">
        <v>2</v>
      </c>
      <c r="L707">
        <v>1163</v>
      </c>
      <c r="M707">
        <v>47</v>
      </c>
      <c r="N707" t="str">
        <f t="shared" si="65"/>
        <v>Adults</v>
      </c>
      <c r="O707" t="s">
        <v>50</v>
      </c>
      <c r="P707" t="s">
        <v>4</v>
      </c>
    </row>
    <row r="708" spans="1:16" x14ac:dyDescent="0.25">
      <c r="A708">
        <v>5631182</v>
      </c>
      <c r="B708" t="s">
        <v>88</v>
      </c>
      <c r="C708" t="s">
        <v>85</v>
      </c>
      <c r="D708">
        <v>4.2</v>
      </c>
      <c r="E708" t="str">
        <f t="shared" si="66"/>
        <v>Excellent</v>
      </c>
      <c r="F708" s="1">
        <v>45239.242361111108</v>
      </c>
      <c r="G708" s="1" t="str">
        <f t="shared" si="67"/>
        <v>Thursday</v>
      </c>
      <c r="H708" s="1" t="str">
        <f t="shared" si="68"/>
        <v>November</v>
      </c>
      <c r="I708" s="1" t="str">
        <f t="shared" si="69"/>
        <v>2023</v>
      </c>
      <c r="J708" t="b">
        <v>1</v>
      </c>
      <c r="K708" t="s">
        <v>58</v>
      </c>
      <c r="L708">
        <v>1193</v>
      </c>
      <c r="M708">
        <v>19</v>
      </c>
      <c r="N708" t="str">
        <f t="shared" si="65"/>
        <v>Adults</v>
      </c>
      <c r="O708" t="s">
        <v>81</v>
      </c>
      <c r="P708" t="s">
        <v>9</v>
      </c>
    </row>
    <row r="709" spans="1:16" x14ac:dyDescent="0.25">
      <c r="A709">
        <v>925694</v>
      </c>
      <c r="B709" t="s">
        <v>62</v>
      </c>
      <c r="C709" t="s">
        <v>1</v>
      </c>
      <c r="D709">
        <v>1.2</v>
      </c>
      <c r="E709" t="str">
        <f t="shared" si="66"/>
        <v>Poor</v>
      </c>
      <c r="F709" s="1">
        <v>45541.724305555559</v>
      </c>
      <c r="G709" s="1" t="str">
        <f t="shared" si="67"/>
        <v>Friday</v>
      </c>
      <c r="H709" s="1" t="str">
        <f t="shared" si="68"/>
        <v>September</v>
      </c>
      <c r="I709" s="1" t="str">
        <f t="shared" si="69"/>
        <v>2024</v>
      </c>
      <c r="J709" t="b">
        <v>1</v>
      </c>
      <c r="K709" t="s">
        <v>7</v>
      </c>
      <c r="L709">
        <v>693</v>
      </c>
      <c r="M709">
        <v>50</v>
      </c>
      <c r="N709" t="str">
        <f t="shared" si="65"/>
        <v>Adults</v>
      </c>
      <c r="O709" t="s">
        <v>77</v>
      </c>
      <c r="P709" t="s">
        <v>4</v>
      </c>
    </row>
    <row r="710" spans="1:16" x14ac:dyDescent="0.25">
      <c r="A710">
        <v>6174992</v>
      </c>
      <c r="B710" t="s">
        <v>5</v>
      </c>
      <c r="C710" t="s">
        <v>36</v>
      </c>
      <c r="D710">
        <v>4.5999999999999996</v>
      </c>
      <c r="E710" t="str">
        <f t="shared" si="66"/>
        <v>Excellent</v>
      </c>
      <c r="F710" s="1">
        <v>45554.791666666664</v>
      </c>
      <c r="G710" s="1" t="str">
        <f t="shared" si="67"/>
        <v>Thursday</v>
      </c>
      <c r="H710" s="1" t="str">
        <f t="shared" si="68"/>
        <v>September</v>
      </c>
      <c r="I710" s="1" t="str">
        <f t="shared" si="69"/>
        <v>2024</v>
      </c>
      <c r="J710" t="b">
        <v>1</v>
      </c>
      <c r="K710" t="s">
        <v>15</v>
      </c>
      <c r="L710">
        <v>935</v>
      </c>
      <c r="M710">
        <v>25</v>
      </c>
      <c r="N710" t="str">
        <f t="shared" si="65"/>
        <v>Adults</v>
      </c>
      <c r="O710" t="s">
        <v>27</v>
      </c>
      <c r="P710" t="s">
        <v>4</v>
      </c>
    </row>
    <row r="711" spans="1:16" x14ac:dyDescent="0.25">
      <c r="A711">
        <v>6735829</v>
      </c>
      <c r="B711" t="s">
        <v>60</v>
      </c>
      <c r="C711" t="s">
        <v>18</v>
      </c>
      <c r="D711">
        <v>2.4</v>
      </c>
      <c r="E711" t="str">
        <f t="shared" si="66"/>
        <v>Good</v>
      </c>
      <c r="F711" s="1">
        <v>45806.644444444442</v>
      </c>
      <c r="G711" s="1" t="str">
        <f t="shared" si="67"/>
        <v>Thursday</v>
      </c>
      <c r="H711" s="1" t="str">
        <f t="shared" si="68"/>
        <v>May</v>
      </c>
      <c r="I711" s="1" t="str">
        <f t="shared" si="69"/>
        <v>2025</v>
      </c>
      <c r="J711" t="b">
        <v>0</v>
      </c>
      <c r="K711" t="s">
        <v>58</v>
      </c>
      <c r="L711">
        <v>1147</v>
      </c>
      <c r="M711">
        <v>49</v>
      </c>
      <c r="N711" t="str">
        <f t="shared" si="65"/>
        <v>Adults</v>
      </c>
      <c r="O711" t="s">
        <v>22</v>
      </c>
      <c r="P711" t="s">
        <v>4</v>
      </c>
    </row>
    <row r="712" spans="1:16" x14ac:dyDescent="0.25">
      <c r="A712">
        <v>4629825</v>
      </c>
      <c r="B712" t="s">
        <v>76</v>
      </c>
      <c r="C712" t="s">
        <v>75</v>
      </c>
      <c r="D712">
        <v>3.6</v>
      </c>
      <c r="E712" t="str">
        <f t="shared" si="66"/>
        <v>Very Good</v>
      </c>
      <c r="F712" s="1">
        <v>45808.400694444441</v>
      </c>
      <c r="G712" s="1" t="str">
        <f t="shared" si="67"/>
        <v>Saturday</v>
      </c>
      <c r="H712" s="1" t="str">
        <f t="shared" si="68"/>
        <v>May</v>
      </c>
      <c r="I712" s="1" t="str">
        <f t="shared" si="69"/>
        <v>2025</v>
      </c>
      <c r="J712" t="b">
        <v>1</v>
      </c>
      <c r="K712" t="s">
        <v>2</v>
      </c>
      <c r="L712">
        <v>1101</v>
      </c>
      <c r="M712">
        <v>52</v>
      </c>
      <c r="N712" t="str">
        <f t="shared" ref="N712:N744" si="70">IF(M712&lt;=17,"Teenagers", IF(AND(M712&gt;=18,M712&lt;61),"Adults",IF(M712&gt;60,"Seniors")))</f>
        <v>Adults</v>
      </c>
      <c r="O712" t="s">
        <v>44</v>
      </c>
      <c r="P712" t="s">
        <v>4</v>
      </c>
    </row>
    <row r="713" spans="1:16" x14ac:dyDescent="0.25">
      <c r="A713">
        <v>1383911</v>
      </c>
      <c r="B713" t="s">
        <v>10</v>
      </c>
      <c r="C713" t="s">
        <v>75</v>
      </c>
      <c r="D713">
        <v>3.2</v>
      </c>
      <c r="E713" t="str">
        <f t="shared" si="66"/>
        <v>Very Good</v>
      </c>
      <c r="F713" s="1">
        <v>45715.712500000001</v>
      </c>
      <c r="G713" s="1" t="str">
        <f t="shared" si="67"/>
        <v>Thursday</v>
      </c>
      <c r="H713" s="1" t="str">
        <f t="shared" si="68"/>
        <v>February</v>
      </c>
      <c r="I713" s="1" t="str">
        <f t="shared" si="69"/>
        <v>2025</v>
      </c>
      <c r="J713" t="b">
        <v>1</v>
      </c>
      <c r="K713" t="s">
        <v>7</v>
      </c>
      <c r="L713">
        <v>901</v>
      </c>
      <c r="M713">
        <v>13</v>
      </c>
      <c r="N713" t="str">
        <f t="shared" si="70"/>
        <v>Teenagers</v>
      </c>
      <c r="O713" t="s">
        <v>65</v>
      </c>
      <c r="P713" t="s">
        <v>9</v>
      </c>
    </row>
    <row r="714" spans="1:16" x14ac:dyDescent="0.25">
      <c r="A714">
        <v>9968287</v>
      </c>
      <c r="B714" t="s">
        <v>89</v>
      </c>
      <c r="C714" t="s">
        <v>20</v>
      </c>
      <c r="D714">
        <v>4.5</v>
      </c>
      <c r="E714" t="str">
        <f t="shared" si="66"/>
        <v>Excellent</v>
      </c>
      <c r="F714" s="1">
        <v>45328.875</v>
      </c>
      <c r="G714" s="1" t="str">
        <f t="shared" si="67"/>
        <v>Tuesday</v>
      </c>
      <c r="H714" s="1" t="str">
        <f t="shared" si="68"/>
        <v>February</v>
      </c>
      <c r="I714" s="1" t="str">
        <f t="shared" si="69"/>
        <v>2024</v>
      </c>
      <c r="J714" t="b">
        <v>1</v>
      </c>
      <c r="K714" t="s">
        <v>7</v>
      </c>
      <c r="L714">
        <v>1202</v>
      </c>
      <c r="M714">
        <v>20</v>
      </c>
      <c r="N714" t="str">
        <f t="shared" si="70"/>
        <v>Adults</v>
      </c>
      <c r="O714" t="s">
        <v>77</v>
      </c>
      <c r="P714" t="s">
        <v>4</v>
      </c>
    </row>
    <row r="715" spans="1:16" x14ac:dyDescent="0.25">
      <c r="A715">
        <v>388778</v>
      </c>
      <c r="B715" t="s">
        <v>30</v>
      </c>
      <c r="C715" t="s">
        <v>31</v>
      </c>
      <c r="D715">
        <v>3.8</v>
      </c>
      <c r="E715" t="str">
        <f t="shared" si="66"/>
        <v>Very Good</v>
      </c>
      <c r="F715" s="1">
        <v>45524.936111111114</v>
      </c>
      <c r="G715" s="1" t="str">
        <f t="shared" si="67"/>
        <v>Tuesday</v>
      </c>
      <c r="H715" s="1" t="str">
        <f t="shared" si="68"/>
        <v>August</v>
      </c>
      <c r="I715" s="1" t="str">
        <f t="shared" si="69"/>
        <v>2024</v>
      </c>
      <c r="J715" t="b">
        <v>0</v>
      </c>
      <c r="K715" t="s">
        <v>15</v>
      </c>
      <c r="L715">
        <v>63</v>
      </c>
      <c r="M715">
        <v>25</v>
      </c>
      <c r="N715" t="str">
        <f t="shared" si="70"/>
        <v>Adults</v>
      </c>
      <c r="O715" t="s">
        <v>86</v>
      </c>
      <c r="P715" t="s">
        <v>9</v>
      </c>
    </row>
    <row r="716" spans="1:16" x14ac:dyDescent="0.25">
      <c r="A716">
        <v>6704270</v>
      </c>
      <c r="B716" t="s">
        <v>79</v>
      </c>
      <c r="C716" t="s">
        <v>57</v>
      </c>
      <c r="D716">
        <v>4.5</v>
      </c>
      <c r="E716" t="str">
        <f t="shared" si="66"/>
        <v>Excellent</v>
      </c>
      <c r="F716" s="1">
        <v>45428.39166666667</v>
      </c>
      <c r="G716" s="1" t="str">
        <f t="shared" si="67"/>
        <v>Thursday</v>
      </c>
      <c r="H716" s="1" t="str">
        <f t="shared" si="68"/>
        <v>May</v>
      </c>
      <c r="I716" s="1" t="str">
        <f t="shared" si="69"/>
        <v>2024</v>
      </c>
      <c r="J716" t="b">
        <v>0</v>
      </c>
      <c r="K716" t="s">
        <v>2</v>
      </c>
      <c r="L716">
        <v>56</v>
      </c>
      <c r="M716">
        <v>60</v>
      </c>
      <c r="N716" t="str">
        <f t="shared" si="70"/>
        <v>Adults</v>
      </c>
      <c r="O716" t="s">
        <v>59</v>
      </c>
      <c r="P716" t="s">
        <v>9</v>
      </c>
    </row>
    <row r="717" spans="1:16" x14ac:dyDescent="0.25">
      <c r="A717">
        <v>3610199</v>
      </c>
      <c r="B717" t="s">
        <v>89</v>
      </c>
      <c r="C717" t="s">
        <v>63</v>
      </c>
      <c r="D717">
        <v>3.9</v>
      </c>
      <c r="E717" t="str">
        <f t="shared" si="66"/>
        <v>Very Good</v>
      </c>
      <c r="F717" s="1">
        <v>45725.333333333336</v>
      </c>
      <c r="G717" s="1" t="str">
        <f t="shared" si="67"/>
        <v>Sunday</v>
      </c>
      <c r="H717" s="1" t="str">
        <f t="shared" si="68"/>
        <v>March</v>
      </c>
      <c r="I717" s="1" t="str">
        <f t="shared" si="69"/>
        <v>2025</v>
      </c>
      <c r="J717" t="b">
        <v>1</v>
      </c>
      <c r="K717" t="s">
        <v>21</v>
      </c>
      <c r="L717">
        <v>1030</v>
      </c>
      <c r="M717">
        <v>45</v>
      </c>
      <c r="N717" t="str">
        <f t="shared" si="70"/>
        <v>Adults</v>
      </c>
      <c r="O717" t="s">
        <v>59</v>
      </c>
      <c r="P717" t="s">
        <v>4</v>
      </c>
    </row>
    <row r="718" spans="1:16" x14ac:dyDescent="0.25">
      <c r="A718">
        <v>2884106</v>
      </c>
      <c r="B718" t="s">
        <v>25</v>
      </c>
      <c r="C718" t="s">
        <v>75</v>
      </c>
      <c r="D718">
        <v>4.4000000000000004</v>
      </c>
      <c r="E718" t="str">
        <f t="shared" si="66"/>
        <v>Excellent</v>
      </c>
      <c r="F718" s="1">
        <v>45800.953472222223</v>
      </c>
      <c r="G718" s="1" t="str">
        <f t="shared" si="67"/>
        <v>Friday</v>
      </c>
      <c r="H718" s="1" t="str">
        <f t="shared" si="68"/>
        <v>May</v>
      </c>
      <c r="I718" s="1" t="str">
        <f t="shared" si="69"/>
        <v>2025</v>
      </c>
      <c r="J718" t="b">
        <v>1</v>
      </c>
      <c r="K718" t="s">
        <v>2</v>
      </c>
      <c r="L718">
        <v>414</v>
      </c>
      <c r="M718">
        <v>50</v>
      </c>
      <c r="N718" t="str">
        <f t="shared" si="70"/>
        <v>Adults</v>
      </c>
      <c r="O718" t="s">
        <v>16</v>
      </c>
      <c r="P718" t="s">
        <v>4</v>
      </c>
    </row>
    <row r="719" spans="1:16" x14ac:dyDescent="0.25">
      <c r="A719">
        <v>3091801</v>
      </c>
      <c r="B719" t="s">
        <v>33</v>
      </c>
      <c r="C719" t="s">
        <v>43</v>
      </c>
      <c r="D719">
        <v>1.8</v>
      </c>
      <c r="E719" t="str">
        <f t="shared" si="66"/>
        <v>Poor</v>
      </c>
      <c r="F719" s="1">
        <v>45343.107638888891</v>
      </c>
      <c r="G719" s="1" t="str">
        <f t="shared" si="67"/>
        <v>Wednesday</v>
      </c>
      <c r="H719" s="1" t="str">
        <f t="shared" si="68"/>
        <v>February</v>
      </c>
      <c r="I719" s="1" t="str">
        <f t="shared" si="69"/>
        <v>2024</v>
      </c>
      <c r="J719" t="b">
        <v>1</v>
      </c>
      <c r="K719" t="s">
        <v>2</v>
      </c>
      <c r="L719">
        <v>1156</v>
      </c>
      <c r="M719">
        <v>59</v>
      </c>
      <c r="N719" t="str">
        <f t="shared" si="70"/>
        <v>Adults</v>
      </c>
      <c r="O719" t="s">
        <v>72</v>
      </c>
      <c r="P719" t="s">
        <v>9</v>
      </c>
    </row>
    <row r="720" spans="1:16" x14ac:dyDescent="0.25">
      <c r="A720">
        <v>1816680</v>
      </c>
      <c r="B720" t="s">
        <v>35</v>
      </c>
      <c r="C720" t="s">
        <v>14</v>
      </c>
      <c r="D720">
        <v>2.8</v>
      </c>
      <c r="E720" t="str">
        <f t="shared" si="66"/>
        <v>Good</v>
      </c>
      <c r="F720" s="1">
        <v>45390.022222222222</v>
      </c>
      <c r="G720" s="1" t="str">
        <f t="shared" si="67"/>
        <v>Monday</v>
      </c>
      <c r="H720" s="1" t="str">
        <f t="shared" si="68"/>
        <v>April</v>
      </c>
      <c r="I720" s="1" t="str">
        <f t="shared" si="69"/>
        <v>2024</v>
      </c>
      <c r="J720" t="b">
        <v>1</v>
      </c>
      <c r="K720" t="s">
        <v>58</v>
      </c>
      <c r="L720">
        <v>263</v>
      </c>
      <c r="M720">
        <v>20</v>
      </c>
      <c r="N720" t="str">
        <f t="shared" si="70"/>
        <v>Adults</v>
      </c>
      <c r="O720" t="s">
        <v>77</v>
      </c>
      <c r="P720" t="s">
        <v>9</v>
      </c>
    </row>
    <row r="721" spans="1:16" x14ac:dyDescent="0.25">
      <c r="A721">
        <v>7476757</v>
      </c>
      <c r="B721" t="s">
        <v>40</v>
      </c>
      <c r="C721" t="s">
        <v>31</v>
      </c>
      <c r="D721">
        <v>4.8</v>
      </c>
      <c r="E721" t="str">
        <f t="shared" si="66"/>
        <v>Excellent</v>
      </c>
      <c r="F721" s="1">
        <v>45469.3</v>
      </c>
      <c r="G721" s="1" t="str">
        <f t="shared" si="67"/>
        <v>Wednesday</v>
      </c>
      <c r="H721" s="1" t="str">
        <f t="shared" si="68"/>
        <v>June</v>
      </c>
      <c r="I721" s="1" t="str">
        <f t="shared" si="69"/>
        <v>2024</v>
      </c>
      <c r="J721" t="b">
        <v>0</v>
      </c>
      <c r="K721" t="s">
        <v>21</v>
      </c>
      <c r="L721">
        <v>1079</v>
      </c>
      <c r="M721">
        <v>66</v>
      </c>
      <c r="N721" t="str">
        <f t="shared" si="70"/>
        <v>Seniors</v>
      </c>
      <c r="O721" t="s">
        <v>65</v>
      </c>
      <c r="P721" t="s">
        <v>9</v>
      </c>
    </row>
    <row r="722" spans="1:16" x14ac:dyDescent="0.25">
      <c r="A722">
        <v>9460094</v>
      </c>
      <c r="B722" t="s">
        <v>13</v>
      </c>
      <c r="C722" t="s">
        <v>26</v>
      </c>
      <c r="D722">
        <v>3.7</v>
      </c>
      <c r="E722" t="str">
        <f t="shared" si="66"/>
        <v>Very Good</v>
      </c>
      <c r="F722" s="1">
        <v>45837.743750000001</v>
      </c>
      <c r="G722" s="1" t="str">
        <f t="shared" si="67"/>
        <v>Sunday</v>
      </c>
      <c r="H722" s="1" t="str">
        <f t="shared" si="68"/>
        <v>June</v>
      </c>
      <c r="I722" s="1" t="str">
        <f t="shared" si="69"/>
        <v>2025</v>
      </c>
      <c r="J722" t="b">
        <v>1</v>
      </c>
      <c r="K722" t="s">
        <v>15</v>
      </c>
      <c r="L722">
        <v>482</v>
      </c>
      <c r="M722">
        <v>56</v>
      </c>
      <c r="N722" t="str">
        <f t="shared" si="70"/>
        <v>Adults</v>
      </c>
      <c r="O722" t="s">
        <v>44</v>
      </c>
      <c r="P722" t="s">
        <v>4</v>
      </c>
    </row>
    <row r="723" spans="1:16" x14ac:dyDescent="0.25">
      <c r="A723">
        <v>6782264</v>
      </c>
      <c r="B723" t="s">
        <v>71</v>
      </c>
      <c r="C723" t="s">
        <v>38</v>
      </c>
      <c r="D723">
        <v>3.4</v>
      </c>
      <c r="E723" t="str">
        <f t="shared" si="66"/>
        <v>Very Good</v>
      </c>
      <c r="F723" s="1">
        <v>45172.989583333336</v>
      </c>
      <c r="G723" s="1" t="str">
        <f t="shared" si="67"/>
        <v>Sunday</v>
      </c>
      <c r="H723" s="1" t="str">
        <f t="shared" si="68"/>
        <v>September</v>
      </c>
      <c r="I723" s="1" t="str">
        <f t="shared" si="69"/>
        <v>2023</v>
      </c>
      <c r="J723" t="b">
        <v>0</v>
      </c>
      <c r="K723" t="s">
        <v>21</v>
      </c>
      <c r="L723">
        <v>742</v>
      </c>
      <c r="M723">
        <v>33</v>
      </c>
      <c r="N723" t="str">
        <f t="shared" si="70"/>
        <v>Adults</v>
      </c>
      <c r="O723" t="s">
        <v>42</v>
      </c>
      <c r="P723" t="s">
        <v>9</v>
      </c>
    </row>
    <row r="724" spans="1:16" x14ac:dyDescent="0.25">
      <c r="A724">
        <v>4345272</v>
      </c>
      <c r="B724" t="s">
        <v>54</v>
      </c>
      <c r="C724" t="s">
        <v>29</v>
      </c>
      <c r="D724">
        <v>2.1</v>
      </c>
      <c r="E724" t="str">
        <f t="shared" si="66"/>
        <v>Good</v>
      </c>
      <c r="F724" s="1">
        <v>45351.834722222222</v>
      </c>
      <c r="G724" s="1" t="str">
        <f t="shared" si="67"/>
        <v>Thursday</v>
      </c>
      <c r="H724" s="1" t="str">
        <f t="shared" si="68"/>
        <v>February</v>
      </c>
      <c r="I724" s="1" t="str">
        <f t="shared" si="69"/>
        <v>2024</v>
      </c>
      <c r="J724" t="b">
        <v>0</v>
      </c>
      <c r="K724" t="s">
        <v>7</v>
      </c>
      <c r="L724">
        <v>388</v>
      </c>
      <c r="M724">
        <v>38</v>
      </c>
      <c r="N724" t="str">
        <f t="shared" si="70"/>
        <v>Adults</v>
      </c>
      <c r="O724" t="s">
        <v>86</v>
      </c>
      <c r="P724" t="s">
        <v>4</v>
      </c>
    </row>
    <row r="725" spans="1:16" x14ac:dyDescent="0.25">
      <c r="A725">
        <v>1060109</v>
      </c>
      <c r="B725" t="s">
        <v>5</v>
      </c>
      <c r="C725" t="s">
        <v>14</v>
      </c>
      <c r="D725">
        <v>4.7</v>
      </c>
      <c r="E725" t="str">
        <f t="shared" si="66"/>
        <v>Excellent</v>
      </c>
      <c r="F725" s="1">
        <v>45583.304166666669</v>
      </c>
      <c r="G725" s="1" t="str">
        <f t="shared" si="67"/>
        <v>Friday</v>
      </c>
      <c r="H725" s="1" t="str">
        <f t="shared" si="68"/>
        <v>October</v>
      </c>
      <c r="I725" s="1" t="str">
        <f t="shared" si="69"/>
        <v>2024</v>
      </c>
      <c r="J725" t="b">
        <v>1</v>
      </c>
      <c r="K725" t="s">
        <v>2</v>
      </c>
      <c r="L725">
        <v>815</v>
      </c>
      <c r="M725">
        <v>58</v>
      </c>
      <c r="N725" t="str">
        <f t="shared" si="70"/>
        <v>Adults</v>
      </c>
      <c r="O725" t="s">
        <v>50</v>
      </c>
      <c r="P725" t="s">
        <v>4</v>
      </c>
    </row>
    <row r="726" spans="1:16" x14ac:dyDescent="0.25">
      <c r="A726">
        <v>7998869</v>
      </c>
      <c r="B726" t="s">
        <v>61</v>
      </c>
      <c r="C726" t="s">
        <v>31</v>
      </c>
      <c r="D726">
        <v>1.9</v>
      </c>
      <c r="E726" t="str">
        <f t="shared" si="66"/>
        <v>Poor</v>
      </c>
      <c r="F726" s="1">
        <v>45561.479861111111</v>
      </c>
      <c r="G726" s="1" t="str">
        <f t="shared" si="67"/>
        <v>Thursday</v>
      </c>
      <c r="H726" s="1" t="str">
        <f t="shared" si="68"/>
        <v>September</v>
      </c>
      <c r="I726" s="1" t="str">
        <f t="shared" si="69"/>
        <v>2024</v>
      </c>
      <c r="J726" t="b">
        <v>1</v>
      </c>
      <c r="K726" t="s">
        <v>58</v>
      </c>
      <c r="L726">
        <v>89</v>
      </c>
      <c r="M726">
        <v>50</v>
      </c>
      <c r="N726" t="str">
        <f t="shared" si="70"/>
        <v>Adults</v>
      </c>
      <c r="O726" t="s">
        <v>16</v>
      </c>
      <c r="P726" t="s">
        <v>9</v>
      </c>
    </row>
    <row r="727" spans="1:16" x14ac:dyDescent="0.25">
      <c r="A727">
        <v>3357839</v>
      </c>
      <c r="B727" t="s">
        <v>78</v>
      </c>
      <c r="C727" t="s">
        <v>36</v>
      </c>
      <c r="D727">
        <v>2.9</v>
      </c>
      <c r="E727" t="str">
        <f t="shared" si="66"/>
        <v>Good</v>
      </c>
      <c r="F727" s="1">
        <v>45647.713194444441</v>
      </c>
      <c r="G727" s="1" t="str">
        <f t="shared" si="67"/>
        <v>Saturday</v>
      </c>
      <c r="H727" s="1" t="str">
        <f t="shared" si="68"/>
        <v>December</v>
      </c>
      <c r="I727" s="1" t="str">
        <f t="shared" si="69"/>
        <v>2024</v>
      </c>
      <c r="J727" t="b">
        <v>0</v>
      </c>
      <c r="K727" t="s">
        <v>21</v>
      </c>
      <c r="L727">
        <v>632</v>
      </c>
      <c r="M727">
        <v>74</v>
      </c>
      <c r="N727" t="str">
        <f t="shared" si="70"/>
        <v>Seniors</v>
      </c>
      <c r="O727" t="s">
        <v>42</v>
      </c>
      <c r="P727" t="s">
        <v>9</v>
      </c>
    </row>
    <row r="728" spans="1:16" x14ac:dyDescent="0.25">
      <c r="A728">
        <v>379750</v>
      </c>
      <c r="B728" t="s">
        <v>56</v>
      </c>
      <c r="C728" t="s">
        <v>11</v>
      </c>
      <c r="D728">
        <v>1.8</v>
      </c>
      <c r="E728" t="str">
        <f t="shared" si="66"/>
        <v>Poor</v>
      </c>
      <c r="F728" s="1">
        <v>45397.26666666667</v>
      </c>
      <c r="G728" s="1" t="str">
        <f t="shared" si="67"/>
        <v>Monday</v>
      </c>
      <c r="H728" s="1" t="str">
        <f t="shared" si="68"/>
        <v>April</v>
      </c>
      <c r="I728" s="1" t="str">
        <f t="shared" si="69"/>
        <v>2024</v>
      </c>
      <c r="J728" t="b">
        <v>0</v>
      </c>
      <c r="K728" t="s">
        <v>58</v>
      </c>
      <c r="L728">
        <v>953</v>
      </c>
      <c r="M728">
        <v>33</v>
      </c>
      <c r="N728" t="str">
        <f t="shared" si="70"/>
        <v>Adults</v>
      </c>
      <c r="O728" t="s">
        <v>59</v>
      </c>
      <c r="P728" t="s">
        <v>4</v>
      </c>
    </row>
    <row r="729" spans="1:16" x14ac:dyDescent="0.25">
      <c r="A729">
        <v>2995499</v>
      </c>
      <c r="B729" t="s">
        <v>79</v>
      </c>
      <c r="C729" t="s">
        <v>14</v>
      </c>
      <c r="D729">
        <v>2.4</v>
      </c>
      <c r="E729" t="str">
        <f t="shared" si="66"/>
        <v>Good</v>
      </c>
      <c r="F729" s="1">
        <v>45483.275694444441</v>
      </c>
      <c r="G729" s="1" t="str">
        <f t="shared" si="67"/>
        <v>Wednesday</v>
      </c>
      <c r="H729" s="1" t="str">
        <f t="shared" si="68"/>
        <v>July</v>
      </c>
      <c r="I729" s="1" t="str">
        <f t="shared" si="69"/>
        <v>2024</v>
      </c>
      <c r="J729" t="b">
        <v>1</v>
      </c>
      <c r="K729" t="s">
        <v>21</v>
      </c>
      <c r="L729">
        <v>754</v>
      </c>
      <c r="M729">
        <v>66</v>
      </c>
      <c r="N729" t="str">
        <f t="shared" si="70"/>
        <v>Seniors</v>
      </c>
      <c r="O729" t="s">
        <v>27</v>
      </c>
      <c r="P729" t="s">
        <v>4</v>
      </c>
    </row>
    <row r="730" spans="1:16" x14ac:dyDescent="0.25">
      <c r="A730">
        <v>154096</v>
      </c>
      <c r="B730" t="s">
        <v>23</v>
      </c>
      <c r="C730" t="s">
        <v>85</v>
      </c>
      <c r="D730">
        <v>4</v>
      </c>
      <c r="E730" t="str">
        <f t="shared" si="66"/>
        <v>Very Good</v>
      </c>
      <c r="F730" s="1">
        <v>45429.783333333333</v>
      </c>
      <c r="G730" s="1" t="str">
        <f t="shared" si="67"/>
        <v>Friday</v>
      </c>
      <c r="H730" s="1" t="str">
        <f t="shared" si="68"/>
        <v>May</v>
      </c>
      <c r="I730" s="1" t="str">
        <f t="shared" si="69"/>
        <v>2024</v>
      </c>
      <c r="J730" t="b">
        <v>1</v>
      </c>
      <c r="K730" t="s">
        <v>2</v>
      </c>
      <c r="L730">
        <v>937</v>
      </c>
      <c r="M730">
        <v>56</v>
      </c>
      <c r="N730" t="str">
        <f t="shared" si="70"/>
        <v>Adults</v>
      </c>
      <c r="O730" t="s">
        <v>72</v>
      </c>
      <c r="P730" t="s">
        <v>9</v>
      </c>
    </row>
    <row r="731" spans="1:16" x14ac:dyDescent="0.25">
      <c r="A731">
        <v>2763391</v>
      </c>
      <c r="B731" t="s">
        <v>70</v>
      </c>
      <c r="C731" t="s">
        <v>31</v>
      </c>
      <c r="D731">
        <v>2.9</v>
      </c>
      <c r="E731" t="str">
        <f t="shared" si="66"/>
        <v>Good</v>
      </c>
      <c r="F731" s="1">
        <v>45466.195138888892</v>
      </c>
      <c r="G731" s="1" t="str">
        <f t="shared" si="67"/>
        <v>Sunday</v>
      </c>
      <c r="H731" s="1" t="str">
        <f t="shared" si="68"/>
        <v>June</v>
      </c>
      <c r="I731" s="1" t="str">
        <f t="shared" si="69"/>
        <v>2024</v>
      </c>
      <c r="J731" t="b">
        <v>1</v>
      </c>
      <c r="K731" t="s">
        <v>21</v>
      </c>
      <c r="L731">
        <v>139</v>
      </c>
      <c r="M731">
        <v>64</v>
      </c>
      <c r="N731" t="str">
        <f t="shared" si="70"/>
        <v>Seniors</v>
      </c>
      <c r="O731" t="s">
        <v>81</v>
      </c>
      <c r="P731" t="s">
        <v>4</v>
      </c>
    </row>
    <row r="732" spans="1:16" x14ac:dyDescent="0.25">
      <c r="A732">
        <v>5715543</v>
      </c>
      <c r="B732" t="s">
        <v>28</v>
      </c>
      <c r="C732" t="s">
        <v>26</v>
      </c>
      <c r="D732">
        <v>4.0999999999999996</v>
      </c>
      <c r="E732" t="str">
        <f t="shared" si="66"/>
        <v>Excellent</v>
      </c>
      <c r="F732" s="1">
        <v>45400.378472222219</v>
      </c>
      <c r="G732" s="1" t="str">
        <f t="shared" si="67"/>
        <v>Thursday</v>
      </c>
      <c r="H732" s="1" t="str">
        <f t="shared" si="68"/>
        <v>April</v>
      </c>
      <c r="I732" s="1" t="str">
        <f t="shared" si="69"/>
        <v>2024</v>
      </c>
      <c r="J732" t="b">
        <v>0</v>
      </c>
      <c r="K732" t="s">
        <v>15</v>
      </c>
      <c r="L732">
        <v>63</v>
      </c>
      <c r="M732">
        <v>13</v>
      </c>
      <c r="N732" t="str">
        <f t="shared" si="70"/>
        <v>Teenagers</v>
      </c>
      <c r="O732" t="s">
        <v>24</v>
      </c>
      <c r="P732" t="s">
        <v>4</v>
      </c>
    </row>
    <row r="733" spans="1:16" x14ac:dyDescent="0.25">
      <c r="A733">
        <v>5238452</v>
      </c>
      <c r="B733" t="s">
        <v>71</v>
      </c>
      <c r="C733" t="s">
        <v>26</v>
      </c>
      <c r="D733">
        <v>3.8</v>
      </c>
      <c r="E733" t="str">
        <f t="shared" si="66"/>
        <v>Very Good</v>
      </c>
      <c r="F733" s="1">
        <v>45265.286111111112</v>
      </c>
      <c r="G733" s="1" t="str">
        <f t="shared" si="67"/>
        <v>Tuesday</v>
      </c>
      <c r="H733" s="1" t="str">
        <f t="shared" si="68"/>
        <v>December</v>
      </c>
      <c r="I733" s="1" t="str">
        <f t="shared" si="69"/>
        <v>2023</v>
      </c>
      <c r="J733" t="b">
        <v>1</v>
      </c>
      <c r="K733" t="s">
        <v>58</v>
      </c>
      <c r="L733">
        <v>15</v>
      </c>
      <c r="M733">
        <v>57</v>
      </c>
      <c r="N733" t="str">
        <f t="shared" si="70"/>
        <v>Adults</v>
      </c>
      <c r="O733" t="s">
        <v>66</v>
      </c>
      <c r="P733" t="s">
        <v>9</v>
      </c>
    </row>
    <row r="734" spans="1:16" x14ac:dyDescent="0.25">
      <c r="A734">
        <v>464903</v>
      </c>
      <c r="B734" t="s">
        <v>0</v>
      </c>
      <c r="C734" t="s">
        <v>38</v>
      </c>
      <c r="D734">
        <v>4.5999999999999996</v>
      </c>
      <c r="E734" t="str">
        <f t="shared" si="66"/>
        <v>Excellent</v>
      </c>
      <c r="F734" s="1">
        <v>45479.865972222222</v>
      </c>
      <c r="G734" s="1" t="str">
        <f t="shared" si="67"/>
        <v>Saturday</v>
      </c>
      <c r="H734" s="1" t="str">
        <f t="shared" si="68"/>
        <v>July</v>
      </c>
      <c r="I734" s="1" t="str">
        <f t="shared" si="69"/>
        <v>2024</v>
      </c>
      <c r="J734" t="b">
        <v>0</v>
      </c>
      <c r="K734" t="s">
        <v>7</v>
      </c>
      <c r="L734">
        <v>109</v>
      </c>
      <c r="M734">
        <v>15</v>
      </c>
      <c r="N734" t="str">
        <f t="shared" si="70"/>
        <v>Teenagers</v>
      </c>
      <c r="O734" t="s">
        <v>72</v>
      </c>
      <c r="P734" t="s">
        <v>4</v>
      </c>
    </row>
    <row r="735" spans="1:16" x14ac:dyDescent="0.25">
      <c r="A735">
        <v>7757887</v>
      </c>
      <c r="B735" t="s">
        <v>52</v>
      </c>
      <c r="C735" t="s">
        <v>43</v>
      </c>
      <c r="D735">
        <v>3.7</v>
      </c>
      <c r="E735" t="str">
        <f t="shared" si="66"/>
        <v>Very Good</v>
      </c>
      <c r="F735" s="1">
        <v>45372.029166666667</v>
      </c>
      <c r="G735" s="1" t="str">
        <f t="shared" si="67"/>
        <v>Thursday</v>
      </c>
      <c r="H735" s="1" t="str">
        <f t="shared" si="68"/>
        <v>March</v>
      </c>
      <c r="I735" s="1" t="str">
        <f t="shared" si="69"/>
        <v>2024</v>
      </c>
      <c r="J735" t="b">
        <v>1</v>
      </c>
      <c r="K735" t="s">
        <v>58</v>
      </c>
      <c r="L735">
        <v>51</v>
      </c>
      <c r="M735">
        <v>36</v>
      </c>
      <c r="N735" t="str">
        <f t="shared" si="70"/>
        <v>Adults</v>
      </c>
      <c r="O735" t="s">
        <v>72</v>
      </c>
      <c r="P735" t="s">
        <v>4</v>
      </c>
    </row>
    <row r="736" spans="1:16" x14ac:dyDescent="0.25">
      <c r="A736">
        <v>4619127</v>
      </c>
      <c r="B736" t="s">
        <v>51</v>
      </c>
      <c r="C736" t="s">
        <v>29</v>
      </c>
      <c r="D736">
        <v>2.2000000000000002</v>
      </c>
      <c r="E736" t="str">
        <f t="shared" si="66"/>
        <v>Good</v>
      </c>
      <c r="F736" s="1">
        <v>45587.426388888889</v>
      </c>
      <c r="G736" s="1" t="str">
        <f t="shared" si="67"/>
        <v>Tuesday</v>
      </c>
      <c r="H736" s="1" t="str">
        <f t="shared" si="68"/>
        <v>October</v>
      </c>
      <c r="I736" s="1" t="str">
        <f t="shared" si="69"/>
        <v>2024</v>
      </c>
      <c r="J736" t="b">
        <v>1</v>
      </c>
      <c r="K736" t="s">
        <v>2</v>
      </c>
      <c r="L736">
        <v>692</v>
      </c>
      <c r="M736">
        <v>26</v>
      </c>
      <c r="N736" t="str">
        <f t="shared" si="70"/>
        <v>Adults</v>
      </c>
      <c r="O736" t="s">
        <v>24</v>
      </c>
      <c r="P736" t="s">
        <v>9</v>
      </c>
    </row>
    <row r="737" spans="1:16" x14ac:dyDescent="0.25">
      <c r="A737">
        <v>7424074</v>
      </c>
      <c r="B737" t="s">
        <v>62</v>
      </c>
      <c r="C737" t="s">
        <v>34</v>
      </c>
      <c r="D737">
        <v>2.7</v>
      </c>
      <c r="E737" t="str">
        <f t="shared" si="66"/>
        <v>Good</v>
      </c>
      <c r="F737" s="1">
        <v>45672.320833333331</v>
      </c>
      <c r="G737" s="1" t="str">
        <f t="shared" si="67"/>
        <v>Wednesday</v>
      </c>
      <c r="H737" s="1" t="str">
        <f t="shared" si="68"/>
        <v>January</v>
      </c>
      <c r="I737" s="1" t="str">
        <f t="shared" si="69"/>
        <v>2025</v>
      </c>
      <c r="J737" t="b">
        <v>1</v>
      </c>
      <c r="K737" t="s">
        <v>21</v>
      </c>
      <c r="L737">
        <v>1138</v>
      </c>
      <c r="M737">
        <v>38</v>
      </c>
      <c r="N737" t="str">
        <f t="shared" si="70"/>
        <v>Adults</v>
      </c>
      <c r="O737" t="s">
        <v>68</v>
      </c>
      <c r="P737" t="s">
        <v>9</v>
      </c>
    </row>
    <row r="738" spans="1:16" x14ac:dyDescent="0.25">
      <c r="A738">
        <v>4172535</v>
      </c>
      <c r="B738" t="s">
        <v>79</v>
      </c>
      <c r="C738" t="s">
        <v>20</v>
      </c>
      <c r="D738">
        <v>2.8</v>
      </c>
      <c r="E738" t="str">
        <f t="shared" si="66"/>
        <v>Good</v>
      </c>
      <c r="F738" s="1">
        <v>45392.953472222223</v>
      </c>
      <c r="G738" s="1" t="str">
        <f t="shared" si="67"/>
        <v>Wednesday</v>
      </c>
      <c r="H738" s="1" t="str">
        <f t="shared" si="68"/>
        <v>April</v>
      </c>
      <c r="I738" s="1" t="str">
        <f t="shared" si="69"/>
        <v>2024</v>
      </c>
      <c r="J738" t="b">
        <v>1</v>
      </c>
      <c r="K738" t="s">
        <v>15</v>
      </c>
      <c r="L738">
        <v>901</v>
      </c>
      <c r="M738">
        <v>42</v>
      </c>
      <c r="N738" t="str">
        <f t="shared" si="70"/>
        <v>Adults</v>
      </c>
      <c r="O738" t="s">
        <v>55</v>
      </c>
      <c r="P738" t="s">
        <v>4</v>
      </c>
    </row>
    <row r="739" spans="1:16" x14ac:dyDescent="0.25">
      <c r="A739">
        <v>7223479</v>
      </c>
      <c r="B739" t="s">
        <v>30</v>
      </c>
      <c r="C739" t="s">
        <v>29</v>
      </c>
      <c r="D739">
        <v>3.8</v>
      </c>
      <c r="E739" t="str">
        <f t="shared" si="66"/>
        <v>Very Good</v>
      </c>
      <c r="F739" s="1">
        <v>45602.53402777778</v>
      </c>
      <c r="G739" s="1" t="str">
        <f t="shared" si="67"/>
        <v>Wednesday</v>
      </c>
      <c r="H739" s="1" t="str">
        <f t="shared" si="68"/>
        <v>November</v>
      </c>
      <c r="I739" s="1" t="str">
        <f t="shared" si="69"/>
        <v>2024</v>
      </c>
      <c r="J739" t="b">
        <v>1</v>
      </c>
      <c r="K739" t="s">
        <v>2</v>
      </c>
      <c r="L739">
        <v>357</v>
      </c>
      <c r="M739">
        <v>75</v>
      </c>
      <c r="N739" t="str">
        <f t="shared" si="70"/>
        <v>Seniors</v>
      </c>
      <c r="O739" t="s">
        <v>42</v>
      </c>
      <c r="P739" t="s">
        <v>4</v>
      </c>
    </row>
    <row r="740" spans="1:16" x14ac:dyDescent="0.25">
      <c r="A740">
        <v>9938645</v>
      </c>
      <c r="B740" t="s">
        <v>87</v>
      </c>
      <c r="C740" t="s">
        <v>11</v>
      </c>
      <c r="D740">
        <v>4.0999999999999996</v>
      </c>
      <c r="E740" t="str">
        <f t="shared" si="66"/>
        <v>Excellent</v>
      </c>
      <c r="F740" s="1">
        <v>45159.768750000003</v>
      </c>
      <c r="G740" s="1" t="str">
        <f t="shared" si="67"/>
        <v>Monday</v>
      </c>
      <c r="H740" s="1" t="str">
        <f t="shared" si="68"/>
        <v>August</v>
      </c>
      <c r="I740" s="1" t="str">
        <f t="shared" si="69"/>
        <v>2023</v>
      </c>
      <c r="J740" t="b">
        <v>1</v>
      </c>
      <c r="K740" t="s">
        <v>58</v>
      </c>
      <c r="L740">
        <v>536</v>
      </c>
      <c r="M740">
        <v>57</v>
      </c>
      <c r="N740" t="str">
        <f t="shared" si="70"/>
        <v>Adults</v>
      </c>
      <c r="O740" t="s">
        <v>81</v>
      </c>
      <c r="P740" t="s">
        <v>9</v>
      </c>
    </row>
    <row r="741" spans="1:16" x14ac:dyDescent="0.25">
      <c r="A741">
        <v>5165677</v>
      </c>
      <c r="B741" t="s">
        <v>60</v>
      </c>
      <c r="C741" t="s">
        <v>75</v>
      </c>
      <c r="D741">
        <v>4.7</v>
      </c>
      <c r="E741" t="str">
        <f t="shared" si="66"/>
        <v>Excellent</v>
      </c>
      <c r="F741" s="1">
        <v>45512.211111111108</v>
      </c>
      <c r="G741" s="1" t="str">
        <f t="shared" si="67"/>
        <v>Thursday</v>
      </c>
      <c r="H741" s="1" t="str">
        <f t="shared" si="68"/>
        <v>August</v>
      </c>
      <c r="I741" s="1" t="str">
        <f t="shared" si="69"/>
        <v>2024</v>
      </c>
      <c r="J741" t="b">
        <v>1</v>
      </c>
      <c r="K741" t="s">
        <v>21</v>
      </c>
      <c r="L741">
        <v>75</v>
      </c>
      <c r="M741">
        <v>37</v>
      </c>
      <c r="N741" t="str">
        <f t="shared" si="70"/>
        <v>Adults</v>
      </c>
      <c r="O741" t="s">
        <v>44</v>
      </c>
      <c r="P741" t="s">
        <v>9</v>
      </c>
    </row>
    <row r="742" spans="1:16" x14ac:dyDescent="0.25">
      <c r="A742">
        <v>4479180</v>
      </c>
      <c r="B742" t="s">
        <v>70</v>
      </c>
      <c r="C742" t="s">
        <v>1</v>
      </c>
      <c r="D742">
        <v>1.2</v>
      </c>
      <c r="E742" t="str">
        <f t="shared" si="66"/>
        <v>Poor</v>
      </c>
      <c r="F742" s="1">
        <v>45707.959722222222</v>
      </c>
      <c r="G742" s="1" t="str">
        <f t="shared" si="67"/>
        <v>Wednesday</v>
      </c>
      <c r="H742" s="1" t="str">
        <f t="shared" si="68"/>
        <v>February</v>
      </c>
      <c r="I742" s="1" t="str">
        <f t="shared" si="69"/>
        <v>2025</v>
      </c>
      <c r="J742" t="b">
        <v>1</v>
      </c>
      <c r="K742" t="s">
        <v>7</v>
      </c>
      <c r="L742">
        <v>107</v>
      </c>
      <c r="M742">
        <v>24</v>
      </c>
      <c r="N742" t="str">
        <f t="shared" si="70"/>
        <v>Adults</v>
      </c>
      <c r="O742" t="s">
        <v>59</v>
      </c>
      <c r="P742" t="s">
        <v>4</v>
      </c>
    </row>
    <row r="743" spans="1:16" x14ac:dyDescent="0.25">
      <c r="A743">
        <v>2799181</v>
      </c>
      <c r="B743" t="s">
        <v>0</v>
      </c>
      <c r="C743" t="s">
        <v>34</v>
      </c>
      <c r="D743">
        <v>2.1</v>
      </c>
      <c r="E743" t="str">
        <f t="shared" si="66"/>
        <v>Good</v>
      </c>
      <c r="F743" s="1">
        <v>45386.67291666667</v>
      </c>
      <c r="G743" s="1" t="str">
        <f t="shared" si="67"/>
        <v>Thursday</v>
      </c>
      <c r="H743" s="1" t="str">
        <f t="shared" si="68"/>
        <v>April</v>
      </c>
      <c r="I743" s="1" t="str">
        <f t="shared" si="69"/>
        <v>2024</v>
      </c>
      <c r="J743" t="b">
        <v>1</v>
      </c>
      <c r="K743" t="s">
        <v>7</v>
      </c>
      <c r="L743">
        <v>279</v>
      </c>
      <c r="M743">
        <v>29</v>
      </c>
      <c r="N743" t="str">
        <f t="shared" si="70"/>
        <v>Adults</v>
      </c>
      <c r="O743" t="s">
        <v>8</v>
      </c>
      <c r="P743" t="s">
        <v>9</v>
      </c>
    </row>
    <row r="744" spans="1:16" x14ac:dyDescent="0.25">
      <c r="A744">
        <v>6839464</v>
      </c>
      <c r="B744" t="s">
        <v>30</v>
      </c>
      <c r="C744" t="s">
        <v>85</v>
      </c>
      <c r="D744">
        <v>3.3</v>
      </c>
      <c r="E744" t="str">
        <f t="shared" si="66"/>
        <v>Very Good</v>
      </c>
      <c r="F744" s="1">
        <v>45467.009722222225</v>
      </c>
      <c r="G744" s="1" t="str">
        <f t="shared" si="67"/>
        <v>Monday</v>
      </c>
      <c r="H744" s="1" t="str">
        <f t="shared" si="68"/>
        <v>June</v>
      </c>
      <c r="I744" s="1" t="str">
        <f t="shared" si="69"/>
        <v>2024</v>
      </c>
      <c r="J744" t="b">
        <v>0</v>
      </c>
      <c r="K744" t="s">
        <v>15</v>
      </c>
      <c r="L744">
        <v>698</v>
      </c>
      <c r="M744">
        <v>75</v>
      </c>
      <c r="N744" t="str">
        <f t="shared" si="70"/>
        <v>Seniors</v>
      </c>
      <c r="O744" t="s">
        <v>53</v>
      </c>
      <c r="P744" t="s">
        <v>9</v>
      </c>
    </row>
    <row r="745" spans="1:16" x14ac:dyDescent="0.25">
      <c r="A745">
        <v>1014547</v>
      </c>
      <c r="B745" t="s">
        <v>60</v>
      </c>
      <c r="C745" t="s">
        <v>75</v>
      </c>
      <c r="D745">
        <v>1.1000000000000001</v>
      </c>
      <c r="E745" t="str">
        <f t="shared" si="66"/>
        <v>Poor</v>
      </c>
      <c r="F745" s="1">
        <v>45374.189583333333</v>
      </c>
      <c r="G745" s="1" t="str">
        <f t="shared" si="67"/>
        <v>Saturday</v>
      </c>
      <c r="H745" s="1" t="str">
        <f t="shared" si="68"/>
        <v>March</v>
      </c>
      <c r="I745" s="1" t="str">
        <f t="shared" si="69"/>
        <v>2024</v>
      </c>
      <c r="J745" t="b">
        <v>1</v>
      </c>
      <c r="K745" t="s">
        <v>2</v>
      </c>
      <c r="L745">
        <v>668</v>
      </c>
      <c r="M745">
        <v>67</v>
      </c>
      <c r="N745" t="str">
        <f t="shared" ref="N745:N776" si="71">IF(M745&lt;=17,"Teenagers", IF(AND(M745&gt;=18,M745&lt;61),"Adults",IF(M745&gt;60,"Seniors")))</f>
        <v>Seniors</v>
      </c>
      <c r="O745" t="s">
        <v>3</v>
      </c>
      <c r="P745" t="s">
        <v>4</v>
      </c>
    </row>
    <row r="746" spans="1:16" x14ac:dyDescent="0.25">
      <c r="A746">
        <v>4439410</v>
      </c>
      <c r="B746" t="s">
        <v>60</v>
      </c>
      <c r="C746" t="s">
        <v>43</v>
      </c>
      <c r="D746">
        <v>3.3</v>
      </c>
      <c r="E746" t="str">
        <f t="shared" si="66"/>
        <v>Very Good</v>
      </c>
      <c r="F746" s="1">
        <v>45814.870833333334</v>
      </c>
      <c r="G746" s="1" t="str">
        <f t="shared" si="67"/>
        <v>Friday</v>
      </c>
      <c r="H746" s="1" t="str">
        <f t="shared" si="68"/>
        <v>June</v>
      </c>
      <c r="I746" s="1" t="str">
        <f t="shared" si="69"/>
        <v>2025</v>
      </c>
      <c r="J746" t="b">
        <v>0</v>
      </c>
      <c r="K746" t="s">
        <v>58</v>
      </c>
      <c r="L746">
        <v>1027</v>
      </c>
      <c r="M746">
        <v>35</v>
      </c>
      <c r="N746" t="str">
        <f t="shared" si="71"/>
        <v>Adults</v>
      </c>
      <c r="O746" t="s">
        <v>72</v>
      </c>
      <c r="P746" t="s">
        <v>4</v>
      </c>
    </row>
    <row r="747" spans="1:16" x14ac:dyDescent="0.25">
      <c r="A747">
        <v>4271264</v>
      </c>
      <c r="B747" t="s">
        <v>54</v>
      </c>
      <c r="C747" t="s">
        <v>63</v>
      </c>
      <c r="D747">
        <v>3.7</v>
      </c>
      <c r="E747" t="str">
        <f t="shared" si="66"/>
        <v>Very Good</v>
      </c>
      <c r="F747" s="1">
        <v>45862.990277777775</v>
      </c>
      <c r="G747" s="1" t="str">
        <f t="shared" si="67"/>
        <v>Thursday</v>
      </c>
      <c r="H747" s="1" t="str">
        <f t="shared" si="68"/>
        <v>July</v>
      </c>
      <c r="I747" s="1" t="str">
        <f t="shared" si="69"/>
        <v>2025</v>
      </c>
      <c r="J747" t="b">
        <v>0</v>
      </c>
      <c r="K747" t="s">
        <v>21</v>
      </c>
      <c r="L747">
        <v>1154</v>
      </c>
      <c r="M747">
        <v>52</v>
      </c>
      <c r="N747" t="str">
        <f t="shared" si="71"/>
        <v>Adults</v>
      </c>
      <c r="O747" t="s">
        <v>16</v>
      </c>
      <c r="P747" t="s">
        <v>4</v>
      </c>
    </row>
    <row r="748" spans="1:16" x14ac:dyDescent="0.25">
      <c r="A748">
        <v>8883858</v>
      </c>
      <c r="B748" t="s">
        <v>45</v>
      </c>
      <c r="C748" t="s">
        <v>31</v>
      </c>
      <c r="D748">
        <v>3.3</v>
      </c>
      <c r="E748" t="str">
        <f t="shared" si="66"/>
        <v>Very Good</v>
      </c>
      <c r="F748" s="1">
        <v>45435.518750000003</v>
      </c>
      <c r="G748" s="1" t="str">
        <f t="shared" si="67"/>
        <v>Thursday</v>
      </c>
      <c r="H748" s="1" t="str">
        <f t="shared" si="68"/>
        <v>May</v>
      </c>
      <c r="I748" s="1" t="str">
        <f t="shared" si="69"/>
        <v>2024</v>
      </c>
      <c r="J748" t="b">
        <v>1</v>
      </c>
      <c r="K748" t="s">
        <v>7</v>
      </c>
      <c r="L748">
        <v>962</v>
      </c>
      <c r="M748">
        <v>69</v>
      </c>
      <c r="N748" t="str">
        <f t="shared" si="71"/>
        <v>Seniors</v>
      </c>
      <c r="O748" t="s">
        <v>44</v>
      </c>
      <c r="P748" t="s">
        <v>4</v>
      </c>
    </row>
    <row r="749" spans="1:16" x14ac:dyDescent="0.25">
      <c r="A749">
        <v>1421455</v>
      </c>
      <c r="B749" t="s">
        <v>71</v>
      </c>
      <c r="C749" t="s">
        <v>36</v>
      </c>
      <c r="D749">
        <v>1.5</v>
      </c>
      <c r="E749" t="str">
        <f t="shared" si="66"/>
        <v>Poor</v>
      </c>
      <c r="F749" s="1">
        <v>45401.234027777777</v>
      </c>
      <c r="G749" s="1" t="str">
        <f t="shared" si="67"/>
        <v>Friday</v>
      </c>
      <c r="H749" s="1" t="str">
        <f t="shared" si="68"/>
        <v>April</v>
      </c>
      <c r="I749" s="1" t="str">
        <f t="shared" si="69"/>
        <v>2024</v>
      </c>
      <c r="J749" t="b">
        <v>0</v>
      </c>
      <c r="K749" t="s">
        <v>2</v>
      </c>
      <c r="L749">
        <v>343</v>
      </c>
      <c r="M749">
        <v>14</v>
      </c>
      <c r="N749" t="str">
        <f t="shared" si="71"/>
        <v>Teenagers</v>
      </c>
      <c r="O749" t="s">
        <v>86</v>
      </c>
      <c r="P749" t="s">
        <v>9</v>
      </c>
    </row>
    <row r="750" spans="1:16" x14ac:dyDescent="0.25">
      <c r="A750">
        <v>5166483</v>
      </c>
      <c r="B750" t="s">
        <v>5</v>
      </c>
      <c r="C750" t="s">
        <v>14</v>
      </c>
      <c r="D750">
        <v>3.1</v>
      </c>
      <c r="E750" t="str">
        <f t="shared" si="66"/>
        <v>Very Good</v>
      </c>
      <c r="F750" s="1">
        <v>45467.066666666666</v>
      </c>
      <c r="G750" s="1" t="str">
        <f t="shared" si="67"/>
        <v>Monday</v>
      </c>
      <c r="H750" s="1" t="str">
        <f t="shared" si="68"/>
        <v>June</v>
      </c>
      <c r="I750" s="1" t="str">
        <f t="shared" si="69"/>
        <v>2024</v>
      </c>
      <c r="J750" t="b">
        <v>1</v>
      </c>
      <c r="K750" t="s">
        <v>2</v>
      </c>
      <c r="L750">
        <v>715</v>
      </c>
      <c r="M750">
        <v>51</v>
      </c>
      <c r="N750" t="str">
        <f t="shared" si="71"/>
        <v>Adults</v>
      </c>
      <c r="O750" t="s">
        <v>68</v>
      </c>
      <c r="P750" t="s">
        <v>4</v>
      </c>
    </row>
    <row r="751" spans="1:16" x14ac:dyDescent="0.25">
      <c r="A751">
        <v>2053294</v>
      </c>
      <c r="B751" t="s">
        <v>60</v>
      </c>
      <c r="C751" t="s">
        <v>85</v>
      </c>
      <c r="D751">
        <v>4</v>
      </c>
      <c r="E751" t="str">
        <f t="shared" si="66"/>
        <v>Very Good</v>
      </c>
      <c r="F751" s="1">
        <v>45279.667361111111</v>
      </c>
      <c r="G751" s="1" t="str">
        <f t="shared" si="67"/>
        <v>Tuesday</v>
      </c>
      <c r="H751" s="1" t="str">
        <f t="shared" si="68"/>
        <v>December</v>
      </c>
      <c r="I751" s="1" t="str">
        <f t="shared" si="69"/>
        <v>2023</v>
      </c>
      <c r="J751" t="b">
        <v>0</v>
      </c>
      <c r="K751" t="s">
        <v>15</v>
      </c>
      <c r="L751">
        <v>510</v>
      </c>
      <c r="M751">
        <v>25</v>
      </c>
      <c r="N751" t="str">
        <f t="shared" si="71"/>
        <v>Adults</v>
      </c>
      <c r="O751" t="s">
        <v>24</v>
      </c>
      <c r="P751" t="s">
        <v>9</v>
      </c>
    </row>
    <row r="752" spans="1:16" x14ac:dyDescent="0.25">
      <c r="A752">
        <v>7051217</v>
      </c>
      <c r="B752" t="s">
        <v>32</v>
      </c>
      <c r="C752" t="s">
        <v>29</v>
      </c>
      <c r="D752">
        <v>3.5</v>
      </c>
      <c r="E752" t="str">
        <f t="shared" si="66"/>
        <v>Very Good</v>
      </c>
      <c r="F752" s="1">
        <v>45649.35</v>
      </c>
      <c r="G752" s="1" t="str">
        <f t="shared" si="67"/>
        <v>Monday</v>
      </c>
      <c r="H752" s="1" t="str">
        <f t="shared" si="68"/>
        <v>December</v>
      </c>
      <c r="I752" s="1" t="str">
        <f t="shared" si="69"/>
        <v>2024</v>
      </c>
      <c r="J752" t="b">
        <v>1</v>
      </c>
      <c r="K752" t="s">
        <v>2</v>
      </c>
      <c r="L752">
        <v>946</v>
      </c>
      <c r="M752">
        <v>62</v>
      </c>
      <c r="N752" t="str">
        <f t="shared" si="71"/>
        <v>Seniors</v>
      </c>
      <c r="O752" t="s">
        <v>48</v>
      </c>
      <c r="P752" t="s">
        <v>4</v>
      </c>
    </row>
    <row r="753" spans="1:16" x14ac:dyDescent="0.25">
      <c r="A753">
        <v>3633909</v>
      </c>
      <c r="B753" t="s">
        <v>49</v>
      </c>
      <c r="C753" t="s">
        <v>38</v>
      </c>
      <c r="D753">
        <v>2.7</v>
      </c>
      <c r="E753" t="str">
        <f t="shared" si="66"/>
        <v>Good</v>
      </c>
      <c r="F753" s="1">
        <v>45359.379861111112</v>
      </c>
      <c r="G753" s="1" t="str">
        <f t="shared" si="67"/>
        <v>Friday</v>
      </c>
      <c r="H753" s="1" t="str">
        <f t="shared" si="68"/>
        <v>March</v>
      </c>
      <c r="I753" s="1" t="str">
        <f t="shared" si="69"/>
        <v>2024</v>
      </c>
      <c r="J753" t="b">
        <v>1</v>
      </c>
      <c r="K753" t="s">
        <v>15</v>
      </c>
      <c r="L753">
        <v>703</v>
      </c>
      <c r="M753">
        <v>70</v>
      </c>
      <c r="N753" t="str">
        <f t="shared" si="71"/>
        <v>Seniors</v>
      </c>
      <c r="O753" t="s">
        <v>16</v>
      </c>
      <c r="P753" t="s">
        <v>4</v>
      </c>
    </row>
    <row r="754" spans="1:16" x14ac:dyDescent="0.25">
      <c r="A754">
        <v>2171885</v>
      </c>
      <c r="B754" t="s">
        <v>45</v>
      </c>
      <c r="C754" t="s">
        <v>75</v>
      </c>
      <c r="D754">
        <v>3.8</v>
      </c>
      <c r="E754" t="str">
        <f t="shared" si="66"/>
        <v>Very Good</v>
      </c>
      <c r="F754" s="1">
        <v>45214.20416666667</v>
      </c>
      <c r="G754" s="1" t="str">
        <f t="shared" si="67"/>
        <v>Sunday</v>
      </c>
      <c r="H754" s="1" t="str">
        <f t="shared" si="68"/>
        <v>October</v>
      </c>
      <c r="I754" s="1" t="str">
        <f t="shared" si="69"/>
        <v>2023</v>
      </c>
      <c r="J754" t="b">
        <v>1</v>
      </c>
      <c r="K754" t="s">
        <v>7</v>
      </c>
      <c r="L754">
        <v>851</v>
      </c>
      <c r="M754">
        <v>56</v>
      </c>
      <c r="N754" t="str">
        <f t="shared" si="71"/>
        <v>Adults</v>
      </c>
      <c r="O754" t="s">
        <v>53</v>
      </c>
      <c r="P754" t="s">
        <v>9</v>
      </c>
    </row>
    <row r="755" spans="1:16" x14ac:dyDescent="0.25">
      <c r="A755">
        <v>3762556</v>
      </c>
      <c r="B755" t="s">
        <v>17</v>
      </c>
      <c r="C755" t="s">
        <v>6</v>
      </c>
      <c r="D755">
        <v>4.5</v>
      </c>
      <c r="E755" t="str">
        <f t="shared" si="66"/>
        <v>Excellent</v>
      </c>
      <c r="F755" s="1">
        <v>45303.003472222219</v>
      </c>
      <c r="G755" s="1" t="str">
        <f t="shared" si="67"/>
        <v>Friday</v>
      </c>
      <c r="H755" s="1" t="str">
        <f t="shared" si="68"/>
        <v>January</v>
      </c>
      <c r="I755" s="1" t="str">
        <f t="shared" si="69"/>
        <v>2024</v>
      </c>
      <c r="J755" t="b">
        <v>1</v>
      </c>
      <c r="K755" t="s">
        <v>7</v>
      </c>
      <c r="L755">
        <v>244</v>
      </c>
      <c r="M755">
        <v>57</v>
      </c>
      <c r="N755" t="str">
        <f t="shared" si="71"/>
        <v>Adults</v>
      </c>
      <c r="O755" t="s">
        <v>53</v>
      </c>
      <c r="P755" t="s">
        <v>9</v>
      </c>
    </row>
    <row r="756" spans="1:16" x14ac:dyDescent="0.25">
      <c r="A756">
        <v>2769548</v>
      </c>
      <c r="B756" t="s">
        <v>60</v>
      </c>
      <c r="C756" t="s">
        <v>36</v>
      </c>
      <c r="D756">
        <v>5</v>
      </c>
      <c r="E756" t="str">
        <f t="shared" si="66"/>
        <v>Excellent</v>
      </c>
      <c r="F756" s="1">
        <v>45783.45416666667</v>
      </c>
      <c r="G756" s="1" t="str">
        <f t="shared" si="67"/>
        <v>Tuesday</v>
      </c>
      <c r="H756" s="1" t="str">
        <f t="shared" si="68"/>
        <v>May</v>
      </c>
      <c r="I756" s="1" t="str">
        <f t="shared" si="69"/>
        <v>2025</v>
      </c>
      <c r="J756" t="b">
        <v>1</v>
      </c>
      <c r="K756" t="s">
        <v>15</v>
      </c>
      <c r="L756">
        <v>174</v>
      </c>
      <c r="M756">
        <v>49</v>
      </c>
      <c r="N756" t="str">
        <f t="shared" si="71"/>
        <v>Adults</v>
      </c>
      <c r="O756" t="s">
        <v>53</v>
      </c>
      <c r="P756" t="s">
        <v>4</v>
      </c>
    </row>
    <row r="757" spans="1:16" x14ac:dyDescent="0.25">
      <c r="A757">
        <v>1749587</v>
      </c>
      <c r="B757" t="s">
        <v>71</v>
      </c>
      <c r="C757" t="s">
        <v>14</v>
      </c>
      <c r="D757">
        <v>2.5</v>
      </c>
      <c r="E757" t="str">
        <f t="shared" si="66"/>
        <v>Good</v>
      </c>
      <c r="F757" s="1">
        <v>45612.450694444444</v>
      </c>
      <c r="G757" s="1" t="str">
        <f t="shared" si="67"/>
        <v>Saturday</v>
      </c>
      <c r="H757" s="1" t="str">
        <f t="shared" si="68"/>
        <v>November</v>
      </c>
      <c r="I757" s="1" t="str">
        <f t="shared" si="69"/>
        <v>2024</v>
      </c>
      <c r="J757" t="b">
        <v>0</v>
      </c>
      <c r="K757" t="s">
        <v>7</v>
      </c>
      <c r="L757">
        <v>463</v>
      </c>
      <c r="M757">
        <v>64</v>
      </c>
      <c r="N757" t="str">
        <f t="shared" si="71"/>
        <v>Seniors</v>
      </c>
      <c r="O757" t="s">
        <v>8</v>
      </c>
      <c r="P757" t="s">
        <v>9</v>
      </c>
    </row>
    <row r="758" spans="1:16" x14ac:dyDescent="0.25">
      <c r="A758">
        <v>8545000</v>
      </c>
      <c r="B758" t="s">
        <v>32</v>
      </c>
      <c r="C758" t="s">
        <v>85</v>
      </c>
      <c r="D758">
        <v>4.0999999999999996</v>
      </c>
      <c r="E758" t="str">
        <f t="shared" si="66"/>
        <v>Excellent</v>
      </c>
      <c r="F758" s="1">
        <v>45201.408333333333</v>
      </c>
      <c r="G758" s="1" t="str">
        <f t="shared" si="67"/>
        <v>Monday</v>
      </c>
      <c r="H758" s="1" t="str">
        <f t="shared" si="68"/>
        <v>October</v>
      </c>
      <c r="I758" s="1" t="str">
        <f t="shared" si="69"/>
        <v>2023</v>
      </c>
      <c r="J758" t="b">
        <v>1</v>
      </c>
      <c r="K758" t="s">
        <v>21</v>
      </c>
      <c r="L758">
        <v>633</v>
      </c>
      <c r="M758">
        <v>64</v>
      </c>
      <c r="N758" t="str">
        <f t="shared" si="71"/>
        <v>Seniors</v>
      </c>
      <c r="O758" t="s">
        <v>3</v>
      </c>
      <c r="P758" t="s">
        <v>9</v>
      </c>
    </row>
    <row r="759" spans="1:16" x14ac:dyDescent="0.25">
      <c r="A759">
        <v>9672822</v>
      </c>
      <c r="B759" t="s">
        <v>80</v>
      </c>
      <c r="C759" t="s">
        <v>36</v>
      </c>
      <c r="D759">
        <v>2.2000000000000002</v>
      </c>
      <c r="E759" t="str">
        <f t="shared" si="66"/>
        <v>Good</v>
      </c>
      <c r="F759" s="1">
        <v>45692.520138888889</v>
      </c>
      <c r="G759" s="1" t="str">
        <f t="shared" si="67"/>
        <v>Tuesday</v>
      </c>
      <c r="H759" s="1" t="str">
        <f t="shared" si="68"/>
        <v>February</v>
      </c>
      <c r="I759" s="1" t="str">
        <f t="shared" si="69"/>
        <v>2025</v>
      </c>
      <c r="J759" t="b">
        <v>1</v>
      </c>
      <c r="K759" t="s">
        <v>2</v>
      </c>
      <c r="L759">
        <v>423</v>
      </c>
      <c r="M759">
        <v>60</v>
      </c>
      <c r="N759" t="str">
        <f t="shared" si="71"/>
        <v>Adults</v>
      </c>
      <c r="O759" t="s">
        <v>44</v>
      </c>
      <c r="P759" t="s">
        <v>4</v>
      </c>
    </row>
    <row r="760" spans="1:16" x14ac:dyDescent="0.25">
      <c r="A760">
        <v>5514413</v>
      </c>
      <c r="B760" t="s">
        <v>82</v>
      </c>
      <c r="C760" t="s">
        <v>20</v>
      </c>
      <c r="D760">
        <v>3.3</v>
      </c>
      <c r="E760" t="str">
        <f t="shared" si="66"/>
        <v>Very Good</v>
      </c>
      <c r="F760" s="1">
        <v>45329.068749999999</v>
      </c>
      <c r="G760" s="1" t="str">
        <f t="shared" si="67"/>
        <v>Wednesday</v>
      </c>
      <c r="H760" s="1" t="str">
        <f t="shared" si="68"/>
        <v>February</v>
      </c>
      <c r="I760" s="1" t="str">
        <f t="shared" si="69"/>
        <v>2024</v>
      </c>
      <c r="J760" t="b">
        <v>1</v>
      </c>
      <c r="K760" t="s">
        <v>21</v>
      </c>
      <c r="L760">
        <v>845</v>
      </c>
      <c r="M760">
        <v>74</v>
      </c>
      <c r="N760" t="str">
        <f t="shared" si="71"/>
        <v>Seniors</v>
      </c>
      <c r="O760" t="s">
        <v>81</v>
      </c>
      <c r="P760" t="s">
        <v>9</v>
      </c>
    </row>
    <row r="761" spans="1:16" x14ac:dyDescent="0.25">
      <c r="A761">
        <v>6917366</v>
      </c>
      <c r="B761" t="s">
        <v>0</v>
      </c>
      <c r="C761" t="s">
        <v>85</v>
      </c>
      <c r="D761">
        <v>4.4000000000000004</v>
      </c>
      <c r="E761" t="str">
        <f t="shared" si="66"/>
        <v>Excellent</v>
      </c>
      <c r="F761" s="1">
        <v>45735.992361111108</v>
      </c>
      <c r="G761" s="1" t="str">
        <f t="shared" si="67"/>
        <v>Wednesday</v>
      </c>
      <c r="H761" s="1" t="str">
        <f t="shared" si="68"/>
        <v>March</v>
      </c>
      <c r="I761" s="1" t="str">
        <f t="shared" si="69"/>
        <v>2025</v>
      </c>
      <c r="J761" t="b">
        <v>1</v>
      </c>
      <c r="K761" t="s">
        <v>2</v>
      </c>
      <c r="L761">
        <v>675</v>
      </c>
      <c r="M761">
        <v>39</v>
      </c>
      <c r="N761" t="str">
        <f t="shared" si="71"/>
        <v>Adults</v>
      </c>
      <c r="O761" t="s">
        <v>42</v>
      </c>
      <c r="P761" t="s">
        <v>9</v>
      </c>
    </row>
    <row r="762" spans="1:16" x14ac:dyDescent="0.25">
      <c r="A762">
        <v>4537702</v>
      </c>
      <c r="B762" t="s">
        <v>5</v>
      </c>
      <c r="C762" t="s">
        <v>47</v>
      </c>
      <c r="D762">
        <v>2.2999999999999998</v>
      </c>
      <c r="E762" t="str">
        <f t="shared" si="66"/>
        <v>Good</v>
      </c>
      <c r="F762" s="1">
        <v>45214.317361111112</v>
      </c>
      <c r="G762" s="1" t="str">
        <f t="shared" si="67"/>
        <v>Sunday</v>
      </c>
      <c r="H762" s="1" t="str">
        <f t="shared" si="68"/>
        <v>October</v>
      </c>
      <c r="I762" s="1" t="str">
        <f t="shared" si="69"/>
        <v>2023</v>
      </c>
      <c r="J762" t="b">
        <v>1</v>
      </c>
      <c r="K762" t="s">
        <v>7</v>
      </c>
      <c r="L762">
        <v>1154</v>
      </c>
      <c r="M762">
        <v>55</v>
      </c>
      <c r="N762" t="str">
        <f t="shared" si="71"/>
        <v>Adults</v>
      </c>
      <c r="O762" t="s">
        <v>66</v>
      </c>
      <c r="P762" t="s">
        <v>4</v>
      </c>
    </row>
    <row r="763" spans="1:16" x14ac:dyDescent="0.25">
      <c r="A763">
        <v>1342680</v>
      </c>
      <c r="B763" t="s">
        <v>51</v>
      </c>
      <c r="C763" t="s">
        <v>18</v>
      </c>
      <c r="D763">
        <v>4.4000000000000004</v>
      </c>
      <c r="E763" t="str">
        <f t="shared" si="66"/>
        <v>Excellent</v>
      </c>
      <c r="F763" s="1">
        <v>45579.777083333334</v>
      </c>
      <c r="G763" s="1" t="str">
        <f t="shared" si="67"/>
        <v>Monday</v>
      </c>
      <c r="H763" s="1" t="str">
        <f t="shared" si="68"/>
        <v>October</v>
      </c>
      <c r="I763" s="1" t="str">
        <f t="shared" si="69"/>
        <v>2024</v>
      </c>
      <c r="J763" t="b">
        <v>0</v>
      </c>
      <c r="K763" t="s">
        <v>7</v>
      </c>
      <c r="L763">
        <v>696</v>
      </c>
      <c r="M763">
        <v>14</v>
      </c>
      <c r="N763" t="str">
        <f t="shared" si="71"/>
        <v>Teenagers</v>
      </c>
      <c r="O763" t="s">
        <v>27</v>
      </c>
      <c r="P763" t="s">
        <v>9</v>
      </c>
    </row>
    <row r="764" spans="1:16" x14ac:dyDescent="0.25">
      <c r="A764">
        <v>7479665</v>
      </c>
      <c r="B764" t="s">
        <v>28</v>
      </c>
      <c r="C764" t="s">
        <v>18</v>
      </c>
      <c r="D764">
        <v>1.5</v>
      </c>
      <c r="E764" t="str">
        <f t="shared" si="66"/>
        <v>Poor</v>
      </c>
      <c r="F764" s="1">
        <v>45661.82916666667</v>
      </c>
      <c r="G764" s="1" t="str">
        <f t="shared" si="67"/>
        <v>Saturday</v>
      </c>
      <c r="H764" s="1" t="str">
        <f t="shared" si="68"/>
        <v>January</v>
      </c>
      <c r="I764" s="1" t="str">
        <f t="shared" si="69"/>
        <v>2025</v>
      </c>
      <c r="J764" t="b">
        <v>1</v>
      </c>
      <c r="K764" t="s">
        <v>15</v>
      </c>
      <c r="L764">
        <v>59</v>
      </c>
      <c r="M764">
        <v>70</v>
      </c>
      <c r="N764" t="str">
        <f t="shared" si="71"/>
        <v>Seniors</v>
      </c>
      <c r="O764" t="s">
        <v>12</v>
      </c>
      <c r="P764" t="s">
        <v>4</v>
      </c>
    </row>
    <row r="765" spans="1:16" x14ac:dyDescent="0.25">
      <c r="A765">
        <v>9071681</v>
      </c>
      <c r="B765" t="s">
        <v>41</v>
      </c>
      <c r="C765" t="s">
        <v>26</v>
      </c>
      <c r="D765">
        <v>3.1</v>
      </c>
      <c r="E765" t="str">
        <f t="shared" si="66"/>
        <v>Very Good</v>
      </c>
      <c r="F765" s="1">
        <v>45354.400000000001</v>
      </c>
      <c r="G765" s="1" t="str">
        <f t="shared" si="67"/>
        <v>Sunday</v>
      </c>
      <c r="H765" s="1" t="str">
        <f t="shared" si="68"/>
        <v>March</v>
      </c>
      <c r="I765" s="1" t="str">
        <f t="shared" si="69"/>
        <v>2024</v>
      </c>
      <c r="J765" t="b">
        <v>1</v>
      </c>
      <c r="K765" t="s">
        <v>7</v>
      </c>
      <c r="L765">
        <v>527</v>
      </c>
      <c r="M765">
        <v>38</v>
      </c>
      <c r="N765" t="str">
        <f t="shared" si="71"/>
        <v>Adults</v>
      </c>
      <c r="O765" t="s">
        <v>42</v>
      </c>
      <c r="P765" t="s">
        <v>4</v>
      </c>
    </row>
    <row r="766" spans="1:16" x14ac:dyDescent="0.25">
      <c r="A766">
        <v>2323802</v>
      </c>
      <c r="B766" t="s">
        <v>33</v>
      </c>
      <c r="C766" t="s">
        <v>63</v>
      </c>
      <c r="D766">
        <v>1.2</v>
      </c>
      <c r="E766" t="str">
        <f t="shared" si="66"/>
        <v>Poor</v>
      </c>
      <c r="F766" s="1">
        <v>45544.760416666664</v>
      </c>
      <c r="G766" s="1" t="str">
        <f t="shared" si="67"/>
        <v>Monday</v>
      </c>
      <c r="H766" s="1" t="str">
        <f t="shared" si="68"/>
        <v>September</v>
      </c>
      <c r="I766" s="1" t="str">
        <f t="shared" si="69"/>
        <v>2024</v>
      </c>
      <c r="J766" t="b">
        <v>1</v>
      </c>
      <c r="K766" t="s">
        <v>7</v>
      </c>
      <c r="L766">
        <v>1231</v>
      </c>
      <c r="M766">
        <v>32</v>
      </c>
      <c r="N766" t="str">
        <f t="shared" si="71"/>
        <v>Adults</v>
      </c>
      <c r="O766" t="s">
        <v>27</v>
      </c>
      <c r="P766" t="s">
        <v>9</v>
      </c>
    </row>
    <row r="767" spans="1:16" x14ac:dyDescent="0.25">
      <c r="A767">
        <v>1325651</v>
      </c>
      <c r="B767" t="s">
        <v>52</v>
      </c>
      <c r="C767" t="s">
        <v>75</v>
      </c>
      <c r="D767">
        <v>1</v>
      </c>
      <c r="E767" t="str">
        <f t="shared" si="66"/>
        <v>Poor</v>
      </c>
      <c r="F767" s="1">
        <v>45291.446527777778</v>
      </c>
      <c r="G767" s="1" t="str">
        <f t="shared" si="67"/>
        <v>Sunday</v>
      </c>
      <c r="H767" s="1" t="str">
        <f t="shared" si="68"/>
        <v>December</v>
      </c>
      <c r="I767" s="1" t="str">
        <f t="shared" si="69"/>
        <v>2023</v>
      </c>
      <c r="J767" t="b">
        <v>1</v>
      </c>
      <c r="K767" t="s">
        <v>2</v>
      </c>
      <c r="L767">
        <v>782</v>
      </c>
      <c r="M767">
        <v>28</v>
      </c>
      <c r="N767" t="str">
        <f t="shared" si="71"/>
        <v>Adults</v>
      </c>
      <c r="O767" t="s">
        <v>50</v>
      </c>
      <c r="P767" t="s">
        <v>4</v>
      </c>
    </row>
    <row r="768" spans="1:16" x14ac:dyDescent="0.25">
      <c r="A768">
        <v>7348007</v>
      </c>
      <c r="B768" t="s">
        <v>89</v>
      </c>
      <c r="C768" t="s">
        <v>18</v>
      </c>
      <c r="D768">
        <v>1.8</v>
      </c>
      <c r="E768" t="str">
        <f t="shared" si="66"/>
        <v>Poor</v>
      </c>
      <c r="F768" s="1">
        <v>45289.247916666667</v>
      </c>
      <c r="G768" s="1" t="str">
        <f t="shared" si="67"/>
        <v>Friday</v>
      </c>
      <c r="H768" s="1" t="str">
        <f t="shared" si="68"/>
        <v>December</v>
      </c>
      <c r="I768" s="1" t="str">
        <f t="shared" si="69"/>
        <v>2023</v>
      </c>
      <c r="J768" t="b">
        <v>0</v>
      </c>
      <c r="K768" t="s">
        <v>21</v>
      </c>
      <c r="L768">
        <v>15</v>
      </c>
      <c r="M768">
        <v>65</v>
      </c>
      <c r="N768" t="str">
        <f t="shared" si="71"/>
        <v>Seniors</v>
      </c>
      <c r="O768" t="s">
        <v>24</v>
      </c>
      <c r="P768" t="s">
        <v>4</v>
      </c>
    </row>
    <row r="769" spans="1:16" x14ac:dyDescent="0.25">
      <c r="A769">
        <v>7094575</v>
      </c>
      <c r="B769" t="s">
        <v>32</v>
      </c>
      <c r="C769" t="s">
        <v>26</v>
      </c>
      <c r="D769">
        <v>1.7</v>
      </c>
      <c r="E769" t="str">
        <f t="shared" si="66"/>
        <v>Poor</v>
      </c>
      <c r="F769" s="1">
        <v>45744.53125</v>
      </c>
      <c r="G769" s="1" t="str">
        <f t="shared" si="67"/>
        <v>Friday</v>
      </c>
      <c r="H769" s="1" t="str">
        <f t="shared" si="68"/>
        <v>March</v>
      </c>
      <c r="I769" s="1" t="str">
        <f t="shared" si="69"/>
        <v>2025</v>
      </c>
      <c r="J769" t="b">
        <v>0</v>
      </c>
      <c r="K769" t="s">
        <v>21</v>
      </c>
      <c r="L769">
        <v>196</v>
      </c>
      <c r="M769">
        <v>49</v>
      </c>
      <c r="N769" t="str">
        <f t="shared" si="71"/>
        <v>Adults</v>
      </c>
      <c r="O769" t="s">
        <v>68</v>
      </c>
      <c r="P769" t="s">
        <v>9</v>
      </c>
    </row>
    <row r="770" spans="1:16" x14ac:dyDescent="0.25">
      <c r="A770">
        <v>9933367</v>
      </c>
      <c r="B770" t="s">
        <v>76</v>
      </c>
      <c r="C770" t="s">
        <v>43</v>
      </c>
      <c r="D770">
        <v>1.4</v>
      </c>
      <c r="E770" t="str">
        <f t="shared" ref="E770:E833" si="72">IF(D770&lt;2,"Poor",IF(AND(D770&gt;=2,D770&lt;=3),"Good",IF(AND(D770&gt;3,D770&lt;=4),"Very Good",IF(D770&gt;4,"Excellent"))))</f>
        <v>Poor</v>
      </c>
      <c r="F770" s="1">
        <v>45430.163888888892</v>
      </c>
      <c r="G770" s="1" t="str">
        <f t="shared" ref="G770:G833" si="73">TEXT(F770,"DDDD")</f>
        <v>Saturday</v>
      </c>
      <c r="H770" s="1" t="str">
        <f t="shared" ref="H770:H833" si="74">TEXT(F770,"MMMM")</f>
        <v>May</v>
      </c>
      <c r="I770" s="1" t="str">
        <f t="shared" ref="I770:I833" si="75">TEXT(F770,"YYYY")</f>
        <v>2024</v>
      </c>
      <c r="J770" t="b">
        <v>1</v>
      </c>
      <c r="K770" t="s">
        <v>15</v>
      </c>
      <c r="L770">
        <v>520</v>
      </c>
      <c r="M770">
        <v>67</v>
      </c>
      <c r="N770" t="str">
        <f t="shared" si="71"/>
        <v>Seniors</v>
      </c>
      <c r="O770" t="s">
        <v>24</v>
      </c>
      <c r="P770" t="s">
        <v>4</v>
      </c>
    </row>
    <row r="771" spans="1:16" x14ac:dyDescent="0.25">
      <c r="A771">
        <v>1801879</v>
      </c>
      <c r="B771" t="s">
        <v>70</v>
      </c>
      <c r="C771" t="s">
        <v>11</v>
      </c>
      <c r="D771">
        <v>2.1</v>
      </c>
      <c r="E771" t="str">
        <f t="shared" si="72"/>
        <v>Good</v>
      </c>
      <c r="F771" s="1">
        <v>45182.463194444441</v>
      </c>
      <c r="G771" s="1" t="str">
        <f t="shared" si="73"/>
        <v>Wednesday</v>
      </c>
      <c r="H771" s="1" t="str">
        <f t="shared" si="74"/>
        <v>September</v>
      </c>
      <c r="I771" s="1" t="str">
        <f t="shared" si="75"/>
        <v>2023</v>
      </c>
      <c r="J771" t="b">
        <v>0</v>
      </c>
      <c r="K771" t="s">
        <v>7</v>
      </c>
      <c r="L771">
        <v>626</v>
      </c>
      <c r="M771">
        <v>17</v>
      </c>
      <c r="N771" t="str">
        <f t="shared" si="71"/>
        <v>Teenagers</v>
      </c>
      <c r="O771" t="s">
        <v>65</v>
      </c>
      <c r="P771" t="s">
        <v>9</v>
      </c>
    </row>
    <row r="772" spans="1:16" x14ac:dyDescent="0.25">
      <c r="A772">
        <v>3455347</v>
      </c>
      <c r="B772" t="s">
        <v>51</v>
      </c>
      <c r="C772" t="s">
        <v>26</v>
      </c>
      <c r="D772">
        <v>1.1000000000000001</v>
      </c>
      <c r="E772" t="str">
        <f t="shared" si="72"/>
        <v>Poor</v>
      </c>
      <c r="F772" s="1">
        <v>45315.724305555559</v>
      </c>
      <c r="G772" s="1" t="str">
        <f t="shared" si="73"/>
        <v>Wednesday</v>
      </c>
      <c r="H772" s="1" t="str">
        <f t="shared" si="74"/>
        <v>January</v>
      </c>
      <c r="I772" s="1" t="str">
        <f t="shared" si="75"/>
        <v>2024</v>
      </c>
      <c r="J772" t="b">
        <v>1</v>
      </c>
      <c r="K772" t="s">
        <v>15</v>
      </c>
      <c r="L772">
        <v>52</v>
      </c>
      <c r="M772">
        <v>35</v>
      </c>
      <c r="N772" t="str">
        <f t="shared" si="71"/>
        <v>Adults</v>
      </c>
      <c r="O772" t="s">
        <v>24</v>
      </c>
      <c r="P772" t="s">
        <v>9</v>
      </c>
    </row>
    <row r="773" spans="1:16" x14ac:dyDescent="0.25">
      <c r="A773">
        <v>4445732</v>
      </c>
      <c r="B773" t="s">
        <v>82</v>
      </c>
      <c r="C773" t="s">
        <v>31</v>
      </c>
      <c r="D773">
        <v>1.4</v>
      </c>
      <c r="E773" t="str">
        <f t="shared" si="72"/>
        <v>Poor</v>
      </c>
      <c r="F773" s="1">
        <v>45337.220138888886</v>
      </c>
      <c r="G773" s="1" t="str">
        <f t="shared" si="73"/>
        <v>Thursday</v>
      </c>
      <c r="H773" s="1" t="str">
        <f t="shared" si="74"/>
        <v>February</v>
      </c>
      <c r="I773" s="1" t="str">
        <f t="shared" si="75"/>
        <v>2024</v>
      </c>
      <c r="J773" t="b">
        <v>1</v>
      </c>
      <c r="K773" t="s">
        <v>2</v>
      </c>
      <c r="L773">
        <v>803</v>
      </c>
      <c r="M773">
        <v>48</v>
      </c>
      <c r="N773" t="str">
        <f t="shared" si="71"/>
        <v>Adults</v>
      </c>
      <c r="O773" t="s">
        <v>66</v>
      </c>
      <c r="P773" t="s">
        <v>9</v>
      </c>
    </row>
    <row r="774" spans="1:16" x14ac:dyDescent="0.25">
      <c r="A774">
        <v>488196</v>
      </c>
      <c r="B774" t="s">
        <v>84</v>
      </c>
      <c r="C774" t="s">
        <v>38</v>
      </c>
      <c r="D774">
        <v>4.5</v>
      </c>
      <c r="E774" t="str">
        <f t="shared" si="72"/>
        <v>Excellent</v>
      </c>
      <c r="F774" s="1">
        <v>45176.18472222222</v>
      </c>
      <c r="G774" s="1" t="str">
        <f t="shared" si="73"/>
        <v>Thursday</v>
      </c>
      <c r="H774" s="1" t="str">
        <f t="shared" si="74"/>
        <v>September</v>
      </c>
      <c r="I774" s="1" t="str">
        <f t="shared" si="75"/>
        <v>2023</v>
      </c>
      <c r="J774" t="b">
        <v>1</v>
      </c>
      <c r="K774" t="s">
        <v>7</v>
      </c>
      <c r="L774">
        <v>488</v>
      </c>
      <c r="M774">
        <v>16</v>
      </c>
      <c r="N774" t="str">
        <f t="shared" si="71"/>
        <v>Teenagers</v>
      </c>
      <c r="O774" t="s">
        <v>12</v>
      </c>
      <c r="P774" t="s">
        <v>4</v>
      </c>
    </row>
    <row r="775" spans="1:16" x14ac:dyDescent="0.25">
      <c r="A775">
        <v>1326138</v>
      </c>
      <c r="B775" t="s">
        <v>82</v>
      </c>
      <c r="C775" t="s">
        <v>36</v>
      </c>
      <c r="D775">
        <v>4.5999999999999996</v>
      </c>
      <c r="E775" t="str">
        <f t="shared" si="72"/>
        <v>Excellent</v>
      </c>
      <c r="F775" s="1">
        <v>45389.28125</v>
      </c>
      <c r="G775" s="1" t="str">
        <f t="shared" si="73"/>
        <v>Sunday</v>
      </c>
      <c r="H775" s="1" t="str">
        <f t="shared" si="74"/>
        <v>April</v>
      </c>
      <c r="I775" s="1" t="str">
        <f t="shared" si="75"/>
        <v>2024</v>
      </c>
      <c r="J775" t="b">
        <v>1</v>
      </c>
      <c r="K775" t="s">
        <v>2</v>
      </c>
      <c r="L775">
        <v>999</v>
      </c>
      <c r="M775">
        <v>23</v>
      </c>
      <c r="N775" t="str">
        <f t="shared" si="71"/>
        <v>Adults</v>
      </c>
      <c r="O775" t="s">
        <v>48</v>
      </c>
      <c r="P775" t="s">
        <v>9</v>
      </c>
    </row>
    <row r="776" spans="1:16" x14ac:dyDescent="0.25">
      <c r="A776">
        <v>5593884</v>
      </c>
      <c r="B776" t="s">
        <v>79</v>
      </c>
      <c r="C776" t="s">
        <v>11</v>
      </c>
      <c r="D776">
        <v>3.2</v>
      </c>
      <c r="E776" t="str">
        <f t="shared" si="72"/>
        <v>Very Good</v>
      </c>
      <c r="F776" s="1">
        <v>45815.059027777781</v>
      </c>
      <c r="G776" s="1" t="str">
        <f t="shared" si="73"/>
        <v>Saturday</v>
      </c>
      <c r="H776" s="1" t="str">
        <f t="shared" si="74"/>
        <v>June</v>
      </c>
      <c r="I776" s="1" t="str">
        <f t="shared" si="75"/>
        <v>2025</v>
      </c>
      <c r="J776" t="b">
        <v>1</v>
      </c>
      <c r="K776" t="s">
        <v>21</v>
      </c>
      <c r="L776">
        <v>105</v>
      </c>
      <c r="M776">
        <v>26</v>
      </c>
      <c r="N776" t="str">
        <f t="shared" si="71"/>
        <v>Adults</v>
      </c>
      <c r="O776" t="s">
        <v>55</v>
      </c>
      <c r="P776" t="s">
        <v>9</v>
      </c>
    </row>
    <row r="777" spans="1:16" x14ac:dyDescent="0.25">
      <c r="A777">
        <v>5144815</v>
      </c>
      <c r="B777" t="s">
        <v>80</v>
      </c>
      <c r="C777" t="s">
        <v>31</v>
      </c>
      <c r="D777">
        <v>3.5</v>
      </c>
      <c r="E777" t="str">
        <f t="shared" si="72"/>
        <v>Very Good</v>
      </c>
      <c r="F777" s="1">
        <v>45146.081250000003</v>
      </c>
      <c r="G777" s="1" t="str">
        <f t="shared" si="73"/>
        <v>Tuesday</v>
      </c>
      <c r="H777" s="1" t="str">
        <f t="shared" si="74"/>
        <v>August</v>
      </c>
      <c r="I777" s="1" t="str">
        <f t="shared" si="75"/>
        <v>2023</v>
      </c>
      <c r="J777" t="b">
        <v>1</v>
      </c>
      <c r="K777" t="s">
        <v>21</v>
      </c>
      <c r="L777">
        <v>1042</v>
      </c>
      <c r="M777">
        <v>36</v>
      </c>
      <c r="N777" t="str">
        <f t="shared" ref="N777:N817" si="76">IF(M777&lt;=17,"Teenagers", IF(AND(M777&gt;=18,M777&lt;61),"Adults",IF(M777&gt;60,"Seniors")))</f>
        <v>Adults</v>
      </c>
      <c r="O777" t="s">
        <v>24</v>
      </c>
      <c r="P777" t="s">
        <v>4</v>
      </c>
    </row>
    <row r="778" spans="1:16" x14ac:dyDescent="0.25">
      <c r="A778">
        <v>9159463</v>
      </c>
      <c r="B778" t="s">
        <v>52</v>
      </c>
      <c r="C778" t="s">
        <v>11</v>
      </c>
      <c r="D778">
        <v>2.4</v>
      </c>
      <c r="E778" t="str">
        <f t="shared" si="72"/>
        <v>Good</v>
      </c>
      <c r="F778" s="1">
        <v>45236.615277777775</v>
      </c>
      <c r="G778" s="1" t="str">
        <f t="shared" si="73"/>
        <v>Monday</v>
      </c>
      <c r="H778" s="1" t="str">
        <f t="shared" si="74"/>
        <v>November</v>
      </c>
      <c r="I778" s="1" t="str">
        <f t="shared" si="75"/>
        <v>2023</v>
      </c>
      <c r="J778" t="b">
        <v>1</v>
      </c>
      <c r="K778" t="s">
        <v>58</v>
      </c>
      <c r="L778">
        <v>95</v>
      </c>
      <c r="M778">
        <v>31</v>
      </c>
      <c r="N778" t="str">
        <f t="shared" si="76"/>
        <v>Adults</v>
      </c>
      <c r="O778" t="s">
        <v>48</v>
      </c>
      <c r="P778" t="s">
        <v>4</v>
      </c>
    </row>
    <row r="779" spans="1:16" x14ac:dyDescent="0.25">
      <c r="A779">
        <v>8735804</v>
      </c>
      <c r="B779" t="s">
        <v>32</v>
      </c>
      <c r="C779" t="s">
        <v>26</v>
      </c>
      <c r="D779">
        <v>1.4</v>
      </c>
      <c r="E779" t="str">
        <f t="shared" si="72"/>
        <v>Poor</v>
      </c>
      <c r="F779" s="1">
        <v>45652.448611111111</v>
      </c>
      <c r="G779" s="1" t="str">
        <f t="shared" si="73"/>
        <v>Thursday</v>
      </c>
      <c r="H779" s="1" t="str">
        <f t="shared" si="74"/>
        <v>December</v>
      </c>
      <c r="I779" s="1" t="str">
        <f t="shared" si="75"/>
        <v>2024</v>
      </c>
      <c r="J779" t="b">
        <v>1</v>
      </c>
      <c r="K779" t="s">
        <v>2</v>
      </c>
      <c r="L779">
        <v>436</v>
      </c>
      <c r="M779">
        <v>60</v>
      </c>
      <c r="N779" t="str">
        <f t="shared" si="76"/>
        <v>Adults</v>
      </c>
      <c r="O779" t="s">
        <v>44</v>
      </c>
      <c r="P779" t="s">
        <v>9</v>
      </c>
    </row>
    <row r="780" spans="1:16" x14ac:dyDescent="0.25">
      <c r="A780">
        <v>4509130</v>
      </c>
      <c r="B780" t="s">
        <v>70</v>
      </c>
      <c r="C780" t="s">
        <v>18</v>
      </c>
      <c r="D780">
        <v>3.8</v>
      </c>
      <c r="E780" t="str">
        <f t="shared" si="72"/>
        <v>Very Good</v>
      </c>
      <c r="F780" s="1">
        <v>45542.053472222222</v>
      </c>
      <c r="G780" s="1" t="str">
        <f t="shared" si="73"/>
        <v>Saturday</v>
      </c>
      <c r="H780" s="1" t="str">
        <f t="shared" si="74"/>
        <v>September</v>
      </c>
      <c r="I780" s="1" t="str">
        <f t="shared" si="75"/>
        <v>2024</v>
      </c>
      <c r="J780" t="b">
        <v>1</v>
      </c>
      <c r="K780" t="s">
        <v>2</v>
      </c>
      <c r="L780">
        <v>463</v>
      </c>
      <c r="M780">
        <v>18</v>
      </c>
      <c r="N780" t="str">
        <f t="shared" si="76"/>
        <v>Adults</v>
      </c>
      <c r="O780" t="s">
        <v>81</v>
      </c>
      <c r="P780" t="s">
        <v>4</v>
      </c>
    </row>
    <row r="781" spans="1:16" x14ac:dyDescent="0.25">
      <c r="A781">
        <v>7255726</v>
      </c>
      <c r="B781" t="s">
        <v>89</v>
      </c>
      <c r="C781" t="s">
        <v>34</v>
      </c>
      <c r="D781">
        <v>4.8</v>
      </c>
      <c r="E781" t="str">
        <f t="shared" si="72"/>
        <v>Excellent</v>
      </c>
      <c r="F781" s="1">
        <v>45637.761111111111</v>
      </c>
      <c r="G781" s="1" t="str">
        <f t="shared" si="73"/>
        <v>Wednesday</v>
      </c>
      <c r="H781" s="1" t="str">
        <f t="shared" si="74"/>
        <v>December</v>
      </c>
      <c r="I781" s="1" t="str">
        <f t="shared" si="75"/>
        <v>2024</v>
      </c>
      <c r="J781" t="b">
        <v>1</v>
      </c>
      <c r="K781" t="s">
        <v>2</v>
      </c>
      <c r="L781">
        <v>459</v>
      </c>
      <c r="M781">
        <v>24</v>
      </c>
      <c r="N781" t="str">
        <f t="shared" si="76"/>
        <v>Adults</v>
      </c>
      <c r="O781" t="s">
        <v>48</v>
      </c>
      <c r="P781" t="s">
        <v>4</v>
      </c>
    </row>
    <row r="782" spans="1:16" x14ac:dyDescent="0.25">
      <c r="A782">
        <v>3910526</v>
      </c>
      <c r="B782" t="s">
        <v>76</v>
      </c>
      <c r="C782" t="s">
        <v>31</v>
      </c>
      <c r="D782">
        <v>3.3</v>
      </c>
      <c r="E782" t="str">
        <f t="shared" si="72"/>
        <v>Very Good</v>
      </c>
      <c r="F782" s="1">
        <v>45256.761805555558</v>
      </c>
      <c r="G782" s="1" t="str">
        <f t="shared" si="73"/>
        <v>Sunday</v>
      </c>
      <c r="H782" s="1" t="str">
        <f t="shared" si="74"/>
        <v>November</v>
      </c>
      <c r="I782" s="1" t="str">
        <f t="shared" si="75"/>
        <v>2023</v>
      </c>
      <c r="J782" t="b">
        <v>1</v>
      </c>
      <c r="K782" t="s">
        <v>21</v>
      </c>
      <c r="L782">
        <v>1206</v>
      </c>
      <c r="M782">
        <v>40</v>
      </c>
      <c r="N782" t="str">
        <f t="shared" si="76"/>
        <v>Adults</v>
      </c>
      <c r="O782" t="s">
        <v>24</v>
      </c>
      <c r="P782" t="s">
        <v>4</v>
      </c>
    </row>
    <row r="783" spans="1:16" x14ac:dyDescent="0.25">
      <c r="A783">
        <v>9001345</v>
      </c>
      <c r="B783" t="s">
        <v>84</v>
      </c>
      <c r="C783" t="s">
        <v>75</v>
      </c>
      <c r="D783">
        <v>1.3</v>
      </c>
      <c r="E783" t="str">
        <f t="shared" si="72"/>
        <v>Poor</v>
      </c>
      <c r="F783" s="1">
        <v>45546.692361111112</v>
      </c>
      <c r="G783" s="1" t="str">
        <f t="shared" si="73"/>
        <v>Wednesday</v>
      </c>
      <c r="H783" s="1" t="str">
        <f t="shared" si="74"/>
        <v>September</v>
      </c>
      <c r="I783" s="1" t="str">
        <f t="shared" si="75"/>
        <v>2024</v>
      </c>
      <c r="J783" t="b">
        <v>1</v>
      </c>
      <c r="K783" t="s">
        <v>21</v>
      </c>
      <c r="L783">
        <v>914</v>
      </c>
      <c r="M783">
        <v>57</v>
      </c>
      <c r="N783" t="str">
        <f t="shared" si="76"/>
        <v>Adults</v>
      </c>
      <c r="O783" t="s">
        <v>77</v>
      </c>
      <c r="P783" t="s">
        <v>9</v>
      </c>
    </row>
    <row r="784" spans="1:16" x14ac:dyDescent="0.25">
      <c r="A784">
        <v>9044877</v>
      </c>
      <c r="B784" t="s">
        <v>89</v>
      </c>
      <c r="C784" t="s">
        <v>29</v>
      </c>
      <c r="D784">
        <v>1.3</v>
      </c>
      <c r="E784" t="str">
        <f t="shared" si="72"/>
        <v>Poor</v>
      </c>
      <c r="F784" s="1">
        <v>45420.561111111114</v>
      </c>
      <c r="G784" s="1" t="str">
        <f t="shared" si="73"/>
        <v>Wednesday</v>
      </c>
      <c r="H784" s="1" t="str">
        <f t="shared" si="74"/>
        <v>May</v>
      </c>
      <c r="I784" s="1" t="str">
        <f t="shared" si="75"/>
        <v>2024</v>
      </c>
      <c r="J784" t="b">
        <v>1</v>
      </c>
      <c r="K784" t="s">
        <v>2</v>
      </c>
      <c r="L784">
        <v>866</v>
      </c>
      <c r="M784">
        <v>57</v>
      </c>
      <c r="N784" t="str">
        <f t="shared" si="76"/>
        <v>Adults</v>
      </c>
      <c r="O784" t="s">
        <v>39</v>
      </c>
      <c r="P784" t="s">
        <v>9</v>
      </c>
    </row>
    <row r="785" spans="1:16" x14ac:dyDescent="0.25">
      <c r="A785">
        <v>3895970</v>
      </c>
      <c r="B785" t="s">
        <v>10</v>
      </c>
      <c r="C785" t="s">
        <v>63</v>
      </c>
      <c r="D785">
        <v>4.4000000000000004</v>
      </c>
      <c r="E785" t="str">
        <f t="shared" si="72"/>
        <v>Excellent</v>
      </c>
      <c r="F785" s="1">
        <v>45793.84097222222</v>
      </c>
      <c r="G785" s="1" t="str">
        <f t="shared" si="73"/>
        <v>Friday</v>
      </c>
      <c r="H785" s="1" t="str">
        <f t="shared" si="74"/>
        <v>May</v>
      </c>
      <c r="I785" s="1" t="str">
        <f t="shared" si="75"/>
        <v>2025</v>
      </c>
      <c r="J785" t="b">
        <v>0</v>
      </c>
      <c r="K785" t="s">
        <v>58</v>
      </c>
      <c r="L785">
        <v>98</v>
      </c>
      <c r="M785">
        <v>34</v>
      </c>
      <c r="N785" t="str">
        <f t="shared" si="76"/>
        <v>Adults</v>
      </c>
      <c r="O785" t="s">
        <v>8</v>
      </c>
      <c r="P785" t="s">
        <v>4</v>
      </c>
    </row>
    <row r="786" spans="1:16" x14ac:dyDescent="0.25">
      <c r="A786">
        <v>2650993</v>
      </c>
      <c r="B786" t="s">
        <v>30</v>
      </c>
      <c r="C786" t="s">
        <v>38</v>
      </c>
      <c r="D786">
        <v>2.2000000000000002</v>
      </c>
      <c r="E786" t="str">
        <f t="shared" si="72"/>
        <v>Good</v>
      </c>
      <c r="F786" s="1">
        <v>45558.946527777778</v>
      </c>
      <c r="G786" s="1" t="str">
        <f t="shared" si="73"/>
        <v>Monday</v>
      </c>
      <c r="H786" s="1" t="str">
        <f t="shared" si="74"/>
        <v>September</v>
      </c>
      <c r="I786" s="1" t="str">
        <f t="shared" si="75"/>
        <v>2024</v>
      </c>
      <c r="J786" t="b">
        <v>0</v>
      </c>
      <c r="K786" t="s">
        <v>58</v>
      </c>
      <c r="L786">
        <v>280</v>
      </c>
      <c r="M786">
        <v>74</v>
      </c>
      <c r="N786" t="str">
        <f t="shared" si="76"/>
        <v>Seniors</v>
      </c>
      <c r="O786" t="s">
        <v>24</v>
      </c>
      <c r="P786" t="s">
        <v>9</v>
      </c>
    </row>
    <row r="787" spans="1:16" x14ac:dyDescent="0.25">
      <c r="A787">
        <v>7167639</v>
      </c>
      <c r="B787" t="s">
        <v>17</v>
      </c>
      <c r="C787" t="s">
        <v>18</v>
      </c>
      <c r="D787">
        <v>4.5999999999999996</v>
      </c>
      <c r="E787" t="str">
        <f t="shared" si="72"/>
        <v>Excellent</v>
      </c>
      <c r="F787" s="1">
        <v>45833.070138888892</v>
      </c>
      <c r="G787" s="1" t="str">
        <f t="shared" si="73"/>
        <v>Wednesday</v>
      </c>
      <c r="H787" s="1" t="str">
        <f t="shared" si="74"/>
        <v>June</v>
      </c>
      <c r="I787" s="1" t="str">
        <f t="shared" si="75"/>
        <v>2025</v>
      </c>
      <c r="J787" t="b">
        <v>1</v>
      </c>
      <c r="K787" t="s">
        <v>21</v>
      </c>
      <c r="L787">
        <v>1001</v>
      </c>
      <c r="M787">
        <v>37</v>
      </c>
      <c r="N787" t="str">
        <f t="shared" si="76"/>
        <v>Adults</v>
      </c>
      <c r="O787" t="s">
        <v>86</v>
      </c>
      <c r="P787" t="s">
        <v>9</v>
      </c>
    </row>
    <row r="788" spans="1:16" x14ac:dyDescent="0.25">
      <c r="A788">
        <v>4316604</v>
      </c>
      <c r="B788" t="s">
        <v>83</v>
      </c>
      <c r="C788" t="s">
        <v>34</v>
      </c>
      <c r="D788">
        <v>2.9</v>
      </c>
      <c r="E788" t="str">
        <f t="shared" si="72"/>
        <v>Good</v>
      </c>
      <c r="F788" s="1">
        <v>45689.0625</v>
      </c>
      <c r="G788" s="1" t="str">
        <f t="shared" si="73"/>
        <v>Saturday</v>
      </c>
      <c r="H788" s="1" t="str">
        <f t="shared" si="74"/>
        <v>February</v>
      </c>
      <c r="I788" s="1" t="str">
        <f t="shared" si="75"/>
        <v>2025</v>
      </c>
      <c r="J788" t="b">
        <v>1</v>
      </c>
      <c r="K788" t="s">
        <v>15</v>
      </c>
      <c r="L788">
        <v>520</v>
      </c>
      <c r="M788">
        <v>20</v>
      </c>
      <c r="N788" t="str">
        <f t="shared" si="76"/>
        <v>Adults</v>
      </c>
      <c r="O788" t="s">
        <v>22</v>
      </c>
      <c r="P788" t="s">
        <v>4</v>
      </c>
    </row>
    <row r="789" spans="1:16" x14ac:dyDescent="0.25">
      <c r="A789">
        <v>1220966</v>
      </c>
      <c r="B789" t="s">
        <v>56</v>
      </c>
      <c r="C789" t="s">
        <v>63</v>
      </c>
      <c r="D789">
        <v>2</v>
      </c>
      <c r="E789" t="str">
        <f t="shared" si="72"/>
        <v>Good</v>
      </c>
      <c r="F789" s="1">
        <v>45184.877083333333</v>
      </c>
      <c r="G789" s="1" t="str">
        <f t="shared" si="73"/>
        <v>Friday</v>
      </c>
      <c r="H789" s="1" t="str">
        <f t="shared" si="74"/>
        <v>September</v>
      </c>
      <c r="I789" s="1" t="str">
        <f t="shared" si="75"/>
        <v>2023</v>
      </c>
      <c r="J789" t="b">
        <v>0</v>
      </c>
      <c r="K789" t="s">
        <v>58</v>
      </c>
      <c r="L789">
        <v>62</v>
      </c>
      <c r="M789">
        <v>60</v>
      </c>
      <c r="N789" t="str">
        <f t="shared" si="76"/>
        <v>Adults</v>
      </c>
      <c r="O789" t="s">
        <v>68</v>
      </c>
      <c r="P789" t="s">
        <v>4</v>
      </c>
    </row>
    <row r="790" spans="1:16" x14ac:dyDescent="0.25">
      <c r="A790">
        <v>6984958</v>
      </c>
      <c r="B790" t="s">
        <v>78</v>
      </c>
      <c r="C790" t="s">
        <v>34</v>
      </c>
      <c r="D790">
        <v>2</v>
      </c>
      <c r="E790" t="str">
        <f t="shared" si="72"/>
        <v>Good</v>
      </c>
      <c r="F790" s="1">
        <v>45247.854861111111</v>
      </c>
      <c r="G790" s="1" t="str">
        <f t="shared" si="73"/>
        <v>Friday</v>
      </c>
      <c r="H790" s="1" t="str">
        <f t="shared" si="74"/>
        <v>November</v>
      </c>
      <c r="I790" s="1" t="str">
        <f t="shared" si="75"/>
        <v>2023</v>
      </c>
      <c r="J790" t="b">
        <v>1</v>
      </c>
      <c r="K790" t="s">
        <v>2</v>
      </c>
      <c r="L790">
        <v>278</v>
      </c>
      <c r="M790">
        <v>61</v>
      </c>
      <c r="N790" t="str">
        <f t="shared" si="76"/>
        <v>Seniors</v>
      </c>
      <c r="O790" t="s">
        <v>16</v>
      </c>
      <c r="P790" t="s">
        <v>9</v>
      </c>
    </row>
    <row r="791" spans="1:16" x14ac:dyDescent="0.25">
      <c r="A791">
        <v>8168702</v>
      </c>
      <c r="B791" t="s">
        <v>40</v>
      </c>
      <c r="C791" t="s">
        <v>34</v>
      </c>
      <c r="D791">
        <v>2.9</v>
      </c>
      <c r="E791" t="str">
        <f t="shared" si="72"/>
        <v>Good</v>
      </c>
      <c r="F791" s="1">
        <v>45702.762499999997</v>
      </c>
      <c r="G791" s="1" t="str">
        <f t="shared" si="73"/>
        <v>Friday</v>
      </c>
      <c r="H791" s="1" t="str">
        <f t="shared" si="74"/>
        <v>February</v>
      </c>
      <c r="I791" s="1" t="str">
        <f t="shared" si="75"/>
        <v>2025</v>
      </c>
      <c r="J791" t="b">
        <v>0</v>
      </c>
      <c r="K791" t="s">
        <v>2</v>
      </c>
      <c r="L791">
        <v>708</v>
      </c>
      <c r="M791">
        <v>54</v>
      </c>
      <c r="N791" t="str">
        <f t="shared" si="76"/>
        <v>Adults</v>
      </c>
      <c r="O791" t="s">
        <v>12</v>
      </c>
      <c r="P791" t="s">
        <v>4</v>
      </c>
    </row>
    <row r="792" spans="1:16" x14ac:dyDescent="0.25">
      <c r="A792">
        <v>9930269</v>
      </c>
      <c r="B792" t="s">
        <v>74</v>
      </c>
      <c r="C792" t="s">
        <v>20</v>
      </c>
      <c r="D792">
        <v>2.8</v>
      </c>
      <c r="E792" t="str">
        <f t="shared" si="72"/>
        <v>Good</v>
      </c>
      <c r="F792" s="1">
        <v>45661.081944444442</v>
      </c>
      <c r="G792" s="1" t="str">
        <f t="shared" si="73"/>
        <v>Saturday</v>
      </c>
      <c r="H792" s="1" t="str">
        <f t="shared" si="74"/>
        <v>January</v>
      </c>
      <c r="I792" s="1" t="str">
        <f t="shared" si="75"/>
        <v>2025</v>
      </c>
      <c r="J792" t="b">
        <v>1</v>
      </c>
      <c r="K792" t="s">
        <v>7</v>
      </c>
      <c r="L792">
        <v>913</v>
      </c>
      <c r="M792">
        <v>56</v>
      </c>
      <c r="N792" t="str">
        <f t="shared" si="76"/>
        <v>Adults</v>
      </c>
      <c r="O792" t="s">
        <v>44</v>
      </c>
      <c r="P792" t="s">
        <v>9</v>
      </c>
    </row>
    <row r="793" spans="1:16" x14ac:dyDescent="0.25">
      <c r="A793">
        <v>3868723</v>
      </c>
      <c r="B793" t="s">
        <v>17</v>
      </c>
      <c r="C793" t="s">
        <v>57</v>
      </c>
      <c r="D793">
        <v>3.5</v>
      </c>
      <c r="E793" t="str">
        <f t="shared" si="72"/>
        <v>Very Good</v>
      </c>
      <c r="F793" s="1">
        <v>45148.918055555558</v>
      </c>
      <c r="G793" s="1" t="str">
        <f t="shared" si="73"/>
        <v>Thursday</v>
      </c>
      <c r="H793" s="1" t="str">
        <f t="shared" si="74"/>
        <v>August</v>
      </c>
      <c r="I793" s="1" t="str">
        <f t="shared" si="75"/>
        <v>2023</v>
      </c>
      <c r="J793" t="b">
        <v>1</v>
      </c>
      <c r="K793" t="s">
        <v>7</v>
      </c>
      <c r="L793">
        <v>671</v>
      </c>
      <c r="M793">
        <v>75</v>
      </c>
      <c r="N793" t="str">
        <f t="shared" si="76"/>
        <v>Seniors</v>
      </c>
      <c r="O793" t="s">
        <v>19</v>
      </c>
      <c r="P793" t="s">
        <v>4</v>
      </c>
    </row>
    <row r="794" spans="1:16" x14ac:dyDescent="0.25">
      <c r="A794">
        <v>8404320</v>
      </c>
      <c r="B794" t="s">
        <v>35</v>
      </c>
      <c r="C794" t="s">
        <v>34</v>
      </c>
      <c r="D794">
        <v>1.1000000000000001</v>
      </c>
      <c r="E794" t="str">
        <f t="shared" si="72"/>
        <v>Poor</v>
      </c>
      <c r="F794" s="1">
        <v>45310.835416666669</v>
      </c>
      <c r="G794" s="1" t="str">
        <f t="shared" si="73"/>
        <v>Friday</v>
      </c>
      <c r="H794" s="1" t="str">
        <f t="shared" si="74"/>
        <v>January</v>
      </c>
      <c r="I794" s="1" t="str">
        <f t="shared" si="75"/>
        <v>2024</v>
      </c>
      <c r="J794" t="b">
        <v>1</v>
      </c>
      <c r="K794" t="s">
        <v>21</v>
      </c>
      <c r="L794">
        <v>252</v>
      </c>
      <c r="M794">
        <v>14</v>
      </c>
      <c r="N794" t="str">
        <f t="shared" si="76"/>
        <v>Teenagers</v>
      </c>
      <c r="O794" t="s">
        <v>66</v>
      </c>
      <c r="P794" t="s">
        <v>9</v>
      </c>
    </row>
    <row r="795" spans="1:16" x14ac:dyDescent="0.25">
      <c r="A795">
        <v>8284965</v>
      </c>
      <c r="B795" t="s">
        <v>79</v>
      </c>
      <c r="C795" t="s">
        <v>43</v>
      </c>
      <c r="D795">
        <v>2.9</v>
      </c>
      <c r="E795" t="str">
        <f t="shared" si="72"/>
        <v>Good</v>
      </c>
      <c r="F795" s="1">
        <v>45574.363888888889</v>
      </c>
      <c r="G795" s="1" t="str">
        <f t="shared" si="73"/>
        <v>Wednesday</v>
      </c>
      <c r="H795" s="1" t="str">
        <f t="shared" si="74"/>
        <v>October</v>
      </c>
      <c r="I795" s="1" t="str">
        <f t="shared" si="75"/>
        <v>2024</v>
      </c>
      <c r="J795" t="b">
        <v>1</v>
      </c>
      <c r="K795" t="s">
        <v>7</v>
      </c>
      <c r="L795">
        <v>130</v>
      </c>
      <c r="M795">
        <v>24</v>
      </c>
      <c r="N795" t="str">
        <f t="shared" si="76"/>
        <v>Adults</v>
      </c>
      <c r="O795" t="s">
        <v>24</v>
      </c>
      <c r="P795" t="s">
        <v>4</v>
      </c>
    </row>
    <row r="796" spans="1:16" x14ac:dyDescent="0.25">
      <c r="A796">
        <v>8806817</v>
      </c>
      <c r="B796" t="s">
        <v>30</v>
      </c>
      <c r="C796" t="s">
        <v>34</v>
      </c>
      <c r="D796">
        <v>3.5</v>
      </c>
      <c r="E796" t="str">
        <f t="shared" si="72"/>
        <v>Very Good</v>
      </c>
      <c r="F796" s="1">
        <v>45584.208333333336</v>
      </c>
      <c r="G796" s="1" t="str">
        <f t="shared" si="73"/>
        <v>Saturday</v>
      </c>
      <c r="H796" s="1" t="str">
        <f t="shared" si="74"/>
        <v>October</v>
      </c>
      <c r="I796" s="1" t="str">
        <f t="shared" si="75"/>
        <v>2024</v>
      </c>
      <c r="J796" t="b">
        <v>1</v>
      </c>
      <c r="K796" t="s">
        <v>21</v>
      </c>
      <c r="L796">
        <v>61</v>
      </c>
      <c r="M796">
        <v>74</v>
      </c>
      <c r="N796" t="str">
        <f t="shared" si="76"/>
        <v>Seniors</v>
      </c>
      <c r="O796" t="s">
        <v>53</v>
      </c>
      <c r="P796" t="s">
        <v>9</v>
      </c>
    </row>
    <row r="797" spans="1:16" x14ac:dyDescent="0.25">
      <c r="A797">
        <v>7344357</v>
      </c>
      <c r="B797" t="s">
        <v>64</v>
      </c>
      <c r="C797" t="s">
        <v>20</v>
      </c>
      <c r="D797">
        <v>2.8</v>
      </c>
      <c r="E797" t="str">
        <f t="shared" si="72"/>
        <v>Good</v>
      </c>
      <c r="F797" s="1">
        <v>45774.523611111108</v>
      </c>
      <c r="G797" s="1" t="str">
        <f t="shared" si="73"/>
        <v>Sunday</v>
      </c>
      <c r="H797" s="1" t="str">
        <f t="shared" si="74"/>
        <v>April</v>
      </c>
      <c r="I797" s="1" t="str">
        <f t="shared" si="75"/>
        <v>2025</v>
      </c>
      <c r="J797" t="b">
        <v>0</v>
      </c>
      <c r="K797" t="s">
        <v>2</v>
      </c>
      <c r="L797">
        <v>1002</v>
      </c>
      <c r="M797">
        <v>26</v>
      </c>
      <c r="N797" t="str">
        <f t="shared" si="76"/>
        <v>Adults</v>
      </c>
      <c r="O797" t="s">
        <v>44</v>
      </c>
      <c r="P797" t="s">
        <v>9</v>
      </c>
    </row>
    <row r="798" spans="1:16" x14ac:dyDescent="0.25">
      <c r="A798">
        <v>5872196</v>
      </c>
      <c r="B798" t="s">
        <v>25</v>
      </c>
      <c r="C798" t="s">
        <v>6</v>
      </c>
      <c r="D798">
        <v>3.7</v>
      </c>
      <c r="E798" t="str">
        <f t="shared" si="72"/>
        <v>Very Good</v>
      </c>
      <c r="F798" s="1">
        <v>45412.578472222223</v>
      </c>
      <c r="G798" s="1" t="str">
        <f t="shared" si="73"/>
        <v>Tuesday</v>
      </c>
      <c r="H798" s="1" t="str">
        <f t="shared" si="74"/>
        <v>April</v>
      </c>
      <c r="I798" s="1" t="str">
        <f t="shared" si="75"/>
        <v>2024</v>
      </c>
      <c r="J798" t="b">
        <v>1</v>
      </c>
      <c r="K798" t="s">
        <v>58</v>
      </c>
      <c r="L798">
        <v>375</v>
      </c>
      <c r="M798">
        <v>56</v>
      </c>
      <c r="N798" t="str">
        <f t="shared" si="76"/>
        <v>Adults</v>
      </c>
      <c r="O798" t="s">
        <v>8</v>
      </c>
      <c r="P798" t="s">
        <v>9</v>
      </c>
    </row>
    <row r="799" spans="1:16" x14ac:dyDescent="0.25">
      <c r="A799">
        <v>5544414</v>
      </c>
      <c r="B799" t="s">
        <v>76</v>
      </c>
      <c r="C799" t="s">
        <v>85</v>
      </c>
      <c r="D799">
        <v>2</v>
      </c>
      <c r="E799" t="str">
        <f t="shared" si="72"/>
        <v>Good</v>
      </c>
      <c r="F799" s="1">
        <v>45494.775694444441</v>
      </c>
      <c r="G799" s="1" t="str">
        <f t="shared" si="73"/>
        <v>Sunday</v>
      </c>
      <c r="H799" s="1" t="str">
        <f t="shared" si="74"/>
        <v>July</v>
      </c>
      <c r="I799" s="1" t="str">
        <f t="shared" si="75"/>
        <v>2024</v>
      </c>
      <c r="J799" t="b">
        <v>0</v>
      </c>
      <c r="K799" t="s">
        <v>2</v>
      </c>
      <c r="L799">
        <v>1045</v>
      </c>
      <c r="M799">
        <v>42</v>
      </c>
      <c r="N799" t="str">
        <f t="shared" si="76"/>
        <v>Adults</v>
      </c>
      <c r="O799" t="s">
        <v>27</v>
      </c>
      <c r="P799" t="s">
        <v>9</v>
      </c>
    </row>
    <row r="800" spans="1:16" x14ac:dyDescent="0.25">
      <c r="A800">
        <v>3612830</v>
      </c>
      <c r="B800" t="s">
        <v>30</v>
      </c>
      <c r="C800" t="s">
        <v>38</v>
      </c>
      <c r="D800">
        <v>2.2999999999999998</v>
      </c>
      <c r="E800" t="str">
        <f t="shared" si="72"/>
        <v>Good</v>
      </c>
      <c r="F800" s="1">
        <v>45572.660416666666</v>
      </c>
      <c r="G800" s="1" t="str">
        <f t="shared" si="73"/>
        <v>Monday</v>
      </c>
      <c r="H800" s="1" t="str">
        <f t="shared" si="74"/>
        <v>October</v>
      </c>
      <c r="I800" s="1" t="str">
        <f t="shared" si="75"/>
        <v>2024</v>
      </c>
      <c r="J800" t="b">
        <v>0</v>
      </c>
      <c r="K800" t="s">
        <v>21</v>
      </c>
      <c r="L800">
        <v>374</v>
      </c>
      <c r="M800">
        <v>75</v>
      </c>
      <c r="N800" t="str">
        <f t="shared" si="76"/>
        <v>Seniors</v>
      </c>
      <c r="O800" t="s">
        <v>59</v>
      </c>
      <c r="P800" t="s">
        <v>9</v>
      </c>
    </row>
    <row r="801" spans="1:16" x14ac:dyDescent="0.25">
      <c r="A801">
        <v>9130080</v>
      </c>
      <c r="B801" t="s">
        <v>89</v>
      </c>
      <c r="C801" t="s">
        <v>57</v>
      </c>
      <c r="D801">
        <v>2.9</v>
      </c>
      <c r="E801" t="str">
        <f t="shared" si="72"/>
        <v>Good</v>
      </c>
      <c r="F801" s="1">
        <v>45725.125694444447</v>
      </c>
      <c r="G801" s="1" t="str">
        <f t="shared" si="73"/>
        <v>Sunday</v>
      </c>
      <c r="H801" s="1" t="str">
        <f t="shared" si="74"/>
        <v>March</v>
      </c>
      <c r="I801" s="1" t="str">
        <f t="shared" si="75"/>
        <v>2025</v>
      </c>
      <c r="J801" t="b">
        <v>1</v>
      </c>
      <c r="K801" t="s">
        <v>7</v>
      </c>
      <c r="L801">
        <v>688</v>
      </c>
      <c r="M801">
        <v>48</v>
      </c>
      <c r="N801" t="str">
        <f t="shared" si="76"/>
        <v>Adults</v>
      </c>
      <c r="O801" t="s">
        <v>72</v>
      </c>
      <c r="P801" t="s">
        <v>4</v>
      </c>
    </row>
    <row r="802" spans="1:16" x14ac:dyDescent="0.25">
      <c r="A802">
        <v>2927685</v>
      </c>
      <c r="B802" t="s">
        <v>28</v>
      </c>
      <c r="C802" t="s">
        <v>36</v>
      </c>
      <c r="D802">
        <v>4.0999999999999996</v>
      </c>
      <c r="E802" t="str">
        <f t="shared" si="72"/>
        <v>Excellent</v>
      </c>
      <c r="F802" s="1">
        <v>45573.781944444447</v>
      </c>
      <c r="G802" s="1" t="str">
        <f t="shared" si="73"/>
        <v>Tuesday</v>
      </c>
      <c r="H802" s="1" t="str">
        <f t="shared" si="74"/>
        <v>October</v>
      </c>
      <c r="I802" s="1" t="str">
        <f t="shared" si="75"/>
        <v>2024</v>
      </c>
      <c r="J802" t="b">
        <v>1</v>
      </c>
      <c r="K802" t="s">
        <v>15</v>
      </c>
      <c r="L802">
        <v>1245</v>
      </c>
      <c r="M802">
        <v>72</v>
      </c>
      <c r="N802" t="str">
        <f t="shared" si="76"/>
        <v>Seniors</v>
      </c>
      <c r="O802" t="s">
        <v>12</v>
      </c>
      <c r="P802" t="s">
        <v>4</v>
      </c>
    </row>
    <row r="803" spans="1:16" x14ac:dyDescent="0.25">
      <c r="A803">
        <v>6888683</v>
      </c>
      <c r="B803" t="s">
        <v>0</v>
      </c>
      <c r="C803" t="s">
        <v>43</v>
      </c>
      <c r="D803">
        <v>2.1</v>
      </c>
      <c r="E803" t="str">
        <f t="shared" si="72"/>
        <v>Good</v>
      </c>
      <c r="F803" s="1">
        <v>45800.808333333334</v>
      </c>
      <c r="G803" s="1" t="str">
        <f t="shared" si="73"/>
        <v>Friday</v>
      </c>
      <c r="H803" s="1" t="str">
        <f t="shared" si="74"/>
        <v>May</v>
      </c>
      <c r="I803" s="1" t="str">
        <f t="shared" si="75"/>
        <v>2025</v>
      </c>
      <c r="J803" t="b">
        <v>1</v>
      </c>
      <c r="K803" t="s">
        <v>21</v>
      </c>
      <c r="L803">
        <v>836</v>
      </c>
      <c r="M803">
        <v>75</v>
      </c>
      <c r="N803" t="str">
        <f t="shared" si="76"/>
        <v>Seniors</v>
      </c>
      <c r="O803" t="s">
        <v>12</v>
      </c>
      <c r="P803" t="s">
        <v>4</v>
      </c>
    </row>
    <row r="804" spans="1:16" x14ac:dyDescent="0.25">
      <c r="A804">
        <v>1838556</v>
      </c>
      <c r="B804" t="s">
        <v>49</v>
      </c>
      <c r="C804" t="s">
        <v>47</v>
      </c>
      <c r="D804">
        <v>4.8</v>
      </c>
      <c r="E804" t="str">
        <f t="shared" si="72"/>
        <v>Excellent</v>
      </c>
      <c r="F804" s="1">
        <v>45795.21597222222</v>
      </c>
      <c r="G804" s="1" t="str">
        <f t="shared" si="73"/>
        <v>Sunday</v>
      </c>
      <c r="H804" s="1" t="str">
        <f t="shared" si="74"/>
        <v>May</v>
      </c>
      <c r="I804" s="1" t="str">
        <f t="shared" si="75"/>
        <v>2025</v>
      </c>
      <c r="J804" t="b">
        <v>0</v>
      </c>
      <c r="K804" t="s">
        <v>21</v>
      </c>
      <c r="L804">
        <v>799</v>
      </c>
      <c r="M804">
        <v>17</v>
      </c>
      <c r="N804" t="str">
        <f t="shared" si="76"/>
        <v>Teenagers</v>
      </c>
      <c r="O804" t="s">
        <v>53</v>
      </c>
      <c r="P804" t="s">
        <v>4</v>
      </c>
    </row>
    <row r="805" spans="1:16" x14ac:dyDescent="0.25">
      <c r="A805">
        <v>5031029</v>
      </c>
      <c r="B805" t="s">
        <v>13</v>
      </c>
      <c r="C805" t="s">
        <v>6</v>
      </c>
      <c r="D805">
        <v>2.8</v>
      </c>
      <c r="E805" t="str">
        <f t="shared" si="72"/>
        <v>Good</v>
      </c>
      <c r="F805" s="1">
        <v>45615.335416666669</v>
      </c>
      <c r="G805" s="1" t="str">
        <f t="shared" si="73"/>
        <v>Tuesday</v>
      </c>
      <c r="H805" s="1" t="str">
        <f t="shared" si="74"/>
        <v>November</v>
      </c>
      <c r="I805" s="1" t="str">
        <f t="shared" si="75"/>
        <v>2024</v>
      </c>
      <c r="J805" t="b">
        <v>1</v>
      </c>
      <c r="K805" t="s">
        <v>2</v>
      </c>
      <c r="L805">
        <v>148</v>
      </c>
      <c r="M805">
        <v>63</v>
      </c>
      <c r="N805" t="str">
        <f t="shared" si="76"/>
        <v>Seniors</v>
      </c>
      <c r="O805" t="s">
        <v>72</v>
      </c>
      <c r="P805" t="s">
        <v>9</v>
      </c>
    </row>
    <row r="806" spans="1:16" x14ac:dyDescent="0.25">
      <c r="A806">
        <v>1479281</v>
      </c>
      <c r="B806" t="s">
        <v>30</v>
      </c>
      <c r="C806" t="s">
        <v>31</v>
      </c>
      <c r="D806">
        <v>2.2999999999999998</v>
      </c>
      <c r="E806" t="str">
        <f t="shared" si="72"/>
        <v>Good</v>
      </c>
      <c r="F806" s="1">
        <v>45390.40902777778</v>
      </c>
      <c r="G806" s="1" t="str">
        <f t="shared" si="73"/>
        <v>Monday</v>
      </c>
      <c r="H806" s="1" t="str">
        <f t="shared" si="74"/>
        <v>April</v>
      </c>
      <c r="I806" s="1" t="str">
        <f t="shared" si="75"/>
        <v>2024</v>
      </c>
      <c r="J806" t="b">
        <v>1</v>
      </c>
      <c r="K806" t="s">
        <v>58</v>
      </c>
      <c r="L806">
        <v>654</v>
      </c>
      <c r="M806">
        <v>31</v>
      </c>
      <c r="N806" t="str">
        <f t="shared" si="76"/>
        <v>Adults</v>
      </c>
      <c r="O806" t="s">
        <v>77</v>
      </c>
      <c r="P806" t="s">
        <v>9</v>
      </c>
    </row>
    <row r="807" spans="1:16" x14ac:dyDescent="0.25">
      <c r="A807">
        <v>7524522</v>
      </c>
      <c r="B807" t="s">
        <v>17</v>
      </c>
      <c r="C807" t="s">
        <v>14</v>
      </c>
      <c r="D807">
        <v>4</v>
      </c>
      <c r="E807" t="str">
        <f t="shared" si="72"/>
        <v>Very Good</v>
      </c>
      <c r="F807" s="1">
        <v>45780.554861111108</v>
      </c>
      <c r="G807" s="1" t="str">
        <f t="shared" si="73"/>
        <v>Saturday</v>
      </c>
      <c r="H807" s="1" t="str">
        <f t="shared" si="74"/>
        <v>May</v>
      </c>
      <c r="I807" s="1" t="str">
        <f t="shared" si="75"/>
        <v>2025</v>
      </c>
      <c r="J807" t="b">
        <v>1</v>
      </c>
      <c r="K807" t="s">
        <v>2</v>
      </c>
      <c r="L807">
        <v>211</v>
      </c>
      <c r="M807">
        <v>75</v>
      </c>
      <c r="N807" t="str">
        <f t="shared" si="76"/>
        <v>Seniors</v>
      </c>
      <c r="O807" t="s">
        <v>81</v>
      </c>
      <c r="P807" t="s">
        <v>4</v>
      </c>
    </row>
    <row r="808" spans="1:16" x14ac:dyDescent="0.25">
      <c r="A808">
        <v>4693405</v>
      </c>
      <c r="B808" t="s">
        <v>87</v>
      </c>
      <c r="C808" t="s">
        <v>57</v>
      </c>
      <c r="D808">
        <v>4.0999999999999996</v>
      </c>
      <c r="E808" t="str">
        <f t="shared" si="72"/>
        <v>Excellent</v>
      </c>
      <c r="F808" s="1">
        <v>45159.351388888892</v>
      </c>
      <c r="G808" s="1" t="str">
        <f t="shared" si="73"/>
        <v>Monday</v>
      </c>
      <c r="H808" s="1" t="str">
        <f t="shared" si="74"/>
        <v>August</v>
      </c>
      <c r="I808" s="1" t="str">
        <f t="shared" si="75"/>
        <v>2023</v>
      </c>
      <c r="J808" t="b">
        <v>1</v>
      </c>
      <c r="K808" t="s">
        <v>2</v>
      </c>
      <c r="L808">
        <v>389</v>
      </c>
      <c r="M808">
        <v>42</v>
      </c>
      <c r="N808" t="str">
        <f t="shared" si="76"/>
        <v>Adults</v>
      </c>
      <c r="O808" t="s">
        <v>53</v>
      </c>
      <c r="P808" t="s">
        <v>4</v>
      </c>
    </row>
    <row r="809" spans="1:16" x14ac:dyDescent="0.25">
      <c r="A809">
        <v>3865958</v>
      </c>
      <c r="B809" t="s">
        <v>40</v>
      </c>
      <c r="C809" t="s">
        <v>75</v>
      </c>
      <c r="D809">
        <v>3</v>
      </c>
      <c r="E809" t="str">
        <f t="shared" si="72"/>
        <v>Good</v>
      </c>
      <c r="F809" s="1">
        <v>45786.080555555556</v>
      </c>
      <c r="G809" s="1" t="str">
        <f t="shared" si="73"/>
        <v>Friday</v>
      </c>
      <c r="H809" s="1" t="str">
        <f t="shared" si="74"/>
        <v>May</v>
      </c>
      <c r="I809" s="1" t="str">
        <f t="shared" si="75"/>
        <v>2025</v>
      </c>
      <c r="J809" t="b">
        <v>0</v>
      </c>
      <c r="K809" t="s">
        <v>7</v>
      </c>
      <c r="L809">
        <v>686</v>
      </c>
      <c r="M809">
        <v>75</v>
      </c>
      <c r="N809" t="str">
        <f t="shared" si="76"/>
        <v>Seniors</v>
      </c>
      <c r="O809" t="s">
        <v>66</v>
      </c>
      <c r="P809" t="s">
        <v>9</v>
      </c>
    </row>
    <row r="810" spans="1:16" x14ac:dyDescent="0.25">
      <c r="A810">
        <v>3773793</v>
      </c>
      <c r="B810" t="s">
        <v>79</v>
      </c>
      <c r="C810" t="s">
        <v>11</v>
      </c>
      <c r="D810">
        <v>1.9</v>
      </c>
      <c r="E810" t="str">
        <f t="shared" si="72"/>
        <v>Poor</v>
      </c>
      <c r="F810" s="1">
        <v>45329.447916666664</v>
      </c>
      <c r="G810" s="1" t="str">
        <f t="shared" si="73"/>
        <v>Wednesday</v>
      </c>
      <c r="H810" s="1" t="str">
        <f t="shared" si="74"/>
        <v>February</v>
      </c>
      <c r="I810" s="1" t="str">
        <f t="shared" si="75"/>
        <v>2024</v>
      </c>
      <c r="J810" t="b">
        <v>1</v>
      </c>
      <c r="K810" t="s">
        <v>15</v>
      </c>
      <c r="L810">
        <v>302</v>
      </c>
      <c r="M810">
        <v>38</v>
      </c>
      <c r="N810" t="str">
        <f t="shared" si="76"/>
        <v>Adults</v>
      </c>
      <c r="O810" t="s">
        <v>77</v>
      </c>
      <c r="P810" t="s">
        <v>4</v>
      </c>
    </row>
    <row r="811" spans="1:16" x14ac:dyDescent="0.25">
      <c r="A811">
        <v>4188275</v>
      </c>
      <c r="B811" t="s">
        <v>88</v>
      </c>
      <c r="C811" t="s">
        <v>38</v>
      </c>
      <c r="D811">
        <v>2.6</v>
      </c>
      <c r="E811" t="str">
        <f t="shared" si="72"/>
        <v>Good</v>
      </c>
      <c r="F811" s="1">
        <v>45155.013194444444</v>
      </c>
      <c r="G811" s="1" t="str">
        <f t="shared" si="73"/>
        <v>Thursday</v>
      </c>
      <c r="H811" s="1" t="str">
        <f t="shared" si="74"/>
        <v>August</v>
      </c>
      <c r="I811" s="1" t="str">
        <f t="shared" si="75"/>
        <v>2023</v>
      </c>
      <c r="J811" t="b">
        <v>0</v>
      </c>
      <c r="K811" t="s">
        <v>2</v>
      </c>
      <c r="L811">
        <v>918</v>
      </c>
      <c r="M811">
        <v>24</v>
      </c>
      <c r="N811" t="str">
        <f t="shared" si="76"/>
        <v>Adults</v>
      </c>
      <c r="O811" t="s">
        <v>3</v>
      </c>
      <c r="P811" t="s">
        <v>4</v>
      </c>
    </row>
    <row r="812" spans="1:16" x14ac:dyDescent="0.25">
      <c r="A812">
        <v>9630896</v>
      </c>
      <c r="B812" t="s">
        <v>5</v>
      </c>
      <c r="C812" t="s">
        <v>38</v>
      </c>
      <c r="D812">
        <v>2.8</v>
      </c>
      <c r="E812" t="str">
        <f t="shared" si="72"/>
        <v>Good</v>
      </c>
      <c r="F812" s="1">
        <v>45684.474999999999</v>
      </c>
      <c r="G812" s="1" t="str">
        <f t="shared" si="73"/>
        <v>Monday</v>
      </c>
      <c r="H812" s="1" t="str">
        <f t="shared" si="74"/>
        <v>January</v>
      </c>
      <c r="I812" s="1" t="str">
        <f t="shared" si="75"/>
        <v>2025</v>
      </c>
      <c r="J812" t="b">
        <v>1</v>
      </c>
      <c r="K812" t="s">
        <v>15</v>
      </c>
      <c r="L812">
        <v>669</v>
      </c>
      <c r="M812">
        <v>31</v>
      </c>
      <c r="N812" t="str">
        <f t="shared" si="76"/>
        <v>Adults</v>
      </c>
      <c r="O812" t="s">
        <v>48</v>
      </c>
      <c r="P812" t="s">
        <v>9</v>
      </c>
    </row>
    <row r="813" spans="1:16" x14ac:dyDescent="0.25">
      <c r="A813">
        <v>1721038</v>
      </c>
      <c r="B813" t="s">
        <v>82</v>
      </c>
      <c r="C813" t="s">
        <v>43</v>
      </c>
      <c r="D813">
        <v>4.8</v>
      </c>
      <c r="E813" t="str">
        <f t="shared" si="72"/>
        <v>Excellent</v>
      </c>
      <c r="F813" s="1">
        <v>45851.505555555559</v>
      </c>
      <c r="G813" s="1" t="str">
        <f t="shared" si="73"/>
        <v>Sunday</v>
      </c>
      <c r="H813" s="1" t="str">
        <f t="shared" si="74"/>
        <v>July</v>
      </c>
      <c r="I813" s="1" t="str">
        <f t="shared" si="75"/>
        <v>2025</v>
      </c>
      <c r="J813" t="b">
        <v>1</v>
      </c>
      <c r="K813" t="s">
        <v>58</v>
      </c>
      <c r="L813">
        <v>586</v>
      </c>
      <c r="M813">
        <v>18</v>
      </c>
      <c r="N813" t="str">
        <f t="shared" si="76"/>
        <v>Adults</v>
      </c>
      <c r="O813" t="s">
        <v>77</v>
      </c>
      <c r="P813" t="s">
        <v>9</v>
      </c>
    </row>
    <row r="814" spans="1:16" x14ac:dyDescent="0.25">
      <c r="A814">
        <v>8081554</v>
      </c>
      <c r="B814" t="s">
        <v>76</v>
      </c>
      <c r="C814" t="s">
        <v>11</v>
      </c>
      <c r="D814">
        <v>2.4</v>
      </c>
      <c r="E814" t="str">
        <f t="shared" si="72"/>
        <v>Good</v>
      </c>
      <c r="F814" s="1">
        <v>45312.835416666669</v>
      </c>
      <c r="G814" s="1" t="str">
        <f t="shared" si="73"/>
        <v>Sunday</v>
      </c>
      <c r="H814" s="1" t="str">
        <f t="shared" si="74"/>
        <v>January</v>
      </c>
      <c r="I814" s="1" t="str">
        <f t="shared" si="75"/>
        <v>2024</v>
      </c>
      <c r="J814" t="b">
        <v>1</v>
      </c>
      <c r="K814" t="s">
        <v>7</v>
      </c>
      <c r="L814">
        <v>783</v>
      </c>
      <c r="M814">
        <v>75</v>
      </c>
      <c r="N814" t="str">
        <f t="shared" si="76"/>
        <v>Seniors</v>
      </c>
      <c r="O814" t="s">
        <v>53</v>
      </c>
      <c r="P814" t="s">
        <v>9</v>
      </c>
    </row>
    <row r="815" spans="1:16" x14ac:dyDescent="0.25">
      <c r="A815">
        <v>7821526</v>
      </c>
      <c r="B815" t="s">
        <v>40</v>
      </c>
      <c r="C815" t="s">
        <v>18</v>
      </c>
      <c r="D815">
        <v>1.8</v>
      </c>
      <c r="E815" t="str">
        <f t="shared" si="72"/>
        <v>Poor</v>
      </c>
      <c r="F815" s="1">
        <v>45242.459027777775</v>
      </c>
      <c r="G815" s="1" t="str">
        <f t="shared" si="73"/>
        <v>Sunday</v>
      </c>
      <c r="H815" s="1" t="str">
        <f t="shared" si="74"/>
        <v>November</v>
      </c>
      <c r="I815" s="1" t="str">
        <f t="shared" si="75"/>
        <v>2023</v>
      </c>
      <c r="J815" t="b">
        <v>1</v>
      </c>
      <c r="K815" t="s">
        <v>15</v>
      </c>
      <c r="L815">
        <v>826</v>
      </c>
      <c r="M815">
        <v>31</v>
      </c>
      <c r="N815" t="str">
        <f t="shared" si="76"/>
        <v>Adults</v>
      </c>
      <c r="O815" t="s">
        <v>59</v>
      </c>
      <c r="P815" t="s">
        <v>4</v>
      </c>
    </row>
    <row r="816" spans="1:16" x14ac:dyDescent="0.25">
      <c r="A816">
        <v>2804608</v>
      </c>
      <c r="B816" t="s">
        <v>17</v>
      </c>
      <c r="C816" t="s">
        <v>57</v>
      </c>
      <c r="D816">
        <v>4.9000000000000004</v>
      </c>
      <c r="E816" t="str">
        <f t="shared" si="72"/>
        <v>Excellent</v>
      </c>
      <c r="F816" s="1">
        <v>45643.287499999999</v>
      </c>
      <c r="G816" s="1" t="str">
        <f t="shared" si="73"/>
        <v>Tuesday</v>
      </c>
      <c r="H816" s="1" t="str">
        <f t="shared" si="74"/>
        <v>December</v>
      </c>
      <c r="I816" s="1" t="str">
        <f t="shared" si="75"/>
        <v>2024</v>
      </c>
      <c r="J816" t="b">
        <v>1</v>
      </c>
      <c r="K816" t="s">
        <v>21</v>
      </c>
      <c r="L816">
        <v>1148</v>
      </c>
      <c r="M816">
        <v>19</v>
      </c>
      <c r="N816" t="str">
        <f t="shared" si="76"/>
        <v>Adults</v>
      </c>
      <c r="O816" t="s">
        <v>12</v>
      </c>
      <c r="P816" t="s">
        <v>9</v>
      </c>
    </row>
    <row r="817" spans="1:16" x14ac:dyDescent="0.25">
      <c r="A817">
        <v>2104878</v>
      </c>
      <c r="B817" t="s">
        <v>28</v>
      </c>
      <c r="C817" t="s">
        <v>1</v>
      </c>
      <c r="D817">
        <v>5</v>
      </c>
      <c r="E817" t="str">
        <f t="shared" si="72"/>
        <v>Excellent</v>
      </c>
      <c r="F817" s="1">
        <v>45396.586805555555</v>
      </c>
      <c r="G817" s="1" t="str">
        <f t="shared" si="73"/>
        <v>Sunday</v>
      </c>
      <c r="H817" s="1" t="str">
        <f t="shared" si="74"/>
        <v>April</v>
      </c>
      <c r="I817" s="1" t="str">
        <f t="shared" si="75"/>
        <v>2024</v>
      </c>
      <c r="J817" t="b">
        <v>1</v>
      </c>
      <c r="K817" t="s">
        <v>7</v>
      </c>
      <c r="L817">
        <v>899</v>
      </c>
      <c r="M817">
        <v>27</v>
      </c>
      <c r="N817" t="str">
        <f t="shared" si="76"/>
        <v>Adults</v>
      </c>
      <c r="O817" t="s">
        <v>48</v>
      </c>
      <c r="P817" t="s">
        <v>4</v>
      </c>
    </row>
    <row r="818" spans="1:16" x14ac:dyDescent="0.25">
      <c r="A818">
        <v>1679766</v>
      </c>
      <c r="B818" t="s">
        <v>61</v>
      </c>
      <c r="C818" t="s">
        <v>11</v>
      </c>
      <c r="D818">
        <v>3.3</v>
      </c>
      <c r="E818" t="str">
        <f t="shared" si="72"/>
        <v>Very Good</v>
      </c>
      <c r="F818" s="1">
        <v>45722.829861111109</v>
      </c>
      <c r="G818" s="1" t="str">
        <f t="shared" si="73"/>
        <v>Thursday</v>
      </c>
      <c r="H818" s="1" t="str">
        <f t="shared" si="74"/>
        <v>March</v>
      </c>
      <c r="I818" s="1" t="str">
        <f t="shared" si="75"/>
        <v>2025</v>
      </c>
      <c r="J818" t="b">
        <v>1</v>
      </c>
      <c r="K818" t="s">
        <v>7</v>
      </c>
      <c r="L818">
        <v>1000</v>
      </c>
      <c r="M818">
        <v>30</v>
      </c>
      <c r="N818" t="str">
        <f t="shared" ref="N818:N848" si="77">IF(M818&lt;=17,"Teenagers", IF(AND(M818&gt;=18,M818&lt;61),"Adults",IF(M818&gt;60,"Seniors")))</f>
        <v>Adults</v>
      </c>
      <c r="O818" t="s">
        <v>77</v>
      </c>
      <c r="P818" t="s">
        <v>9</v>
      </c>
    </row>
    <row r="819" spans="1:16" x14ac:dyDescent="0.25">
      <c r="A819">
        <v>6360367</v>
      </c>
      <c r="B819" t="s">
        <v>10</v>
      </c>
      <c r="C819" t="s">
        <v>6</v>
      </c>
      <c r="D819">
        <v>1.5</v>
      </c>
      <c r="E819" t="str">
        <f t="shared" si="72"/>
        <v>Poor</v>
      </c>
      <c r="F819" s="1">
        <v>45213.047222222223</v>
      </c>
      <c r="G819" s="1" t="str">
        <f t="shared" si="73"/>
        <v>Saturday</v>
      </c>
      <c r="H819" s="1" t="str">
        <f t="shared" si="74"/>
        <v>October</v>
      </c>
      <c r="I819" s="1" t="str">
        <f t="shared" si="75"/>
        <v>2023</v>
      </c>
      <c r="J819" t="b">
        <v>1</v>
      </c>
      <c r="K819" t="s">
        <v>21</v>
      </c>
      <c r="L819">
        <v>387</v>
      </c>
      <c r="M819">
        <v>64</v>
      </c>
      <c r="N819" t="str">
        <f t="shared" si="77"/>
        <v>Seniors</v>
      </c>
      <c r="O819" t="s">
        <v>22</v>
      </c>
      <c r="P819" t="s">
        <v>4</v>
      </c>
    </row>
    <row r="820" spans="1:16" x14ac:dyDescent="0.25">
      <c r="A820">
        <v>3340681</v>
      </c>
      <c r="B820" t="s">
        <v>64</v>
      </c>
      <c r="C820" t="s">
        <v>1</v>
      </c>
      <c r="D820">
        <v>3.2</v>
      </c>
      <c r="E820" t="str">
        <f t="shared" si="72"/>
        <v>Very Good</v>
      </c>
      <c r="F820" s="1">
        <v>45607.632638888892</v>
      </c>
      <c r="G820" s="1" t="str">
        <f t="shared" si="73"/>
        <v>Monday</v>
      </c>
      <c r="H820" s="1" t="str">
        <f t="shared" si="74"/>
        <v>November</v>
      </c>
      <c r="I820" s="1" t="str">
        <f t="shared" si="75"/>
        <v>2024</v>
      </c>
      <c r="J820" t="b">
        <v>1</v>
      </c>
      <c r="K820" t="s">
        <v>21</v>
      </c>
      <c r="L820">
        <v>453</v>
      </c>
      <c r="M820">
        <v>25</v>
      </c>
      <c r="N820" t="str">
        <f t="shared" si="77"/>
        <v>Adults</v>
      </c>
      <c r="O820" t="s">
        <v>68</v>
      </c>
      <c r="P820" t="s">
        <v>9</v>
      </c>
    </row>
    <row r="821" spans="1:16" x14ac:dyDescent="0.25">
      <c r="A821">
        <v>4117327</v>
      </c>
      <c r="B821" t="s">
        <v>76</v>
      </c>
      <c r="C821" t="s">
        <v>31</v>
      </c>
      <c r="D821">
        <v>4.9000000000000004</v>
      </c>
      <c r="E821" t="str">
        <f t="shared" si="72"/>
        <v>Excellent</v>
      </c>
      <c r="F821" s="1">
        <v>45773.915277777778</v>
      </c>
      <c r="G821" s="1" t="str">
        <f t="shared" si="73"/>
        <v>Saturday</v>
      </c>
      <c r="H821" s="1" t="str">
        <f t="shared" si="74"/>
        <v>April</v>
      </c>
      <c r="I821" s="1" t="str">
        <f t="shared" si="75"/>
        <v>2025</v>
      </c>
      <c r="J821" t="b">
        <v>1</v>
      </c>
      <c r="K821" t="s">
        <v>58</v>
      </c>
      <c r="L821">
        <v>1076</v>
      </c>
      <c r="M821">
        <v>56</v>
      </c>
      <c r="N821" t="str">
        <f t="shared" si="77"/>
        <v>Adults</v>
      </c>
      <c r="O821" t="s">
        <v>42</v>
      </c>
      <c r="P821" t="s">
        <v>9</v>
      </c>
    </row>
    <row r="822" spans="1:16" x14ac:dyDescent="0.25">
      <c r="A822">
        <v>9545517</v>
      </c>
      <c r="B822" t="s">
        <v>60</v>
      </c>
      <c r="C822" t="s">
        <v>38</v>
      </c>
      <c r="D822">
        <v>4.4000000000000004</v>
      </c>
      <c r="E822" t="str">
        <f t="shared" si="72"/>
        <v>Excellent</v>
      </c>
      <c r="F822" s="1">
        <v>45219.904166666667</v>
      </c>
      <c r="G822" s="1" t="str">
        <f t="shared" si="73"/>
        <v>Friday</v>
      </c>
      <c r="H822" s="1" t="str">
        <f t="shared" si="74"/>
        <v>October</v>
      </c>
      <c r="I822" s="1" t="str">
        <f t="shared" si="75"/>
        <v>2023</v>
      </c>
      <c r="J822" t="b">
        <v>1</v>
      </c>
      <c r="K822" t="s">
        <v>15</v>
      </c>
      <c r="L822">
        <v>473</v>
      </c>
      <c r="M822">
        <v>20</v>
      </c>
      <c r="N822" t="str">
        <f t="shared" si="77"/>
        <v>Adults</v>
      </c>
      <c r="O822" t="s">
        <v>8</v>
      </c>
      <c r="P822" t="s">
        <v>9</v>
      </c>
    </row>
    <row r="823" spans="1:16" x14ac:dyDescent="0.25">
      <c r="A823">
        <v>6623126</v>
      </c>
      <c r="B823" t="s">
        <v>23</v>
      </c>
      <c r="C823" t="s">
        <v>75</v>
      </c>
      <c r="D823">
        <v>2.5</v>
      </c>
      <c r="E823" t="str">
        <f t="shared" si="72"/>
        <v>Good</v>
      </c>
      <c r="F823" s="1">
        <v>45719.751388888886</v>
      </c>
      <c r="G823" s="1" t="str">
        <f t="shared" si="73"/>
        <v>Monday</v>
      </c>
      <c r="H823" s="1" t="str">
        <f t="shared" si="74"/>
        <v>March</v>
      </c>
      <c r="I823" s="1" t="str">
        <f t="shared" si="75"/>
        <v>2025</v>
      </c>
      <c r="J823" t="b">
        <v>1</v>
      </c>
      <c r="K823" t="s">
        <v>2</v>
      </c>
      <c r="L823">
        <v>885</v>
      </c>
      <c r="M823">
        <v>28</v>
      </c>
      <c r="N823" t="str">
        <f t="shared" si="77"/>
        <v>Adults</v>
      </c>
      <c r="O823" t="s">
        <v>77</v>
      </c>
      <c r="P823" t="s">
        <v>4</v>
      </c>
    </row>
    <row r="824" spans="1:16" x14ac:dyDescent="0.25">
      <c r="A824">
        <v>9063934</v>
      </c>
      <c r="B824" t="s">
        <v>73</v>
      </c>
      <c r="C824" t="s">
        <v>57</v>
      </c>
      <c r="D824">
        <v>4.5</v>
      </c>
      <c r="E824" t="str">
        <f t="shared" si="72"/>
        <v>Excellent</v>
      </c>
      <c r="F824" s="1">
        <v>45160.597222222219</v>
      </c>
      <c r="G824" s="1" t="str">
        <f t="shared" si="73"/>
        <v>Tuesday</v>
      </c>
      <c r="H824" s="1" t="str">
        <f t="shared" si="74"/>
        <v>August</v>
      </c>
      <c r="I824" s="1" t="str">
        <f t="shared" si="75"/>
        <v>2023</v>
      </c>
      <c r="J824" t="b">
        <v>1</v>
      </c>
      <c r="K824" t="s">
        <v>58</v>
      </c>
      <c r="L824">
        <v>191</v>
      </c>
      <c r="M824">
        <v>17</v>
      </c>
      <c r="N824" t="str">
        <f t="shared" si="77"/>
        <v>Teenagers</v>
      </c>
      <c r="O824" t="s">
        <v>86</v>
      </c>
      <c r="P824" t="s">
        <v>4</v>
      </c>
    </row>
    <row r="825" spans="1:16" x14ac:dyDescent="0.25">
      <c r="A825">
        <v>6001647</v>
      </c>
      <c r="B825" t="s">
        <v>32</v>
      </c>
      <c r="C825" t="s">
        <v>26</v>
      </c>
      <c r="D825">
        <v>1.1000000000000001</v>
      </c>
      <c r="E825" t="str">
        <f t="shared" si="72"/>
        <v>Poor</v>
      </c>
      <c r="F825" s="1">
        <v>45681.949305555558</v>
      </c>
      <c r="G825" s="1" t="str">
        <f t="shared" si="73"/>
        <v>Friday</v>
      </c>
      <c r="H825" s="1" t="str">
        <f t="shared" si="74"/>
        <v>January</v>
      </c>
      <c r="I825" s="1" t="str">
        <f t="shared" si="75"/>
        <v>2025</v>
      </c>
      <c r="J825" t="b">
        <v>1</v>
      </c>
      <c r="K825" t="s">
        <v>58</v>
      </c>
      <c r="L825">
        <v>422</v>
      </c>
      <c r="M825">
        <v>54</v>
      </c>
      <c r="N825" t="str">
        <f t="shared" si="77"/>
        <v>Adults</v>
      </c>
      <c r="O825" t="s">
        <v>16</v>
      </c>
      <c r="P825" t="s">
        <v>9</v>
      </c>
    </row>
    <row r="826" spans="1:16" x14ac:dyDescent="0.25">
      <c r="A826">
        <v>3698598</v>
      </c>
      <c r="B826" t="s">
        <v>25</v>
      </c>
      <c r="C826" t="s">
        <v>14</v>
      </c>
      <c r="D826">
        <v>4.8</v>
      </c>
      <c r="E826" t="str">
        <f t="shared" si="72"/>
        <v>Excellent</v>
      </c>
      <c r="F826" s="1">
        <v>45215.502083333333</v>
      </c>
      <c r="G826" s="1" t="str">
        <f t="shared" si="73"/>
        <v>Monday</v>
      </c>
      <c r="H826" s="1" t="str">
        <f t="shared" si="74"/>
        <v>October</v>
      </c>
      <c r="I826" s="1" t="str">
        <f t="shared" si="75"/>
        <v>2023</v>
      </c>
      <c r="J826" t="b">
        <v>1</v>
      </c>
      <c r="K826" t="s">
        <v>2</v>
      </c>
      <c r="L826">
        <v>531</v>
      </c>
      <c r="M826">
        <v>13</v>
      </c>
      <c r="N826" t="str">
        <f t="shared" si="77"/>
        <v>Teenagers</v>
      </c>
      <c r="O826" t="s">
        <v>66</v>
      </c>
      <c r="P826" t="s">
        <v>9</v>
      </c>
    </row>
    <row r="827" spans="1:16" x14ac:dyDescent="0.25">
      <c r="A827">
        <v>3215619</v>
      </c>
      <c r="B827" t="s">
        <v>56</v>
      </c>
      <c r="C827" t="s">
        <v>20</v>
      </c>
      <c r="D827">
        <v>1.3</v>
      </c>
      <c r="E827" t="str">
        <f t="shared" si="72"/>
        <v>Poor</v>
      </c>
      <c r="F827" s="1">
        <v>45831.991666666669</v>
      </c>
      <c r="G827" s="1" t="str">
        <f t="shared" si="73"/>
        <v>Monday</v>
      </c>
      <c r="H827" s="1" t="str">
        <f t="shared" si="74"/>
        <v>June</v>
      </c>
      <c r="I827" s="1" t="str">
        <f t="shared" si="75"/>
        <v>2025</v>
      </c>
      <c r="J827" t="b">
        <v>1</v>
      </c>
      <c r="K827" t="s">
        <v>2</v>
      </c>
      <c r="L827">
        <v>573</v>
      </c>
      <c r="M827">
        <v>26</v>
      </c>
      <c r="N827" t="str">
        <f t="shared" si="77"/>
        <v>Adults</v>
      </c>
      <c r="O827" t="s">
        <v>86</v>
      </c>
      <c r="P827" t="s">
        <v>4</v>
      </c>
    </row>
    <row r="828" spans="1:16" x14ac:dyDescent="0.25">
      <c r="A828">
        <v>5473918</v>
      </c>
      <c r="B828" t="s">
        <v>32</v>
      </c>
      <c r="C828" t="s">
        <v>18</v>
      </c>
      <c r="D828">
        <v>1.5</v>
      </c>
      <c r="E828" t="str">
        <f t="shared" si="72"/>
        <v>Poor</v>
      </c>
      <c r="F828" s="1">
        <v>45195.55</v>
      </c>
      <c r="G828" s="1" t="str">
        <f t="shared" si="73"/>
        <v>Tuesday</v>
      </c>
      <c r="H828" s="1" t="str">
        <f t="shared" si="74"/>
        <v>September</v>
      </c>
      <c r="I828" s="1" t="str">
        <f t="shared" si="75"/>
        <v>2023</v>
      </c>
      <c r="J828" t="b">
        <v>0</v>
      </c>
      <c r="K828" t="s">
        <v>58</v>
      </c>
      <c r="L828">
        <v>871</v>
      </c>
      <c r="M828">
        <v>70</v>
      </c>
      <c r="N828" t="str">
        <f t="shared" si="77"/>
        <v>Seniors</v>
      </c>
      <c r="O828" t="s">
        <v>65</v>
      </c>
      <c r="P828" t="s">
        <v>4</v>
      </c>
    </row>
    <row r="829" spans="1:16" x14ac:dyDescent="0.25">
      <c r="A829">
        <v>3515979</v>
      </c>
      <c r="B829" t="s">
        <v>74</v>
      </c>
      <c r="C829" t="s">
        <v>57</v>
      </c>
      <c r="D829">
        <v>4.7</v>
      </c>
      <c r="E829" t="str">
        <f t="shared" si="72"/>
        <v>Excellent</v>
      </c>
      <c r="F829" s="1">
        <v>45523.569444444445</v>
      </c>
      <c r="G829" s="1" t="str">
        <f t="shared" si="73"/>
        <v>Monday</v>
      </c>
      <c r="H829" s="1" t="str">
        <f t="shared" si="74"/>
        <v>August</v>
      </c>
      <c r="I829" s="1" t="str">
        <f t="shared" si="75"/>
        <v>2024</v>
      </c>
      <c r="J829" t="b">
        <v>1</v>
      </c>
      <c r="K829" t="s">
        <v>2</v>
      </c>
      <c r="L829">
        <v>800</v>
      </c>
      <c r="M829">
        <v>33</v>
      </c>
      <c r="N829" t="str">
        <f t="shared" si="77"/>
        <v>Adults</v>
      </c>
      <c r="O829" t="s">
        <v>81</v>
      </c>
      <c r="P829" t="s">
        <v>9</v>
      </c>
    </row>
    <row r="830" spans="1:16" x14ac:dyDescent="0.25">
      <c r="A830">
        <v>2051710</v>
      </c>
      <c r="B830" t="s">
        <v>82</v>
      </c>
      <c r="C830" t="s">
        <v>47</v>
      </c>
      <c r="D830">
        <v>4.9000000000000004</v>
      </c>
      <c r="E830" t="str">
        <f t="shared" si="72"/>
        <v>Excellent</v>
      </c>
      <c r="F830" s="1">
        <v>45441.734722222223</v>
      </c>
      <c r="G830" s="1" t="str">
        <f t="shared" si="73"/>
        <v>Wednesday</v>
      </c>
      <c r="H830" s="1" t="str">
        <f t="shared" si="74"/>
        <v>May</v>
      </c>
      <c r="I830" s="1" t="str">
        <f t="shared" si="75"/>
        <v>2024</v>
      </c>
      <c r="J830" t="b">
        <v>1</v>
      </c>
      <c r="K830" t="s">
        <v>21</v>
      </c>
      <c r="L830">
        <v>438</v>
      </c>
      <c r="M830">
        <v>43</v>
      </c>
      <c r="N830" t="str">
        <f t="shared" si="77"/>
        <v>Adults</v>
      </c>
      <c r="O830" t="s">
        <v>66</v>
      </c>
      <c r="P830" t="s">
        <v>9</v>
      </c>
    </row>
    <row r="831" spans="1:16" x14ac:dyDescent="0.25">
      <c r="A831">
        <v>4230100</v>
      </c>
      <c r="B831" t="s">
        <v>60</v>
      </c>
      <c r="C831" t="s">
        <v>29</v>
      </c>
      <c r="D831">
        <v>1.2</v>
      </c>
      <c r="E831" t="str">
        <f t="shared" si="72"/>
        <v>Poor</v>
      </c>
      <c r="F831" s="1">
        <v>45679.478472222225</v>
      </c>
      <c r="G831" s="1" t="str">
        <f t="shared" si="73"/>
        <v>Wednesday</v>
      </c>
      <c r="H831" s="1" t="str">
        <f t="shared" si="74"/>
        <v>January</v>
      </c>
      <c r="I831" s="1" t="str">
        <f t="shared" si="75"/>
        <v>2025</v>
      </c>
      <c r="J831" t="b">
        <v>0</v>
      </c>
      <c r="K831" t="s">
        <v>21</v>
      </c>
      <c r="L831">
        <v>412</v>
      </c>
      <c r="M831">
        <v>18</v>
      </c>
      <c r="N831" t="str">
        <f t="shared" si="77"/>
        <v>Adults</v>
      </c>
      <c r="O831" t="s">
        <v>48</v>
      </c>
      <c r="P831" t="s">
        <v>4</v>
      </c>
    </row>
    <row r="832" spans="1:16" x14ac:dyDescent="0.25">
      <c r="A832">
        <v>7635120</v>
      </c>
      <c r="B832" t="s">
        <v>28</v>
      </c>
      <c r="C832" t="s">
        <v>20</v>
      </c>
      <c r="D832">
        <v>3</v>
      </c>
      <c r="E832" t="str">
        <f t="shared" si="72"/>
        <v>Good</v>
      </c>
      <c r="F832" s="1">
        <v>45238.988194444442</v>
      </c>
      <c r="G832" s="1" t="str">
        <f t="shared" si="73"/>
        <v>Wednesday</v>
      </c>
      <c r="H832" s="1" t="str">
        <f t="shared" si="74"/>
        <v>November</v>
      </c>
      <c r="I832" s="1" t="str">
        <f t="shared" si="75"/>
        <v>2023</v>
      </c>
      <c r="J832" t="b">
        <v>0</v>
      </c>
      <c r="K832" t="s">
        <v>7</v>
      </c>
      <c r="L832">
        <v>4</v>
      </c>
      <c r="M832">
        <v>65</v>
      </c>
      <c r="N832" t="str">
        <f t="shared" si="77"/>
        <v>Seniors</v>
      </c>
      <c r="O832" t="s">
        <v>37</v>
      </c>
      <c r="P832" t="s">
        <v>4</v>
      </c>
    </row>
    <row r="833" spans="1:16" x14ac:dyDescent="0.25">
      <c r="A833">
        <v>8296287</v>
      </c>
      <c r="B833" t="s">
        <v>79</v>
      </c>
      <c r="C833" t="s">
        <v>18</v>
      </c>
      <c r="D833">
        <v>3</v>
      </c>
      <c r="E833" t="str">
        <f t="shared" si="72"/>
        <v>Good</v>
      </c>
      <c r="F833" s="1">
        <v>45190.530555555553</v>
      </c>
      <c r="G833" s="1" t="str">
        <f t="shared" si="73"/>
        <v>Thursday</v>
      </c>
      <c r="H833" s="1" t="str">
        <f t="shared" si="74"/>
        <v>September</v>
      </c>
      <c r="I833" s="1" t="str">
        <f t="shared" si="75"/>
        <v>2023</v>
      </c>
      <c r="J833" t="b">
        <v>1</v>
      </c>
      <c r="K833" t="s">
        <v>21</v>
      </c>
      <c r="L833">
        <v>458</v>
      </c>
      <c r="M833">
        <v>38</v>
      </c>
      <c r="N833" t="str">
        <f t="shared" si="77"/>
        <v>Adults</v>
      </c>
      <c r="O833" t="s">
        <v>65</v>
      </c>
      <c r="P833" t="s">
        <v>4</v>
      </c>
    </row>
    <row r="834" spans="1:16" x14ac:dyDescent="0.25">
      <c r="A834">
        <v>9108353</v>
      </c>
      <c r="B834" t="s">
        <v>0</v>
      </c>
      <c r="C834" t="s">
        <v>1</v>
      </c>
      <c r="D834">
        <v>1.4</v>
      </c>
      <c r="E834" t="str">
        <f t="shared" ref="E834:E897" si="78">IF(D834&lt;2,"Poor",IF(AND(D834&gt;=2,D834&lt;=3),"Good",IF(AND(D834&gt;3,D834&lt;=4),"Very Good",IF(D834&gt;4,"Excellent"))))</f>
        <v>Poor</v>
      </c>
      <c r="F834" s="1">
        <v>45393.160416666666</v>
      </c>
      <c r="G834" s="1" t="str">
        <f t="shared" ref="G834:G897" si="79">TEXT(F834,"DDDD")</f>
        <v>Thursday</v>
      </c>
      <c r="H834" s="1" t="str">
        <f t="shared" ref="H834:H897" si="80">TEXT(F834,"MMMM")</f>
        <v>April</v>
      </c>
      <c r="I834" s="1" t="str">
        <f t="shared" ref="I834:I897" si="81">TEXT(F834,"YYYY")</f>
        <v>2024</v>
      </c>
      <c r="J834" t="b">
        <v>1</v>
      </c>
      <c r="K834" t="s">
        <v>58</v>
      </c>
      <c r="L834">
        <v>490</v>
      </c>
      <c r="M834">
        <v>54</v>
      </c>
      <c r="N834" t="str">
        <f t="shared" si="77"/>
        <v>Adults</v>
      </c>
      <c r="O834" t="s">
        <v>68</v>
      </c>
      <c r="P834" t="s">
        <v>9</v>
      </c>
    </row>
    <row r="835" spans="1:16" x14ac:dyDescent="0.25">
      <c r="A835">
        <v>4403341</v>
      </c>
      <c r="B835" t="s">
        <v>54</v>
      </c>
      <c r="C835" t="s">
        <v>63</v>
      </c>
      <c r="D835">
        <v>1.6</v>
      </c>
      <c r="E835" t="str">
        <f t="shared" si="78"/>
        <v>Poor</v>
      </c>
      <c r="F835" s="1">
        <v>45826.743750000001</v>
      </c>
      <c r="G835" s="1" t="str">
        <f t="shared" si="79"/>
        <v>Wednesday</v>
      </c>
      <c r="H835" s="1" t="str">
        <f t="shared" si="80"/>
        <v>June</v>
      </c>
      <c r="I835" s="1" t="str">
        <f t="shared" si="81"/>
        <v>2025</v>
      </c>
      <c r="J835" t="b">
        <v>1</v>
      </c>
      <c r="K835" t="s">
        <v>15</v>
      </c>
      <c r="L835">
        <v>371</v>
      </c>
      <c r="M835">
        <v>27</v>
      </c>
      <c r="N835" t="str">
        <f t="shared" si="77"/>
        <v>Adults</v>
      </c>
      <c r="O835" t="s">
        <v>39</v>
      </c>
      <c r="P835" t="s">
        <v>9</v>
      </c>
    </row>
    <row r="836" spans="1:16" x14ac:dyDescent="0.25">
      <c r="A836">
        <v>1502709</v>
      </c>
      <c r="B836" t="s">
        <v>28</v>
      </c>
      <c r="C836" t="s">
        <v>29</v>
      </c>
      <c r="D836">
        <v>2.8</v>
      </c>
      <c r="E836" t="str">
        <f t="shared" si="78"/>
        <v>Good</v>
      </c>
      <c r="F836" s="1">
        <v>45731.161111111112</v>
      </c>
      <c r="G836" s="1" t="str">
        <f t="shared" si="79"/>
        <v>Saturday</v>
      </c>
      <c r="H836" s="1" t="str">
        <f t="shared" si="80"/>
        <v>March</v>
      </c>
      <c r="I836" s="1" t="str">
        <f t="shared" si="81"/>
        <v>2025</v>
      </c>
      <c r="J836" t="b">
        <v>0</v>
      </c>
      <c r="K836" t="s">
        <v>7</v>
      </c>
      <c r="L836">
        <v>218</v>
      </c>
      <c r="M836">
        <v>52</v>
      </c>
      <c r="N836" t="str">
        <f t="shared" si="77"/>
        <v>Adults</v>
      </c>
      <c r="O836" t="s">
        <v>12</v>
      </c>
      <c r="P836" t="s">
        <v>9</v>
      </c>
    </row>
    <row r="837" spans="1:16" x14ac:dyDescent="0.25">
      <c r="A837">
        <v>3270380</v>
      </c>
      <c r="B837" t="s">
        <v>61</v>
      </c>
      <c r="C837" t="s">
        <v>36</v>
      </c>
      <c r="D837">
        <v>3.1</v>
      </c>
      <c r="E837" t="str">
        <f t="shared" si="78"/>
        <v>Very Good</v>
      </c>
      <c r="F837" s="1">
        <v>45399.770138888889</v>
      </c>
      <c r="G837" s="1" t="str">
        <f t="shared" si="79"/>
        <v>Wednesday</v>
      </c>
      <c r="H837" s="1" t="str">
        <f t="shared" si="80"/>
        <v>April</v>
      </c>
      <c r="I837" s="1" t="str">
        <f t="shared" si="81"/>
        <v>2024</v>
      </c>
      <c r="J837" t="b">
        <v>0</v>
      </c>
      <c r="K837" t="s">
        <v>15</v>
      </c>
      <c r="L837">
        <v>540</v>
      </c>
      <c r="M837">
        <v>48</v>
      </c>
      <c r="N837" t="str">
        <f t="shared" si="77"/>
        <v>Adults</v>
      </c>
      <c r="O837" t="s">
        <v>27</v>
      </c>
      <c r="P837" t="s">
        <v>9</v>
      </c>
    </row>
    <row r="838" spans="1:16" x14ac:dyDescent="0.25">
      <c r="A838">
        <v>1264051</v>
      </c>
      <c r="B838" t="s">
        <v>40</v>
      </c>
      <c r="C838" t="s">
        <v>85</v>
      </c>
      <c r="D838">
        <v>3.6</v>
      </c>
      <c r="E838" t="str">
        <f t="shared" si="78"/>
        <v>Very Good</v>
      </c>
      <c r="F838" s="1">
        <v>45793.98333333333</v>
      </c>
      <c r="G838" s="1" t="str">
        <f t="shared" si="79"/>
        <v>Friday</v>
      </c>
      <c r="H838" s="1" t="str">
        <f t="shared" si="80"/>
        <v>May</v>
      </c>
      <c r="I838" s="1" t="str">
        <f t="shared" si="81"/>
        <v>2025</v>
      </c>
      <c r="J838" t="b">
        <v>1</v>
      </c>
      <c r="K838" t="s">
        <v>2</v>
      </c>
      <c r="L838">
        <v>436</v>
      </c>
      <c r="M838">
        <v>61</v>
      </c>
      <c r="N838" t="str">
        <f t="shared" si="77"/>
        <v>Seniors</v>
      </c>
      <c r="O838" t="s">
        <v>12</v>
      </c>
      <c r="P838" t="s">
        <v>9</v>
      </c>
    </row>
    <row r="839" spans="1:16" x14ac:dyDescent="0.25">
      <c r="A839">
        <v>6495699</v>
      </c>
      <c r="B839" t="s">
        <v>28</v>
      </c>
      <c r="C839" t="s">
        <v>63</v>
      </c>
      <c r="D839">
        <v>4.8</v>
      </c>
      <c r="E839" t="str">
        <f t="shared" si="78"/>
        <v>Excellent</v>
      </c>
      <c r="F839" s="1">
        <v>45231.806944444441</v>
      </c>
      <c r="G839" s="1" t="str">
        <f t="shared" si="79"/>
        <v>Wednesday</v>
      </c>
      <c r="H839" s="1" t="str">
        <f t="shared" si="80"/>
        <v>November</v>
      </c>
      <c r="I839" s="1" t="str">
        <f t="shared" si="81"/>
        <v>2023</v>
      </c>
      <c r="J839" t="b">
        <v>1</v>
      </c>
      <c r="K839" t="s">
        <v>15</v>
      </c>
      <c r="L839">
        <v>1178</v>
      </c>
      <c r="M839">
        <v>55</v>
      </c>
      <c r="N839" t="str">
        <f t="shared" si="77"/>
        <v>Adults</v>
      </c>
      <c r="O839" t="s">
        <v>72</v>
      </c>
      <c r="P839" t="s">
        <v>9</v>
      </c>
    </row>
    <row r="840" spans="1:16" x14ac:dyDescent="0.25">
      <c r="A840">
        <v>6576923</v>
      </c>
      <c r="B840" t="s">
        <v>69</v>
      </c>
      <c r="C840" t="s">
        <v>14</v>
      </c>
      <c r="D840">
        <v>3.2</v>
      </c>
      <c r="E840" t="str">
        <f t="shared" si="78"/>
        <v>Very Good</v>
      </c>
      <c r="F840" s="1">
        <v>45263.399305555555</v>
      </c>
      <c r="G840" s="1" t="str">
        <f t="shared" si="79"/>
        <v>Sunday</v>
      </c>
      <c r="H840" s="1" t="str">
        <f t="shared" si="80"/>
        <v>December</v>
      </c>
      <c r="I840" s="1" t="str">
        <f t="shared" si="81"/>
        <v>2023</v>
      </c>
      <c r="J840" t="b">
        <v>1</v>
      </c>
      <c r="K840" t="s">
        <v>2</v>
      </c>
      <c r="L840">
        <v>980</v>
      </c>
      <c r="M840">
        <v>14</v>
      </c>
      <c r="N840" t="str">
        <f t="shared" si="77"/>
        <v>Teenagers</v>
      </c>
      <c r="O840" t="s">
        <v>19</v>
      </c>
      <c r="P840" t="s">
        <v>9</v>
      </c>
    </row>
    <row r="841" spans="1:16" x14ac:dyDescent="0.25">
      <c r="A841">
        <v>451266</v>
      </c>
      <c r="B841" t="s">
        <v>51</v>
      </c>
      <c r="C841" t="s">
        <v>26</v>
      </c>
      <c r="D841">
        <v>4.4000000000000004</v>
      </c>
      <c r="E841" t="str">
        <f t="shared" si="78"/>
        <v>Excellent</v>
      </c>
      <c r="F841" s="1">
        <v>45474.217361111114</v>
      </c>
      <c r="G841" s="1" t="str">
        <f t="shared" si="79"/>
        <v>Monday</v>
      </c>
      <c r="H841" s="1" t="str">
        <f t="shared" si="80"/>
        <v>July</v>
      </c>
      <c r="I841" s="1" t="str">
        <f t="shared" si="81"/>
        <v>2024</v>
      </c>
      <c r="J841" t="b">
        <v>1</v>
      </c>
      <c r="K841" t="s">
        <v>7</v>
      </c>
      <c r="L841">
        <v>946</v>
      </c>
      <c r="M841">
        <v>37</v>
      </c>
      <c r="N841" t="str">
        <f t="shared" si="77"/>
        <v>Adults</v>
      </c>
      <c r="O841" t="s">
        <v>50</v>
      </c>
      <c r="P841" t="s">
        <v>4</v>
      </c>
    </row>
    <row r="842" spans="1:16" x14ac:dyDescent="0.25">
      <c r="A842">
        <v>7547286</v>
      </c>
      <c r="B842" t="s">
        <v>89</v>
      </c>
      <c r="C842" t="s">
        <v>36</v>
      </c>
      <c r="D842">
        <v>3.6</v>
      </c>
      <c r="E842" t="str">
        <f t="shared" si="78"/>
        <v>Very Good</v>
      </c>
      <c r="F842" s="1">
        <v>45440.590277777781</v>
      </c>
      <c r="G842" s="1" t="str">
        <f t="shared" si="79"/>
        <v>Tuesday</v>
      </c>
      <c r="H842" s="1" t="str">
        <f t="shared" si="80"/>
        <v>May</v>
      </c>
      <c r="I842" s="1" t="str">
        <f t="shared" si="81"/>
        <v>2024</v>
      </c>
      <c r="J842" t="b">
        <v>1</v>
      </c>
      <c r="K842" t="s">
        <v>15</v>
      </c>
      <c r="L842">
        <v>207</v>
      </c>
      <c r="M842">
        <v>53</v>
      </c>
      <c r="N842" t="str">
        <f t="shared" si="77"/>
        <v>Adults</v>
      </c>
      <c r="O842" t="s">
        <v>16</v>
      </c>
      <c r="P842" t="s">
        <v>4</v>
      </c>
    </row>
    <row r="843" spans="1:16" x14ac:dyDescent="0.25">
      <c r="A843">
        <v>8070642</v>
      </c>
      <c r="B843" t="s">
        <v>83</v>
      </c>
      <c r="C843" t="s">
        <v>36</v>
      </c>
      <c r="D843">
        <v>5</v>
      </c>
      <c r="E843" t="str">
        <f t="shared" si="78"/>
        <v>Excellent</v>
      </c>
      <c r="F843" s="1">
        <v>45401.892361111109</v>
      </c>
      <c r="G843" s="1" t="str">
        <f t="shared" si="79"/>
        <v>Friday</v>
      </c>
      <c r="H843" s="1" t="str">
        <f t="shared" si="80"/>
        <v>April</v>
      </c>
      <c r="I843" s="1" t="str">
        <f t="shared" si="81"/>
        <v>2024</v>
      </c>
      <c r="J843" t="b">
        <v>0</v>
      </c>
      <c r="K843" t="s">
        <v>15</v>
      </c>
      <c r="L843">
        <v>873</v>
      </c>
      <c r="M843">
        <v>65</v>
      </c>
      <c r="N843" t="str">
        <f t="shared" si="77"/>
        <v>Seniors</v>
      </c>
      <c r="O843" t="s">
        <v>8</v>
      </c>
      <c r="P843" t="s">
        <v>9</v>
      </c>
    </row>
    <row r="844" spans="1:16" x14ac:dyDescent="0.25">
      <c r="A844">
        <v>2781207</v>
      </c>
      <c r="B844" t="s">
        <v>71</v>
      </c>
      <c r="C844" t="s">
        <v>29</v>
      </c>
      <c r="D844">
        <v>2.9</v>
      </c>
      <c r="E844" t="str">
        <f t="shared" si="78"/>
        <v>Good</v>
      </c>
      <c r="F844" s="1">
        <v>45838.563194444447</v>
      </c>
      <c r="G844" s="1" t="str">
        <f t="shared" si="79"/>
        <v>Monday</v>
      </c>
      <c r="H844" s="1" t="str">
        <f t="shared" si="80"/>
        <v>June</v>
      </c>
      <c r="I844" s="1" t="str">
        <f t="shared" si="81"/>
        <v>2025</v>
      </c>
      <c r="J844" t="b">
        <v>1</v>
      </c>
      <c r="K844" t="s">
        <v>58</v>
      </c>
      <c r="L844">
        <v>983</v>
      </c>
      <c r="M844">
        <v>52</v>
      </c>
      <c r="N844" t="str">
        <f t="shared" si="77"/>
        <v>Adults</v>
      </c>
      <c r="O844" t="s">
        <v>50</v>
      </c>
      <c r="P844" t="s">
        <v>4</v>
      </c>
    </row>
    <row r="845" spans="1:16" x14ac:dyDescent="0.25">
      <c r="A845">
        <v>2838993</v>
      </c>
      <c r="B845" t="s">
        <v>67</v>
      </c>
      <c r="C845" t="s">
        <v>26</v>
      </c>
      <c r="D845">
        <v>4.4000000000000004</v>
      </c>
      <c r="E845" t="str">
        <f t="shared" si="78"/>
        <v>Excellent</v>
      </c>
      <c r="F845" s="1">
        <v>45461.362500000003</v>
      </c>
      <c r="G845" s="1" t="str">
        <f t="shared" si="79"/>
        <v>Tuesday</v>
      </c>
      <c r="H845" s="1" t="str">
        <f t="shared" si="80"/>
        <v>June</v>
      </c>
      <c r="I845" s="1" t="str">
        <f t="shared" si="81"/>
        <v>2024</v>
      </c>
      <c r="J845" t="b">
        <v>1</v>
      </c>
      <c r="K845" t="s">
        <v>15</v>
      </c>
      <c r="L845">
        <v>570</v>
      </c>
      <c r="M845">
        <v>52</v>
      </c>
      <c r="N845" t="str">
        <f t="shared" si="77"/>
        <v>Adults</v>
      </c>
      <c r="O845" t="s">
        <v>65</v>
      </c>
      <c r="P845" t="s">
        <v>9</v>
      </c>
    </row>
    <row r="846" spans="1:16" x14ac:dyDescent="0.25">
      <c r="A846">
        <v>4339867</v>
      </c>
      <c r="B846" t="s">
        <v>60</v>
      </c>
      <c r="C846" t="s">
        <v>18</v>
      </c>
      <c r="D846">
        <v>1.6</v>
      </c>
      <c r="E846" t="str">
        <f t="shared" si="78"/>
        <v>Poor</v>
      </c>
      <c r="F846" s="1">
        <v>45288.026388888888</v>
      </c>
      <c r="G846" s="1" t="str">
        <f t="shared" si="79"/>
        <v>Thursday</v>
      </c>
      <c r="H846" s="1" t="str">
        <f t="shared" si="80"/>
        <v>December</v>
      </c>
      <c r="I846" s="1" t="str">
        <f t="shared" si="81"/>
        <v>2023</v>
      </c>
      <c r="J846" t="b">
        <v>1</v>
      </c>
      <c r="K846" t="s">
        <v>7</v>
      </c>
      <c r="L846">
        <v>41</v>
      </c>
      <c r="M846">
        <v>29</v>
      </c>
      <c r="N846" t="str">
        <f t="shared" si="77"/>
        <v>Adults</v>
      </c>
      <c r="O846" t="s">
        <v>3</v>
      </c>
      <c r="P846" t="s">
        <v>9</v>
      </c>
    </row>
    <row r="847" spans="1:16" x14ac:dyDescent="0.25">
      <c r="A847">
        <v>4801744</v>
      </c>
      <c r="B847" t="s">
        <v>40</v>
      </c>
      <c r="C847" t="s">
        <v>6</v>
      </c>
      <c r="D847">
        <v>3.5</v>
      </c>
      <c r="E847" t="str">
        <f t="shared" si="78"/>
        <v>Very Good</v>
      </c>
      <c r="F847" s="1">
        <v>45543.109027777777</v>
      </c>
      <c r="G847" s="1" t="str">
        <f t="shared" si="79"/>
        <v>Sunday</v>
      </c>
      <c r="H847" s="1" t="str">
        <f t="shared" si="80"/>
        <v>September</v>
      </c>
      <c r="I847" s="1" t="str">
        <f t="shared" si="81"/>
        <v>2024</v>
      </c>
      <c r="J847" t="b">
        <v>1</v>
      </c>
      <c r="K847" t="s">
        <v>15</v>
      </c>
      <c r="L847">
        <v>732</v>
      </c>
      <c r="M847">
        <v>33</v>
      </c>
      <c r="N847" t="str">
        <f t="shared" si="77"/>
        <v>Adults</v>
      </c>
      <c r="O847" t="s">
        <v>66</v>
      </c>
      <c r="P847" t="s">
        <v>9</v>
      </c>
    </row>
    <row r="848" spans="1:16" x14ac:dyDescent="0.25">
      <c r="A848">
        <v>7785433</v>
      </c>
      <c r="B848" t="s">
        <v>69</v>
      </c>
      <c r="C848" t="s">
        <v>36</v>
      </c>
      <c r="D848">
        <v>4.3</v>
      </c>
      <c r="E848" t="str">
        <f t="shared" si="78"/>
        <v>Excellent</v>
      </c>
      <c r="F848" s="1">
        <v>45651.056944444441</v>
      </c>
      <c r="G848" s="1" t="str">
        <f t="shared" si="79"/>
        <v>Wednesday</v>
      </c>
      <c r="H848" s="1" t="str">
        <f t="shared" si="80"/>
        <v>December</v>
      </c>
      <c r="I848" s="1" t="str">
        <f t="shared" si="81"/>
        <v>2024</v>
      </c>
      <c r="J848" t="b">
        <v>1</v>
      </c>
      <c r="K848" t="s">
        <v>2</v>
      </c>
      <c r="L848">
        <v>90</v>
      </c>
      <c r="M848">
        <v>18</v>
      </c>
      <c r="N848" t="str">
        <f t="shared" si="77"/>
        <v>Adults</v>
      </c>
      <c r="O848" t="s">
        <v>66</v>
      </c>
      <c r="P848" t="s">
        <v>9</v>
      </c>
    </row>
    <row r="849" spans="1:16" x14ac:dyDescent="0.25">
      <c r="A849">
        <v>1875578</v>
      </c>
      <c r="B849" t="s">
        <v>51</v>
      </c>
      <c r="C849" t="s">
        <v>14</v>
      </c>
      <c r="D849">
        <v>4.9000000000000004</v>
      </c>
      <c r="E849" t="str">
        <f t="shared" si="78"/>
        <v>Excellent</v>
      </c>
      <c r="F849" s="1">
        <v>45614.671527777777</v>
      </c>
      <c r="G849" s="1" t="str">
        <f t="shared" si="79"/>
        <v>Monday</v>
      </c>
      <c r="H849" s="1" t="str">
        <f t="shared" si="80"/>
        <v>November</v>
      </c>
      <c r="I849" s="1" t="str">
        <f t="shared" si="81"/>
        <v>2024</v>
      </c>
      <c r="J849" t="b">
        <v>1</v>
      </c>
      <c r="K849" t="s">
        <v>21</v>
      </c>
      <c r="L849">
        <v>160</v>
      </c>
      <c r="M849">
        <v>41</v>
      </c>
      <c r="N849" t="str">
        <f t="shared" ref="N849:N878" si="82">IF(M849&lt;=17,"Teenagers", IF(AND(M849&gt;=18,M849&lt;61),"Adults",IF(M849&gt;60,"Seniors")))</f>
        <v>Adults</v>
      </c>
      <c r="O849" t="s">
        <v>24</v>
      </c>
      <c r="P849" t="s">
        <v>9</v>
      </c>
    </row>
    <row r="850" spans="1:16" x14ac:dyDescent="0.25">
      <c r="A850">
        <v>6591120</v>
      </c>
      <c r="B850" t="s">
        <v>56</v>
      </c>
      <c r="C850" t="s">
        <v>34</v>
      </c>
      <c r="D850">
        <v>4.0999999999999996</v>
      </c>
      <c r="E850" t="str">
        <f t="shared" si="78"/>
        <v>Excellent</v>
      </c>
      <c r="F850" s="1">
        <v>45387.743750000001</v>
      </c>
      <c r="G850" s="1" t="str">
        <f t="shared" si="79"/>
        <v>Friday</v>
      </c>
      <c r="H850" s="1" t="str">
        <f t="shared" si="80"/>
        <v>April</v>
      </c>
      <c r="I850" s="1" t="str">
        <f t="shared" si="81"/>
        <v>2024</v>
      </c>
      <c r="J850" t="b">
        <v>0</v>
      </c>
      <c r="K850" t="s">
        <v>7</v>
      </c>
      <c r="L850">
        <v>829</v>
      </c>
      <c r="M850">
        <v>64</v>
      </c>
      <c r="N850" t="str">
        <f t="shared" si="82"/>
        <v>Seniors</v>
      </c>
      <c r="O850" t="s">
        <v>81</v>
      </c>
      <c r="P850" t="s">
        <v>9</v>
      </c>
    </row>
    <row r="851" spans="1:16" x14ac:dyDescent="0.25">
      <c r="A851">
        <v>2180547</v>
      </c>
      <c r="B851" t="s">
        <v>60</v>
      </c>
      <c r="C851" t="s">
        <v>14</v>
      </c>
      <c r="D851">
        <v>4.7</v>
      </c>
      <c r="E851" t="str">
        <f t="shared" si="78"/>
        <v>Excellent</v>
      </c>
      <c r="F851" s="1">
        <v>45189.095833333333</v>
      </c>
      <c r="G851" s="1" t="str">
        <f t="shared" si="79"/>
        <v>Wednesday</v>
      </c>
      <c r="H851" s="1" t="str">
        <f t="shared" si="80"/>
        <v>September</v>
      </c>
      <c r="I851" s="1" t="str">
        <f t="shared" si="81"/>
        <v>2023</v>
      </c>
      <c r="J851" t="b">
        <v>1</v>
      </c>
      <c r="K851" t="s">
        <v>15</v>
      </c>
      <c r="L851">
        <v>790</v>
      </c>
      <c r="M851">
        <v>67</v>
      </c>
      <c r="N851" t="str">
        <f t="shared" si="82"/>
        <v>Seniors</v>
      </c>
      <c r="O851" t="s">
        <v>16</v>
      </c>
      <c r="P851" t="s">
        <v>4</v>
      </c>
    </row>
    <row r="852" spans="1:16" x14ac:dyDescent="0.25">
      <c r="A852">
        <v>2606246</v>
      </c>
      <c r="B852" t="s">
        <v>73</v>
      </c>
      <c r="C852" t="s">
        <v>20</v>
      </c>
      <c r="D852">
        <v>2.9</v>
      </c>
      <c r="E852" t="str">
        <f t="shared" si="78"/>
        <v>Good</v>
      </c>
      <c r="F852" s="1">
        <v>45449.115277777775</v>
      </c>
      <c r="G852" s="1" t="str">
        <f t="shared" si="79"/>
        <v>Thursday</v>
      </c>
      <c r="H852" s="1" t="str">
        <f t="shared" si="80"/>
        <v>June</v>
      </c>
      <c r="I852" s="1" t="str">
        <f t="shared" si="81"/>
        <v>2024</v>
      </c>
      <c r="J852" t="b">
        <v>1</v>
      </c>
      <c r="K852" t="s">
        <v>21</v>
      </c>
      <c r="L852">
        <v>415</v>
      </c>
      <c r="M852">
        <v>15</v>
      </c>
      <c r="N852" t="str">
        <f t="shared" si="82"/>
        <v>Teenagers</v>
      </c>
      <c r="O852" t="s">
        <v>19</v>
      </c>
      <c r="P852" t="s">
        <v>4</v>
      </c>
    </row>
    <row r="853" spans="1:16" x14ac:dyDescent="0.25">
      <c r="A853">
        <v>334044</v>
      </c>
      <c r="B853" t="s">
        <v>88</v>
      </c>
      <c r="C853" t="s">
        <v>75</v>
      </c>
      <c r="D853">
        <v>2.9</v>
      </c>
      <c r="E853" t="str">
        <f t="shared" si="78"/>
        <v>Good</v>
      </c>
      <c r="F853" s="1">
        <v>45476.271527777775</v>
      </c>
      <c r="G853" s="1" t="str">
        <f t="shared" si="79"/>
        <v>Wednesday</v>
      </c>
      <c r="H853" s="1" t="str">
        <f t="shared" si="80"/>
        <v>July</v>
      </c>
      <c r="I853" s="1" t="str">
        <f t="shared" si="81"/>
        <v>2024</v>
      </c>
      <c r="J853" t="b">
        <v>0</v>
      </c>
      <c r="K853" t="s">
        <v>21</v>
      </c>
      <c r="L853">
        <v>608</v>
      </c>
      <c r="M853">
        <v>52</v>
      </c>
      <c r="N853" t="str">
        <f t="shared" si="82"/>
        <v>Adults</v>
      </c>
      <c r="O853" t="s">
        <v>3</v>
      </c>
      <c r="P853" t="s">
        <v>4</v>
      </c>
    </row>
    <row r="854" spans="1:16" x14ac:dyDescent="0.25">
      <c r="A854">
        <v>5523780</v>
      </c>
      <c r="B854" t="s">
        <v>74</v>
      </c>
      <c r="C854" t="s">
        <v>57</v>
      </c>
      <c r="D854">
        <v>1.1000000000000001</v>
      </c>
      <c r="E854" t="str">
        <f t="shared" si="78"/>
        <v>Poor</v>
      </c>
      <c r="F854" s="1">
        <v>45687.263194444444</v>
      </c>
      <c r="G854" s="1" t="str">
        <f t="shared" si="79"/>
        <v>Thursday</v>
      </c>
      <c r="H854" s="1" t="str">
        <f t="shared" si="80"/>
        <v>January</v>
      </c>
      <c r="I854" s="1" t="str">
        <f t="shared" si="81"/>
        <v>2025</v>
      </c>
      <c r="J854" t="b">
        <v>1</v>
      </c>
      <c r="K854" t="s">
        <v>15</v>
      </c>
      <c r="L854">
        <v>1015</v>
      </c>
      <c r="M854">
        <v>14</v>
      </c>
      <c r="N854" t="str">
        <f t="shared" si="82"/>
        <v>Teenagers</v>
      </c>
      <c r="O854" t="s">
        <v>86</v>
      </c>
      <c r="P854" t="s">
        <v>9</v>
      </c>
    </row>
    <row r="855" spans="1:16" x14ac:dyDescent="0.25">
      <c r="A855">
        <v>425432</v>
      </c>
      <c r="B855" t="s">
        <v>23</v>
      </c>
      <c r="C855" t="s">
        <v>43</v>
      </c>
      <c r="D855">
        <v>1.7</v>
      </c>
      <c r="E855" t="str">
        <f t="shared" si="78"/>
        <v>Poor</v>
      </c>
      <c r="F855" s="1">
        <v>45382.349305555559</v>
      </c>
      <c r="G855" s="1" t="str">
        <f t="shared" si="79"/>
        <v>Sunday</v>
      </c>
      <c r="H855" s="1" t="str">
        <f t="shared" si="80"/>
        <v>March</v>
      </c>
      <c r="I855" s="1" t="str">
        <f t="shared" si="81"/>
        <v>2024</v>
      </c>
      <c r="J855" t="b">
        <v>1</v>
      </c>
      <c r="K855" t="s">
        <v>21</v>
      </c>
      <c r="L855">
        <v>112</v>
      </c>
      <c r="M855">
        <v>42</v>
      </c>
      <c r="N855" t="str">
        <f t="shared" si="82"/>
        <v>Adults</v>
      </c>
      <c r="O855" t="s">
        <v>39</v>
      </c>
      <c r="P855" t="s">
        <v>4</v>
      </c>
    </row>
    <row r="856" spans="1:16" x14ac:dyDescent="0.25">
      <c r="A856">
        <v>1464116</v>
      </c>
      <c r="B856" t="s">
        <v>62</v>
      </c>
      <c r="C856" t="s">
        <v>43</v>
      </c>
      <c r="D856">
        <v>3.6</v>
      </c>
      <c r="E856" t="str">
        <f t="shared" si="78"/>
        <v>Very Good</v>
      </c>
      <c r="F856" s="1">
        <v>45549.947222222225</v>
      </c>
      <c r="G856" s="1" t="str">
        <f t="shared" si="79"/>
        <v>Saturday</v>
      </c>
      <c r="H856" s="1" t="str">
        <f t="shared" si="80"/>
        <v>September</v>
      </c>
      <c r="I856" s="1" t="str">
        <f t="shared" si="81"/>
        <v>2024</v>
      </c>
      <c r="J856" t="b">
        <v>1</v>
      </c>
      <c r="K856" t="s">
        <v>58</v>
      </c>
      <c r="L856">
        <v>107</v>
      </c>
      <c r="M856">
        <v>59</v>
      </c>
      <c r="N856" t="str">
        <f t="shared" si="82"/>
        <v>Adults</v>
      </c>
      <c r="O856" t="s">
        <v>3</v>
      </c>
      <c r="P856" t="s">
        <v>4</v>
      </c>
    </row>
    <row r="857" spans="1:16" x14ac:dyDescent="0.25">
      <c r="A857">
        <v>3846911</v>
      </c>
      <c r="B857" t="s">
        <v>41</v>
      </c>
      <c r="C857" t="s">
        <v>85</v>
      </c>
      <c r="D857">
        <v>4.3</v>
      </c>
      <c r="E857" t="str">
        <f t="shared" si="78"/>
        <v>Excellent</v>
      </c>
      <c r="F857" s="1">
        <v>45630.597916666666</v>
      </c>
      <c r="G857" s="1" t="str">
        <f t="shared" si="79"/>
        <v>Wednesday</v>
      </c>
      <c r="H857" s="1" t="str">
        <f t="shared" si="80"/>
        <v>December</v>
      </c>
      <c r="I857" s="1" t="str">
        <f t="shared" si="81"/>
        <v>2024</v>
      </c>
      <c r="J857" t="b">
        <v>1</v>
      </c>
      <c r="K857" t="s">
        <v>2</v>
      </c>
      <c r="L857">
        <v>1166</v>
      </c>
      <c r="M857">
        <v>69</v>
      </c>
      <c r="N857" t="str">
        <f t="shared" si="82"/>
        <v>Seniors</v>
      </c>
      <c r="O857" t="s">
        <v>48</v>
      </c>
      <c r="P857" t="s">
        <v>9</v>
      </c>
    </row>
    <row r="858" spans="1:16" x14ac:dyDescent="0.25">
      <c r="A858">
        <v>5589746</v>
      </c>
      <c r="B858" t="s">
        <v>89</v>
      </c>
      <c r="C858" t="s">
        <v>1</v>
      </c>
      <c r="D858">
        <v>1.1000000000000001</v>
      </c>
      <c r="E858" t="str">
        <f t="shared" si="78"/>
        <v>Poor</v>
      </c>
      <c r="F858" s="1">
        <v>45415.522222222222</v>
      </c>
      <c r="G858" s="1" t="str">
        <f t="shared" si="79"/>
        <v>Friday</v>
      </c>
      <c r="H858" s="1" t="str">
        <f t="shared" si="80"/>
        <v>May</v>
      </c>
      <c r="I858" s="1" t="str">
        <f t="shared" si="81"/>
        <v>2024</v>
      </c>
      <c r="J858" t="b">
        <v>0</v>
      </c>
      <c r="K858" t="s">
        <v>58</v>
      </c>
      <c r="L858">
        <v>833</v>
      </c>
      <c r="M858">
        <v>30</v>
      </c>
      <c r="N858" t="str">
        <f t="shared" si="82"/>
        <v>Adults</v>
      </c>
      <c r="O858" t="s">
        <v>39</v>
      </c>
      <c r="P858" t="s">
        <v>4</v>
      </c>
    </row>
    <row r="859" spans="1:16" x14ac:dyDescent="0.25">
      <c r="A859">
        <v>4676112</v>
      </c>
      <c r="B859" t="s">
        <v>49</v>
      </c>
      <c r="C859" t="s">
        <v>85</v>
      </c>
      <c r="D859">
        <v>4.7</v>
      </c>
      <c r="E859" t="str">
        <f t="shared" si="78"/>
        <v>Excellent</v>
      </c>
      <c r="F859" s="1">
        <v>45387.456944444442</v>
      </c>
      <c r="G859" s="1" t="str">
        <f t="shared" si="79"/>
        <v>Friday</v>
      </c>
      <c r="H859" s="1" t="str">
        <f t="shared" si="80"/>
        <v>April</v>
      </c>
      <c r="I859" s="1" t="str">
        <f t="shared" si="81"/>
        <v>2024</v>
      </c>
      <c r="J859" t="b">
        <v>1</v>
      </c>
      <c r="K859" t="s">
        <v>21</v>
      </c>
      <c r="L859">
        <v>383</v>
      </c>
      <c r="M859">
        <v>16</v>
      </c>
      <c r="N859" t="str">
        <f t="shared" si="82"/>
        <v>Teenagers</v>
      </c>
      <c r="O859" t="s">
        <v>86</v>
      </c>
      <c r="P859" t="s">
        <v>9</v>
      </c>
    </row>
    <row r="860" spans="1:16" x14ac:dyDescent="0.25">
      <c r="A860">
        <v>7196616</v>
      </c>
      <c r="B860" t="s">
        <v>41</v>
      </c>
      <c r="C860" t="s">
        <v>38</v>
      </c>
      <c r="D860">
        <v>3.9</v>
      </c>
      <c r="E860" t="str">
        <f t="shared" si="78"/>
        <v>Very Good</v>
      </c>
      <c r="F860" s="1">
        <v>45683.086111111108</v>
      </c>
      <c r="G860" s="1" t="str">
        <f t="shared" si="79"/>
        <v>Sunday</v>
      </c>
      <c r="H860" s="1" t="str">
        <f t="shared" si="80"/>
        <v>January</v>
      </c>
      <c r="I860" s="1" t="str">
        <f t="shared" si="81"/>
        <v>2025</v>
      </c>
      <c r="J860" t="b">
        <v>1</v>
      </c>
      <c r="K860" t="s">
        <v>2</v>
      </c>
      <c r="L860">
        <v>266</v>
      </c>
      <c r="M860">
        <v>37</v>
      </c>
      <c r="N860" t="str">
        <f t="shared" si="82"/>
        <v>Adults</v>
      </c>
      <c r="O860" t="s">
        <v>55</v>
      </c>
      <c r="P860" t="s">
        <v>4</v>
      </c>
    </row>
    <row r="861" spans="1:16" x14ac:dyDescent="0.25">
      <c r="A861">
        <v>5578399</v>
      </c>
      <c r="B861" t="s">
        <v>82</v>
      </c>
      <c r="C861" t="s">
        <v>47</v>
      </c>
      <c r="D861">
        <v>3.4</v>
      </c>
      <c r="E861" t="str">
        <f t="shared" si="78"/>
        <v>Very Good</v>
      </c>
      <c r="F861" s="1">
        <v>45568.075694444444</v>
      </c>
      <c r="G861" s="1" t="str">
        <f t="shared" si="79"/>
        <v>Thursday</v>
      </c>
      <c r="H861" s="1" t="str">
        <f t="shared" si="80"/>
        <v>October</v>
      </c>
      <c r="I861" s="1" t="str">
        <f t="shared" si="81"/>
        <v>2024</v>
      </c>
      <c r="J861" t="b">
        <v>1</v>
      </c>
      <c r="K861" t="s">
        <v>58</v>
      </c>
      <c r="L861">
        <v>858</v>
      </c>
      <c r="M861">
        <v>64</v>
      </c>
      <c r="N861" t="str">
        <f t="shared" si="82"/>
        <v>Seniors</v>
      </c>
      <c r="O861" t="s">
        <v>77</v>
      </c>
      <c r="P861" t="s">
        <v>9</v>
      </c>
    </row>
    <row r="862" spans="1:16" x14ac:dyDescent="0.25">
      <c r="A862">
        <v>6287806</v>
      </c>
      <c r="B862" t="s">
        <v>33</v>
      </c>
      <c r="C862" t="s">
        <v>36</v>
      </c>
      <c r="D862">
        <v>4.9000000000000004</v>
      </c>
      <c r="E862" t="str">
        <f t="shared" si="78"/>
        <v>Excellent</v>
      </c>
      <c r="F862" s="1">
        <v>45248.980555555558</v>
      </c>
      <c r="G862" s="1" t="str">
        <f t="shared" si="79"/>
        <v>Saturday</v>
      </c>
      <c r="H862" s="1" t="str">
        <f t="shared" si="80"/>
        <v>November</v>
      </c>
      <c r="I862" s="1" t="str">
        <f t="shared" si="81"/>
        <v>2023</v>
      </c>
      <c r="J862" t="b">
        <v>1</v>
      </c>
      <c r="K862" t="s">
        <v>2</v>
      </c>
      <c r="L862">
        <v>1175</v>
      </c>
      <c r="M862">
        <v>73</v>
      </c>
      <c r="N862" t="str">
        <f t="shared" si="82"/>
        <v>Seniors</v>
      </c>
      <c r="O862" t="s">
        <v>12</v>
      </c>
      <c r="P862" t="s">
        <v>9</v>
      </c>
    </row>
    <row r="863" spans="1:16" x14ac:dyDescent="0.25">
      <c r="A863">
        <v>7385667</v>
      </c>
      <c r="B863" t="s">
        <v>25</v>
      </c>
      <c r="C863" t="s">
        <v>34</v>
      </c>
      <c r="D863">
        <v>1.2</v>
      </c>
      <c r="E863" t="str">
        <f t="shared" si="78"/>
        <v>Poor</v>
      </c>
      <c r="F863" s="1">
        <v>45416.231249999997</v>
      </c>
      <c r="G863" s="1" t="str">
        <f t="shared" si="79"/>
        <v>Saturday</v>
      </c>
      <c r="H863" s="1" t="str">
        <f t="shared" si="80"/>
        <v>May</v>
      </c>
      <c r="I863" s="1" t="str">
        <f t="shared" si="81"/>
        <v>2024</v>
      </c>
      <c r="J863" t="b">
        <v>1</v>
      </c>
      <c r="K863" t="s">
        <v>2</v>
      </c>
      <c r="L863">
        <v>395</v>
      </c>
      <c r="M863">
        <v>19</v>
      </c>
      <c r="N863" t="str">
        <f t="shared" si="82"/>
        <v>Adults</v>
      </c>
      <c r="O863" t="s">
        <v>72</v>
      </c>
      <c r="P863" t="s">
        <v>9</v>
      </c>
    </row>
    <row r="864" spans="1:16" x14ac:dyDescent="0.25">
      <c r="A864">
        <v>6740569</v>
      </c>
      <c r="B864" t="s">
        <v>17</v>
      </c>
      <c r="C864" t="s">
        <v>11</v>
      </c>
      <c r="D864">
        <v>1.8</v>
      </c>
      <c r="E864" t="str">
        <f t="shared" si="78"/>
        <v>Poor</v>
      </c>
      <c r="F864" s="1">
        <v>45153.834027777775</v>
      </c>
      <c r="G864" s="1" t="str">
        <f t="shared" si="79"/>
        <v>Tuesday</v>
      </c>
      <c r="H864" s="1" t="str">
        <f t="shared" si="80"/>
        <v>August</v>
      </c>
      <c r="I864" s="1" t="str">
        <f t="shared" si="81"/>
        <v>2023</v>
      </c>
      <c r="J864" t="b">
        <v>1</v>
      </c>
      <c r="K864" t="s">
        <v>7</v>
      </c>
      <c r="L864">
        <v>12</v>
      </c>
      <c r="M864">
        <v>74</v>
      </c>
      <c r="N864" t="str">
        <f t="shared" si="82"/>
        <v>Seniors</v>
      </c>
      <c r="O864" t="s">
        <v>19</v>
      </c>
      <c r="P864" t="s">
        <v>4</v>
      </c>
    </row>
    <row r="865" spans="1:16" x14ac:dyDescent="0.25">
      <c r="A865">
        <v>4959342</v>
      </c>
      <c r="B865" t="s">
        <v>74</v>
      </c>
      <c r="C865" t="s">
        <v>75</v>
      </c>
      <c r="D865">
        <v>1.6</v>
      </c>
      <c r="E865" t="str">
        <f t="shared" si="78"/>
        <v>Poor</v>
      </c>
      <c r="F865" s="1">
        <v>45521.20208333333</v>
      </c>
      <c r="G865" s="1" t="str">
        <f t="shared" si="79"/>
        <v>Saturday</v>
      </c>
      <c r="H865" s="1" t="str">
        <f t="shared" si="80"/>
        <v>August</v>
      </c>
      <c r="I865" s="1" t="str">
        <f t="shared" si="81"/>
        <v>2024</v>
      </c>
      <c r="J865" t="b">
        <v>1</v>
      </c>
      <c r="K865" t="s">
        <v>58</v>
      </c>
      <c r="L865">
        <v>242</v>
      </c>
      <c r="M865">
        <v>63</v>
      </c>
      <c r="N865" t="str">
        <f t="shared" si="82"/>
        <v>Seniors</v>
      </c>
      <c r="O865" t="s">
        <v>66</v>
      </c>
      <c r="P865" t="s">
        <v>4</v>
      </c>
    </row>
    <row r="866" spans="1:16" x14ac:dyDescent="0.25">
      <c r="A866">
        <v>7061516</v>
      </c>
      <c r="B866" t="s">
        <v>30</v>
      </c>
      <c r="C866" t="s">
        <v>1</v>
      </c>
      <c r="D866">
        <v>2.6</v>
      </c>
      <c r="E866" t="str">
        <f t="shared" si="78"/>
        <v>Good</v>
      </c>
      <c r="F866" s="1">
        <v>45566.1</v>
      </c>
      <c r="G866" s="1" t="str">
        <f t="shared" si="79"/>
        <v>Tuesday</v>
      </c>
      <c r="H866" s="1" t="str">
        <f t="shared" si="80"/>
        <v>October</v>
      </c>
      <c r="I866" s="1" t="str">
        <f t="shared" si="81"/>
        <v>2024</v>
      </c>
      <c r="J866" t="b">
        <v>1</v>
      </c>
      <c r="K866" t="s">
        <v>2</v>
      </c>
      <c r="L866">
        <v>940</v>
      </c>
      <c r="M866">
        <v>56</v>
      </c>
      <c r="N866" t="str">
        <f t="shared" si="82"/>
        <v>Adults</v>
      </c>
      <c r="O866" t="s">
        <v>8</v>
      </c>
      <c r="P866" t="s">
        <v>9</v>
      </c>
    </row>
    <row r="867" spans="1:16" x14ac:dyDescent="0.25">
      <c r="A867">
        <v>773270</v>
      </c>
      <c r="B867" t="s">
        <v>87</v>
      </c>
      <c r="C867" t="s">
        <v>14</v>
      </c>
      <c r="D867">
        <v>2.5</v>
      </c>
      <c r="E867" t="str">
        <f t="shared" si="78"/>
        <v>Good</v>
      </c>
      <c r="F867" s="1">
        <v>45294.319444444445</v>
      </c>
      <c r="G867" s="1" t="str">
        <f t="shared" si="79"/>
        <v>Wednesday</v>
      </c>
      <c r="H867" s="1" t="str">
        <f t="shared" si="80"/>
        <v>January</v>
      </c>
      <c r="I867" s="1" t="str">
        <f t="shared" si="81"/>
        <v>2024</v>
      </c>
      <c r="J867" t="b">
        <v>1</v>
      </c>
      <c r="K867" t="s">
        <v>2</v>
      </c>
      <c r="L867">
        <v>742</v>
      </c>
      <c r="M867">
        <v>60</v>
      </c>
      <c r="N867" t="str">
        <f t="shared" si="82"/>
        <v>Adults</v>
      </c>
      <c r="O867" t="s">
        <v>42</v>
      </c>
      <c r="P867" t="s">
        <v>4</v>
      </c>
    </row>
    <row r="868" spans="1:16" x14ac:dyDescent="0.25">
      <c r="A868">
        <v>704073</v>
      </c>
      <c r="B868" t="s">
        <v>45</v>
      </c>
      <c r="C868" t="s">
        <v>18</v>
      </c>
      <c r="D868">
        <v>2</v>
      </c>
      <c r="E868" t="str">
        <f t="shared" si="78"/>
        <v>Good</v>
      </c>
      <c r="F868" s="1">
        <v>45301.086111111108</v>
      </c>
      <c r="G868" s="1" t="str">
        <f t="shared" si="79"/>
        <v>Wednesday</v>
      </c>
      <c r="H868" s="1" t="str">
        <f t="shared" si="80"/>
        <v>January</v>
      </c>
      <c r="I868" s="1" t="str">
        <f t="shared" si="81"/>
        <v>2024</v>
      </c>
      <c r="J868" t="b">
        <v>1</v>
      </c>
      <c r="K868" t="s">
        <v>21</v>
      </c>
      <c r="L868">
        <v>608</v>
      </c>
      <c r="M868">
        <v>70</v>
      </c>
      <c r="N868" t="str">
        <f t="shared" si="82"/>
        <v>Seniors</v>
      </c>
      <c r="O868" t="s">
        <v>53</v>
      </c>
      <c r="P868" t="s">
        <v>4</v>
      </c>
    </row>
    <row r="869" spans="1:16" x14ac:dyDescent="0.25">
      <c r="A869">
        <v>9876741</v>
      </c>
      <c r="B869" t="s">
        <v>60</v>
      </c>
      <c r="C869" t="s">
        <v>18</v>
      </c>
      <c r="D869">
        <v>3.2</v>
      </c>
      <c r="E869" t="str">
        <f t="shared" si="78"/>
        <v>Very Good</v>
      </c>
      <c r="F869" s="1">
        <v>45520.61041666667</v>
      </c>
      <c r="G869" s="1" t="str">
        <f t="shared" si="79"/>
        <v>Friday</v>
      </c>
      <c r="H869" s="1" t="str">
        <f t="shared" si="80"/>
        <v>August</v>
      </c>
      <c r="I869" s="1" t="str">
        <f t="shared" si="81"/>
        <v>2024</v>
      </c>
      <c r="J869" t="b">
        <v>1</v>
      </c>
      <c r="K869" t="s">
        <v>58</v>
      </c>
      <c r="L869">
        <v>1005</v>
      </c>
      <c r="M869">
        <v>58</v>
      </c>
      <c r="N869" t="str">
        <f t="shared" si="82"/>
        <v>Adults</v>
      </c>
      <c r="O869" t="s">
        <v>50</v>
      </c>
      <c r="P869" t="s">
        <v>9</v>
      </c>
    </row>
    <row r="870" spans="1:16" x14ac:dyDescent="0.25">
      <c r="A870">
        <v>5961649</v>
      </c>
      <c r="B870" t="s">
        <v>60</v>
      </c>
      <c r="C870" t="s">
        <v>1</v>
      </c>
      <c r="D870">
        <v>3.4</v>
      </c>
      <c r="E870" t="str">
        <f t="shared" si="78"/>
        <v>Very Good</v>
      </c>
      <c r="F870" s="1">
        <v>45684.000694444447</v>
      </c>
      <c r="G870" s="1" t="str">
        <f t="shared" si="79"/>
        <v>Monday</v>
      </c>
      <c r="H870" s="1" t="str">
        <f t="shared" si="80"/>
        <v>January</v>
      </c>
      <c r="I870" s="1" t="str">
        <f t="shared" si="81"/>
        <v>2025</v>
      </c>
      <c r="J870" t="b">
        <v>1</v>
      </c>
      <c r="K870" t="s">
        <v>15</v>
      </c>
      <c r="L870">
        <v>887</v>
      </c>
      <c r="M870">
        <v>67</v>
      </c>
      <c r="N870" t="str">
        <f t="shared" si="82"/>
        <v>Seniors</v>
      </c>
      <c r="O870" t="s">
        <v>42</v>
      </c>
      <c r="P870" t="s">
        <v>9</v>
      </c>
    </row>
    <row r="871" spans="1:16" x14ac:dyDescent="0.25">
      <c r="A871">
        <v>8642096</v>
      </c>
      <c r="B871" t="s">
        <v>82</v>
      </c>
      <c r="C871" t="s">
        <v>6</v>
      </c>
      <c r="D871">
        <v>4.4000000000000004</v>
      </c>
      <c r="E871" t="str">
        <f t="shared" si="78"/>
        <v>Excellent</v>
      </c>
      <c r="F871" s="1">
        <v>45836.824999999997</v>
      </c>
      <c r="G871" s="1" t="str">
        <f t="shared" si="79"/>
        <v>Saturday</v>
      </c>
      <c r="H871" s="1" t="str">
        <f t="shared" si="80"/>
        <v>June</v>
      </c>
      <c r="I871" s="1" t="str">
        <f t="shared" si="81"/>
        <v>2025</v>
      </c>
      <c r="J871" t="b">
        <v>1</v>
      </c>
      <c r="K871" t="s">
        <v>21</v>
      </c>
      <c r="L871">
        <v>1041</v>
      </c>
      <c r="M871">
        <v>71</v>
      </c>
      <c r="N871" t="str">
        <f t="shared" si="82"/>
        <v>Seniors</v>
      </c>
      <c r="O871" t="s">
        <v>50</v>
      </c>
      <c r="P871" t="s">
        <v>4</v>
      </c>
    </row>
    <row r="872" spans="1:16" x14ac:dyDescent="0.25">
      <c r="A872">
        <v>6763599</v>
      </c>
      <c r="B872" t="s">
        <v>76</v>
      </c>
      <c r="C872" t="s">
        <v>31</v>
      </c>
      <c r="D872">
        <v>1</v>
      </c>
      <c r="E872" t="str">
        <f t="shared" si="78"/>
        <v>Poor</v>
      </c>
      <c r="F872" s="1">
        <v>45660.716666666667</v>
      </c>
      <c r="G872" s="1" t="str">
        <f t="shared" si="79"/>
        <v>Friday</v>
      </c>
      <c r="H872" s="1" t="str">
        <f t="shared" si="80"/>
        <v>January</v>
      </c>
      <c r="I872" s="1" t="str">
        <f t="shared" si="81"/>
        <v>2025</v>
      </c>
      <c r="J872" t="b">
        <v>1</v>
      </c>
      <c r="K872" t="s">
        <v>58</v>
      </c>
      <c r="L872">
        <v>1167</v>
      </c>
      <c r="M872">
        <v>58</v>
      </c>
      <c r="N872" t="str">
        <f t="shared" si="82"/>
        <v>Adults</v>
      </c>
      <c r="O872" t="s">
        <v>42</v>
      </c>
      <c r="P872" t="s">
        <v>9</v>
      </c>
    </row>
    <row r="873" spans="1:16" x14ac:dyDescent="0.25">
      <c r="A873">
        <v>3300848</v>
      </c>
      <c r="B873" t="s">
        <v>5</v>
      </c>
      <c r="C873" t="s">
        <v>63</v>
      </c>
      <c r="D873">
        <v>1.7</v>
      </c>
      <c r="E873" t="str">
        <f t="shared" si="78"/>
        <v>Poor</v>
      </c>
      <c r="F873" s="1">
        <v>45862.817361111112</v>
      </c>
      <c r="G873" s="1" t="str">
        <f t="shared" si="79"/>
        <v>Thursday</v>
      </c>
      <c r="H873" s="1" t="str">
        <f t="shared" si="80"/>
        <v>July</v>
      </c>
      <c r="I873" s="1" t="str">
        <f t="shared" si="81"/>
        <v>2025</v>
      </c>
      <c r="J873" t="b">
        <v>1</v>
      </c>
      <c r="K873" t="s">
        <v>7</v>
      </c>
      <c r="L873">
        <v>154</v>
      </c>
      <c r="M873">
        <v>51</v>
      </c>
      <c r="N873" t="str">
        <f t="shared" si="82"/>
        <v>Adults</v>
      </c>
      <c r="O873" t="s">
        <v>19</v>
      </c>
      <c r="P873" t="s">
        <v>9</v>
      </c>
    </row>
    <row r="874" spans="1:16" x14ac:dyDescent="0.25">
      <c r="A874">
        <v>3028988</v>
      </c>
      <c r="B874" t="s">
        <v>73</v>
      </c>
      <c r="C874" t="s">
        <v>20</v>
      </c>
      <c r="D874">
        <v>2.2000000000000002</v>
      </c>
      <c r="E874" t="str">
        <f t="shared" si="78"/>
        <v>Good</v>
      </c>
      <c r="F874" s="1">
        <v>45150.019444444442</v>
      </c>
      <c r="G874" s="1" t="str">
        <f t="shared" si="79"/>
        <v>Saturday</v>
      </c>
      <c r="H874" s="1" t="str">
        <f t="shared" si="80"/>
        <v>August</v>
      </c>
      <c r="I874" s="1" t="str">
        <f t="shared" si="81"/>
        <v>2023</v>
      </c>
      <c r="J874" t="b">
        <v>1</v>
      </c>
      <c r="K874" t="s">
        <v>15</v>
      </c>
      <c r="L874">
        <v>865</v>
      </c>
      <c r="M874">
        <v>45</v>
      </c>
      <c r="N874" t="str">
        <f t="shared" si="82"/>
        <v>Adults</v>
      </c>
      <c r="O874" t="s">
        <v>39</v>
      </c>
      <c r="P874" t="s">
        <v>4</v>
      </c>
    </row>
    <row r="875" spans="1:16" x14ac:dyDescent="0.25">
      <c r="A875">
        <v>7737736</v>
      </c>
      <c r="B875" t="s">
        <v>33</v>
      </c>
      <c r="C875" t="s">
        <v>47</v>
      </c>
      <c r="D875">
        <v>3.4</v>
      </c>
      <c r="E875" t="str">
        <f t="shared" si="78"/>
        <v>Very Good</v>
      </c>
      <c r="F875" s="1">
        <v>45814.465277777781</v>
      </c>
      <c r="G875" s="1" t="str">
        <f t="shared" si="79"/>
        <v>Friday</v>
      </c>
      <c r="H875" s="1" t="str">
        <f t="shared" si="80"/>
        <v>June</v>
      </c>
      <c r="I875" s="1" t="str">
        <f t="shared" si="81"/>
        <v>2025</v>
      </c>
      <c r="J875" t="b">
        <v>1</v>
      </c>
      <c r="K875" t="s">
        <v>15</v>
      </c>
      <c r="L875">
        <v>240</v>
      </c>
      <c r="M875">
        <v>42</v>
      </c>
      <c r="N875" t="str">
        <f t="shared" si="82"/>
        <v>Adults</v>
      </c>
      <c r="O875" t="s">
        <v>44</v>
      </c>
      <c r="P875" t="s">
        <v>4</v>
      </c>
    </row>
    <row r="876" spans="1:16" x14ac:dyDescent="0.25">
      <c r="A876">
        <v>4039600</v>
      </c>
      <c r="B876" t="s">
        <v>69</v>
      </c>
      <c r="C876" t="s">
        <v>75</v>
      </c>
      <c r="D876">
        <v>1.1000000000000001</v>
      </c>
      <c r="E876" t="str">
        <f t="shared" si="78"/>
        <v>Poor</v>
      </c>
      <c r="F876" s="1">
        <v>45754.01458333333</v>
      </c>
      <c r="G876" s="1" t="str">
        <f t="shared" si="79"/>
        <v>Monday</v>
      </c>
      <c r="H876" s="1" t="str">
        <f t="shared" si="80"/>
        <v>April</v>
      </c>
      <c r="I876" s="1" t="str">
        <f t="shared" si="81"/>
        <v>2025</v>
      </c>
      <c r="J876" t="b">
        <v>1</v>
      </c>
      <c r="K876" t="s">
        <v>58</v>
      </c>
      <c r="L876">
        <v>752</v>
      </c>
      <c r="M876">
        <v>35</v>
      </c>
      <c r="N876" t="str">
        <f t="shared" si="82"/>
        <v>Adults</v>
      </c>
      <c r="O876" t="s">
        <v>22</v>
      </c>
      <c r="P876" t="s">
        <v>4</v>
      </c>
    </row>
    <row r="877" spans="1:16" x14ac:dyDescent="0.25">
      <c r="A877">
        <v>893470</v>
      </c>
      <c r="B877" t="s">
        <v>62</v>
      </c>
      <c r="C877" t="s">
        <v>75</v>
      </c>
      <c r="D877">
        <v>4.8</v>
      </c>
      <c r="E877" t="str">
        <f t="shared" si="78"/>
        <v>Excellent</v>
      </c>
      <c r="F877" s="1">
        <v>45361.422222222223</v>
      </c>
      <c r="G877" s="1" t="str">
        <f t="shared" si="79"/>
        <v>Sunday</v>
      </c>
      <c r="H877" s="1" t="str">
        <f t="shared" si="80"/>
        <v>March</v>
      </c>
      <c r="I877" s="1" t="str">
        <f t="shared" si="81"/>
        <v>2024</v>
      </c>
      <c r="J877" t="b">
        <v>1</v>
      </c>
      <c r="K877" t="s">
        <v>58</v>
      </c>
      <c r="L877">
        <v>440</v>
      </c>
      <c r="M877">
        <v>66</v>
      </c>
      <c r="N877" t="str">
        <f t="shared" si="82"/>
        <v>Seniors</v>
      </c>
      <c r="O877" t="s">
        <v>65</v>
      </c>
      <c r="P877" t="s">
        <v>9</v>
      </c>
    </row>
    <row r="878" spans="1:16" x14ac:dyDescent="0.25">
      <c r="A878">
        <v>9236716</v>
      </c>
      <c r="B878" t="s">
        <v>87</v>
      </c>
      <c r="C878" t="s">
        <v>31</v>
      </c>
      <c r="D878">
        <v>3.3</v>
      </c>
      <c r="E878" t="str">
        <f t="shared" si="78"/>
        <v>Very Good</v>
      </c>
      <c r="F878" s="1">
        <v>45266.178472222222</v>
      </c>
      <c r="G878" s="1" t="str">
        <f t="shared" si="79"/>
        <v>Wednesday</v>
      </c>
      <c r="H878" s="1" t="str">
        <f t="shared" si="80"/>
        <v>December</v>
      </c>
      <c r="I878" s="1" t="str">
        <f t="shared" si="81"/>
        <v>2023</v>
      </c>
      <c r="J878" t="b">
        <v>1</v>
      </c>
      <c r="K878" t="s">
        <v>2</v>
      </c>
      <c r="L878">
        <v>249</v>
      </c>
      <c r="M878">
        <v>26</v>
      </c>
      <c r="N878" t="str">
        <f t="shared" si="82"/>
        <v>Adults</v>
      </c>
      <c r="O878" t="s">
        <v>50</v>
      </c>
      <c r="P878" t="s">
        <v>9</v>
      </c>
    </row>
    <row r="879" spans="1:16" x14ac:dyDescent="0.25">
      <c r="A879">
        <v>8876514</v>
      </c>
      <c r="B879" t="s">
        <v>79</v>
      </c>
      <c r="C879" t="s">
        <v>36</v>
      </c>
      <c r="D879">
        <v>2.2999999999999998</v>
      </c>
      <c r="E879" t="str">
        <f t="shared" si="78"/>
        <v>Good</v>
      </c>
      <c r="F879" s="1">
        <v>45649.100694444445</v>
      </c>
      <c r="G879" s="1" t="str">
        <f t="shared" si="79"/>
        <v>Monday</v>
      </c>
      <c r="H879" s="1" t="str">
        <f t="shared" si="80"/>
        <v>December</v>
      </c>
      <c r="I879" s="1" t="str">
        <f t="shared" si="81"/>
        <v>2024</v>
      </c>
      <c r="J879" t="b">
        <v>1</v>
      </c>
      <c r="K879" t="s">
        <v>15</v>
      </c>
      <c r="L879">
        <v>49</v>
      </c>
      <c r="M879">
        <v>39</v>
      </c>
      <c r="N879" t="str">
        <f t="shared" ref="N879:N909" si="83">IF(M879&lt;=17,"Teenagers", IF(AND(M879&gt;=18,M879&lt;61),"Adults",IF(M879&gt;60,"Seniors")))</f>
        <v>Adults</v>
      </c>
      <c r="O879" t="s">
        <v>68</v>
      </c>
      <c r="P879" t="s">
        <v>9</v>
      </c>
    </row>
    <row r="880" spans="1:16" x14ac:dyDescent="0.25">
      <c r="A880">
        <v>3775408</v>
      </c>
      <c r="B880" t="s">
        <v>76</v>
      </c>
      <c r="C880" t="s">
        <v>14</v>
      </c>
      <c r="D880">
        <v>1.1000000000000001</v>
      </c>
      <c r="E880" t="str">
        <f t="shared" si="78"/>
        <v>Poor</v>
      </c>
      <c r="F880" s="1">
        <v>45587.0625</v>
      </c>
      <c r="G880" s="1" t="str">
        <f t="shared" si="79"/>
        <v>Tuesday</v>
      </c>
      <c r="H880" s="1" t="str">
        <f t="shared" si="80"/>
        <v>October</v>
      </c>
      <c r="I880" s="1" t="str">
        <f t="shared" si="81"/>
        <v>2024</v>
      </c>
      <c r="J880" t="b">
        <v>1</v>
      </c>
      <c r="K880" t="s">
        <v>58</v>
      </c>
      <c r="L880">
        <v>941</v>
      </c>
      <c r="M880">
        <v>51</v>
      </c>
      <c r="N880" t="str">
        <f t="shared" si="83"/>
        <v>Adults</v>
      </c>
      <c r="O880" t="s">
        <v>55</v>
      </c>
      <c r="P880" t="s">
        <v>4</v>
      </c>
    </row>
    <row r="881" spans="1:16" x14ac:dyDescent="0.25">
      <c r="A881">
        <v>6945078</v>
      </c>
      <c r="B881" t="s">
        <v>33</v>
      </c>
      <c r="C881" t="s">
        <v>26</v>
      </c>
      <c r="D881">
        <v>4.5</v>
      </c>
      <c r="E881" t="str">
        <f t="shared" si="78"/>
        <v>Excellent</v>
      </c>
      <c r="F881" s="1">
        <v>45673.109027777777</v>
      </c>
      <c r="G881" s="1" t="str">
        <f t="shared" si="79"/>
        <v>Thursday</v>
      </c>
      <c r="H881" s="1" t="str">
        <f t="shared" si="80"/>
        <v>January</v>
      </c>
      <c r="I881" s="1" t="str">
        <f t="shared" si="81"/>
        <v>2025</v>
      </c>
      <c r="J881" t="b">
        <v>0</v>
      </c>
      <c r="K881" t="s">
        <v>58</v>
      </c>
      <c r="L881">
        <v>1222</v>
      </c>
      <c r="M881">
        <v>32</v>
      </c>
      <c r="N881" t="str">
        <f t="shared" si="83"/>
        <v>Adults</v>
      </c>
      <c r="O881" t="s">
        <v>66</v>
      </c>
      <c r="P881" t="s">
        <v>9</v>
      </c>
    </row>
    <row r="882" spans="1:16" x14ac:dyDescent="0.25">
      <c r="A882">
        <v>1885542</v>
      </c>
      <c r="B882" t="s">
        <v>40</v>
      </c>
      <c r="C882" t="s">
        <v>11</v>
      </c>
      <c r="D882">
        <v>1.2</v>
      </c>
      <c r="E882" t="str">
        <f t="shared" si="78"/>
        <v>Poor</v>
      </c>
      <c r="F882" s="1">
        <v>45314.273611111108</v>
      </c>
      <c r="G882" s="1" t="str">
        <f t="shared" si="79"/>
        <v>Tuesday</v>
      </c>
      <c r="H882" s="1" t="str">
        <f t="shared" si="80"/>
        <v>January</v>
      </c>
      <c r="I882" s="1" t="str">
        <f t="shared" si="81"/>
        <v>2024</v>
      </c>
      <c r="J882" t="b">
        <v>0</v>
      </c>
      <c r="K882" t="s">
        <v>21</v>
      </c>
      <c r="L882">
        <v>1129</v>
      </c>
      <c r="M882">
        <v>13</v>
      </c>
      <c r="N882" t="str">
        <f t="shared" si="83"/>
        <v>Teenagers</v>
      </c>
      <c r="O882" t="s">
        <v>53</v>
      </c>
      <c r="P882" t="s">
        <v>4</v>
      </c>
    </row>
    <row r="883" spans="1:16" x14ac:dyDescent="0.25">
      <c r="A883">
        <v>1720464</v>
      </c>
      <c r="B883" t="s">
        <v>79</v>
      </c>
      <c r="C883" t="s">
        <v>26</v>
      </c>
      <c r="D883">
        <v>4.9000000000000004</v>
      </c>
      <c r="E883" t="str">
        <f t="shared" si="78"/>
        <v>Excellent</v>
      </c>
      <c r="F883" s="1">
        <v>45194.286111111112</v>
      </c>
      <c r="G883" s="1" t="str">
        <f t="shared" si="79"/>
        <v>Monday</v>
      </c>
      <c r="H883" s="1" t="str">
        <f t="shared" si="80"/>
        <v>September</v>
      </c>
      <c r="I883" s="1" t="str">
        <f t="shared" si="81"/>
        <v>2023</v>
      </c>
      <c r="J883" t="b">
        <v>1</v>
      </c>
      <c r="K883" t="s">
        <v>2</v>
      </c>
      <c r="L883">
        <v>633</v>
      </c>
      <c r="M883">
        <v>18</v>
      </c>
      <c r="N883" t="str">
        <f t="shared" si="83"/>
        <v>Adults</v>
      </c>
      <c r="O883" t="s">
        <v>24</v>
      </c>
      <c r="P883" t="s">
        <v>4</v>
      </c>
    </row>
    <row r="884" spans="1:16" x14ac:dyDescent="0.25">
      <c r="A884">
        <v>4351915</v>
      </c>
      <c r="B884" t="s">
        <v>45</v>
      </c>
      <c r="C884" t="s">
        <v>6</v>
      </c>
      <c r="D884">
        <v>3.4</v>
      </c>
      <c r="E884" t="str">
        <f t="shared" si="78"/>
        <v>Very Good</v>
      </c>
      <c r="F884" s="1">
        <v>45490.422222222223</v>
      </c>
      <c r="G884" s="1" t="str">
        <f t="shared" si="79"/>
        <v>Wednesday</v>
      </c>
      <c r="H884" s="1" t="str">
        <f t="shared" si="80"/>
        <v>July</v>
      </c>
      <c r="I884" s="1" t="str">
        <f t="shared" si="81"/>
        <v>2024</v>
      </c>
      <c r="J884" t="b">
        <v>1</v>
      </c>
      <c r="K884" t="s">
        <v>21</v>
      </c>
      <c r="L884">
        <v>655</v>
      </c>
      <c r="M884">
        <v>68</v>
      </c>
      <c r="N884" t="str">
        <f t="shared" si="83"/>
        <v>Seniors</v>
      </c>
      <c r="O884" t="s">
        <v>50</v>
      </c>
      <c r="P884" t="s">
        <v>9</v>
      </c>
    </row>
    <row r="885" spans="1:16" x14ac:dyDescent="0.25">
      <c r="A885">
        <v>6861231</v>
      </c>
      <c r="B885" t="s">
        <v>56</v>
      </c>
      <c r="C885" t="s">
        <v>11</v>
      </c>
      <c r="D885">
        <v>4.7</v>
      </c>
      <c r="E885" t="str">
        <f t="shared" si="78"/>
        <v>Excellent</v>
      </c>
      <c r="F885" s="1">
        <v>45147.086805555555</v>
      </c>
      <c r="G885" s="1" t="str">
        <f t="shared" si="79"/>
        <v>Wednesday</v>
      </c>
      <c r="H885" s="1" t="str">
        <f t="shared" si="80"/>
        <v>August</v>
      </c>
      <c r="I885" s="1" t="str">
        <f t="shared" si="81"/>
        <v>2023</v>
      </c>
      <c r="J885" t="b">
        <v>0</v>
      </c>
      <c r="K885" t="s">
        <v>58</v>
      </c>
      <c r="L885">
        <v>287</v>
      </c>
      <c r="M885">
        <v>26</v>
      </c>
      <c r="N885" t="str">
        <f t="shared" si="83"/>
        <v>Adults</v>
      </c>
      <c r="O885" t="s">
        <v>39</v>
      </c>
      <c r="P885" t="s">
        <v>9</v>
      </c>
    </row>
    <row r="886" spans="1:16" x14ac:dyDescent="0.25">
      <c r="A886">
        <v>2253928</v>
      </c>
      <c r="B886" t="s">
        <v>52</v>
      </c>
      <c r="C886" t="s">
        <v>75</v>
      </c>
      <c r="D886">
        <v>1.7</v>
      </c>
      <c r="E886" t="str">
        <f t="shared" si="78"/>
        <v>Poor</v>
      </c>
      <c r="F886" s="1">
        <v>45599.807638888888</v>
      </c>
      <c r="G886" s="1" t="str">
        <f t="shared" si="79"/>
        <v>Sunday</v>
      </c>
      <c r="H886" s="1" t="str">
        <f t="shared" si="80"/>
        <v>November</v>
      </c>
      <c r="I886" s="1" t="str">
        <f t="shared" si="81"/>
        <v>2024</v>
      </c>
      <c r="J886" t="b">
        <v>0</v>
      </c>
      <c r="K886" t="s">
        <v>7</v>
      </c>
      <c r="L886">
        <v>347</v>
      </c>
      <c r="M886">
        <v>34</v>
      </c>
      <c r="N886" t="str">
        <f t="shared" si="83"/>
        <v>Adults</v>
      </c>
      <c r="O886" t="s">
        <v>44</v>
      </c>
      <c r="P886" t="s">
        <v>4</v>
      </c>
    </row>
    <row r="887" spans="1:16" x14ac:dyDescent="0.25">
      <c r="A887">
        <v>9579965</v>
      </c>
      <c r="B887" t="s">
        <v>67</v>
      </c>
      <c r="C887" t="s">
        <v>6</v>
      </c>
      <c r="D887">
        <v>3.3</v>
      </c>
      <c r="E887" t="str">
        <f t="shared" si="78"/>
        <v>Very Good</v>
      </c>
      <c r="F887" s="1">
        <v>45440.384722222225</v>
      </c>
      <c r="G887" s="1" t="str">
        <f t="shared" si="79"/>
        <v>Tuesday</v>
      </c>
      <c r="H887" s="1" t="str">
        <f t="shared" si="80"/>
        <v>May</v>
      </c>
      <c r="I887" s="1" t="str">
        <f t="shared" si="81"/>
        <v>2024</v>
      </c>
      <c r="J887" t="b">
        <v>1</v>
      </c>
      <c r="K887" t="s">
        <v>15</v>
      </c>
      <c r="L887">
        <v>1053</v>
      </c>
      <c r="M887">
        <v>40</v>
      </c>
      <c r="N887" t="str">
        <f t="shared" si="83"/>
        <v>Adults</v>
      </c>
      <c r="O887" t="s">
        <v>48</v>
      </c>
      <c r="P887" t="s">
        <v>9</v>
      </c>
    </row>
    <row r="888" spans="1:16" x14ac:dyDescent="0.25">
      <c r="A888">
        <v>3440730</v>
      </c>
      <c r="B888" t="s">
        <v>41</v>
      </c>
      <c r="C888" t="s">
        <v>29</v>
      </c>
      <c r="D888">
        <v>1.7</v>
      </c>
      <c r="E888" t="str">
        <f t="shared" si="78"/>
        <v>Poor</v>
      </c>
      <c r="F888" s="1">
        <v>45513.37222222222</v>
      </c>
      <c r="G888" s="1" t="str">
        <f t="shared" si="79"/>
        <v>Friday</v>
      </c>
      <c r="H888" s="1" t="str">
        <f t="shared" si="80"/>
        <v>August</v>
      </c>
      <c r="I888" s="1" t="str">
        <f t="shared" si="81"/>
        <v>2024</v>
      </c>
      <c r="J888" t="b">
        <v>1</v>
      </c>
      <c r="K888" t="s">
        <v>7</v>
      </c>
      <c r="L888">
        <v>467</v>
      </c>
      <c r="M888">
        <v>44</v>
      </c>
      <c r="N888" t="str">
        <f t="shared" si="83"/>
        <v>Adults</v>
      </c>
      <c r="O888" t="s">
        <v>16</v>
      </c>
      <c r="P888" t="s">
        <v>4</v>
      </c>
    </row>
    <row r="889" spans="1:16" x14ac:dyDescent="0.25">
      <c r="A889">
        <v>4278242</v>
      </c>
      <c r="B889" t="s">
        <v>5</v>
      </c>
      <c r="C889" t="s">
        <v>11</v>
      </c>
      <c r="D889">
        <v>1.8</v>
      </c>
      <c r="E889" t="str">
        <f t="shared" si="78"/>
        <v>Poor</v>
      </c>
      <c r="F889" s="1">
        <v>45143.299305555556</v>
      </c>
      <c r="G889" s="1" t="str">
        <f t="shared" si="79"/>
        <v>Saturday</v>
      </c>
      <c r="H889" s="1" t="str">
        <f t="shared" si="80"/>
        <v>August</v>
      </c>
      <c r="I889" s="1" t="str">
        <f t="shared" si="81"/>
        <v>2023</v>
      </c>
      <c r="J889" t="b">
        <v>1</v>
      </c>
      <c r="K889" t="s">
        <v>2</v>
      </c>
      <c r="L889">
        <v>813</v>
      </c>
      <c r="M889">
        <v>46</v>
      </c>
      <c r="N889" t="str">
        <f t="shared" si="83"/>
        <v>Adults</v>
      </c>
      <c r="O889" t="s">
        <v>24</v>
      </c>
      <c r="P889" t="s">
        <v>4</v>
      </c>
    </row>
    <row r="890" spans="1:16" x14ac:dyDescent="0.25">
      <c r="A890">
        <v>3063386</v>
      </c>
      <c r="B890" t="s">
        <v>62</v>
      </c>
      <c r="C890" t="s">
        <v>75</v>
      </c>
      <c r="D890">
        <v>3.7</v>
      </c>
      <c r="E890" t="str">
        <f t="shared" si="78"/>
        <v>Very Good</v>
      </c>
      <c r="F890" s="1">
        <v>45738.867361111108</v>
      </c>
      <c r="G890" s="1" t="str">
        <f t="shared" si="79"/>
        <v>Saturday</v>
      </c>
      <c r="H890" s="1" t="str">
        <f t="shared" si="80"/>
        <v>March</v>
      </c>
      <c r="I890" s="1" t="str">
        <f t="shared" si="81"/>
        <v>2025</v>
      </c>
      <c r="J890" t="b">
        <v>1</v>
      </c>
      <c r="K890" t="s">
        <v>15</v>
      </c>
      <c r="L890">
        <v>486</v>
      </c>
      <c r="M890">
        <v>40</v>
      </c>
      <c r="N890" t="str">
        <f t="shared" si="83"/>
        <v>Adults</v>
      </c>
      <c r="O890" t="s">
        <v>27</v>
      </c>
      <c r="P890" t="s">
        <v>4</v>
      </c>
    </row>
    <row r="891" spans="1:16" x14ac:dyDescent="0.25">
      <c r="A891">
        <v>836094</v>
      </c>
      <c r="B891" t="s">
        <v>64</v>
      </c>
      <c r="C891" t="s">
        <v>14</v>
      </c>
      <c r="D891">
        <v>1.5</v>
      </c>
      <c r="E891" t="str">
        <f t="shared" si="78"/>
        <v>Poor</v>
      </c>
      <c r="F891" s="1">
        <v>45373.663194444445</v>
      </c>
      <c r="G891" s="1" t="str">
        <f t="shared" si="79"/>
        <v>Friday</v>
      </c>
      <c r="H891" s="1" t="str">
        <f t="shared" si="80"/>
        <v>March</v>
      </c>
      <c r="I891" s="1" t="str">
        <f t="shared" si="81"/>
        <v>2024</v>
      </c>
      <c r="J891" t="b">
        <v>1</v>
      </c>
      <c r="K891" t="s">
        <v>2</v>
      </c>
      <c r="L891">
        <v>1150</v>
      </c>
      <c r="M891">
        <v>22</v>
      </c>
      <c r="N891" t="str">
        <f t="shared" si="83"/>
        <v>Adults</v>
      </c>
      <c r="O891" t="s">
        <v>53</v>
      </c>
      <c r="P891" t="s">
        <v>9</v>
      </c>
    </row>
    <row r="892" spans="1:16" x14ac:dyDescent="0.25">
      <c r="A892">
        <v>8423942</v>
      </c>
      <c r="B892" t="s">
        <v>54</v>
      </c>
      <c r="C892" t="s">
        <v>31</v>
      </c>
      <c r="D892">
        <v>4.7</v>
      </c>
      <c r="E892" t="str">
        <f t="shared" si="78"/>
        <v>Excellent</v>
      </c>
      <c r="F892" s="1">
        <v>45423.683333333334</v>
      </c>
      <c r="G892" s="1" t="str">
        <f t="shared" si="79"/>
        <v>Saturday</v>
      </c>
      <c r="H892" s="1" t="str">
        <f t="shared" si="80"/>
        <v>May</v>
      </c>
      <c r="I892" s="1" t="str">
        <f t="shared" si="81"/>
        <v>2024</v>
      </c>
      <c r="J892" t="b">
        <v>0</v>
      </c>
      <c r="K892" t="s">
        <v>21</v>
      </c>
      <c r="L892">
        <v>936</v>
      </c>
      <c r="M892">
        <v>26</v>
      </c>
      <c r="N892" t="str">
        <f t="shared" si="83"/>
        <v>Adults</v>
      </c>
      <c r="O892" t="s">
        <v>53</v>
      </c>
      <c r="P892" t="s">
        <v>4</v>
      </c>
    </row>
    <row r="893" spans="1:16" x14ac:dyDescent="0.25">
      <c r="A893">
        <v>7313757</v>
      </c>
      <c r="B893" t="s">
        <v>79</v>
      </c>
      <c r="C893" t="s">
        <v>20</v>
      </c>
      <c r="D893">
        <v>4.0999999999999996</v>
      </c>
      <c r="E893" t="str">
        <f t="shared" si="78"/>
        <v>Excellent</v>
      </c>
      <c r="F893" s="1">
        <v>45154.829861111109</v>
      </c>
      <c r="G893" s="1" t="str">
        <f t="shared" si="79"/>
        <v>Wednesday</v>
      </c>
      <c r="H893" s="1" t="str">
        <f t="shared" si="80"/>
        <v>August</v>
      </c>
      <c r="I893" s="1" t="str">
        <f t="shared" si="81"/>
        <v>2023</v>
      </c>
      <c r="J893" t="b">
        <v>0</v>
      </c>
      <c r="K893" t="s">
        <v>21</v>
      </c>
      <c r="L893">
        <v>470</v>
      </c>
      <c r="M893">
        <v>30</v>
      </c>
      <c r="N893" t="str">
        <f t="shared" si="83"/>
        <v>Adults</v>
      </c>
      <c r="O893" t="s">
        <v>19</v>
      </c>
      <c r="P893" t="s">
        <v>9</v>
      </c>
    </row>
    <row r="894" spans="1:16" x14ac:dyDescent="0.25">
      <c r="A894">
        <v>2407324</v>
      </c>
      <c r="B894" t="s">
        <v>88</v>
      </c>
      <c r="C894" t="s">
        <v>57</v>
      </c>
      <c r="D894">
        <v>2.6</v>
      </c>
      <c r="E894" t="str">
        <f t="shared" si="78"/>
        <v>Good</v>
      </c>
      <c r="F894" s="1">
        <v>45232.870138888888</v>
      </c>
      <c r="G894" s="1" t="str">
        <f t="shared" si="79"/>
        <v>Thursday</v>
      </c>
      <c r="H894" s="1" t="str">
        <f t="shared" si="80"/>
        <v>November</v>
      </c>
      <c r="I894" s="1" t="str">
        <f t="shared" si="81"/>
        <v>2023</v>
      </c>
      <c r="J894" t="b">
        <v>1</v>
      </c>
      <c r="K894" t="s">
        <v>15</v>
      </c>
      <c r="L894">
        <v>500</v>
      </c>
      <c r="M894">
        <v>45</v>
      </c>
      <c r="N894" t="str">
        <f t="shared" si="83"/>
        <v>Adults</v>
      </c>
      <c r="O894" t="s">
        <v>65</v>
      </c>
      <c r="P894" t="s">
        <v>9</v>
      </c>
    </row>
    <row r="895" spans="1:16" x14ac:dyDescent="0.25">
      <c r="A895">
        <v>2817830</v>
      </c>
      <c r="B895" t="s">
        <v>35</v>
      </c>
      <c r="C895" t="s">
        <v>43</v>
      </c>
      <c r="D895">
        <v>3</v>
      </c>
      <c r="E895" t="str">
        <f t="shared" si="78"/>
        <v>Good</v>
      </c>
      <c r="F895" s="1">
        <v>45169.756944444445</v>
      </c>
      <c r="G895" s="1" t="str">
        <f t="shared" si="79"/>
        <v>Thursday</v>
      </c>
      <c r="H895" s="1" t="str">
        <f t="shared" si="80"/>
        <v>August</v>
      </c>
      <c r="I895" s="1" t="str">
        <f t="shared" si="81"/>
        <v>2023</v>
      </c>
      <c r="J895" t="b">
        <v>1</v>
      </c>
      <c r="K895" t="s">
        <v>58</v>
      </c>
      <c r="L895">
        <v>693</v>
      </c>
      <c r="M895">
        <v>57</v>
      </c>
      <c r="N895" t="str">
        <f t="shared" si="83"/>
        <v>Adults</v>
      </c>
      <c r="O895" t="s">
        <v>66</v>
      </c>
      <c r="P895" t="s">
        <v>4</v>
      </c>
    </row>
    <row r="896" spans="1:16" x14ac:dyDescent="0.25">
      <c r="A896">
        <v>1991674</v>
      </c>
      <c r="B896" t="s">
        <v>5</v>
      </c>
      <c r="C896" t="s">
        <v>57</v>
      </c>
      <c r="D896">
        <v>2.7</v>
      </c>
      <c r="E896" t="str">
        <f t="shared" si="78"/>
        <v>Good</v>
      </c>
      <c r="F896" s="1">
        <v>45546.318055555559</v>
      </c>
      <c r="G896" s="1" t="str">
        <f t="shared" si="79"/>
        <v>Wednesday</v>
      </c>
      <c r="H896" s="1" t="str">
        <f t="shared" si="80"/>
        <v>September</v>
      </c>
      <c r="I896" s="1" t="str">
        <f t="shared" si="81"/>
        <v>2024</v>
      </c>
      <c r="J896" t="b">
        <v>0</v>
      </c>
      <c r="K896" t="s">
        <v>58</v>
      </c>
      <c r="L896">
        <v>697</v>
      </c>
      <c r="M896">
        <v>40</v>
      </c>
      <c r="N896" t="str">
        <f t="shared" si="83"/>
        <v>Adults</v>
      </c>
      <c r="O896" t="s">
        <v>55</v>
      </c>
      <c r="P896" t="s">
        <v>4</v>
      </c>
    </row>
    <row r="897" spans="1:16" x14ac:dyDescent="0.25">
      <c r="A897">
        <v>4560852</v>
      </c>
      <c r="B897" t="s">
        <v>17</v>
      </c>
      <c r="C897" t="s">
        <v>63</v>
      </c>
      <c r="D897">
        <v>4.5</v>
      </c>
      <c r="E897" t="str">
        <f t="shared" si="78"/>
        <v>Excellent</v>
      </c>
      <c r="F897" s="1">
        <v>45510.365277777775</v>
      </c>
      <c r="G897" s="1" t="str">
        <f t="shared" si="79"/>
        <v>Tuesday</v>
      </c>
      <c r="H897" s="1" t="str">
        <f t="shared" si="80"/>
        <v>August</v>
      </c>
      <c r="I897" s="1" t="str">
        <f t="shared" si="81"/>
        <v>2024</v>
      </c>
      <c r="J897" t="b">
        <v>1</v>
      </c>
      <c r="K897" t="s">
        <v>58</v>
      </c>
      <c r="L897">
        <v>522</v>
      </c>
      <c r="M897">
        <v>31</v>
      </c>
      <c r="N897" t="str">
        <f t="shared" si="83"/>
        <v>Adults</v>
      </c>
      <c r="O897" t="s">
        <v>42</v>
      </c>
      <c r="P897" t="s">
        <v>9</v>
      </c>
    </row>
    <row r="898" spans="1:16" x14ac:dyDescent="0.25">
      <c r="A898">
        <v>3692379</v>
      </c>
      <c r="B898" t="s">
        <v>5</v>
      </c>
      <c r="C898" t="s">
        <v>20</v>
      </c>
      <c r="D898">
        <v>4.3</v>
      </c>
      <c r="E898" t="str">
        <f t="shared" ref="E898:E942" si="84">IF(D898&lt;2,"Poor",IF(AND(D898&gt;=2,D898&lt;=3),"Good",IF(AND(D898&gt;3,D898&lt;=4),"Very Good",IF(D898&gt;4,"Excellent"))))</f>
        <v>Excellent</v>
      </c>
      <c r="F898" s="1">
        <v>45215.80972222222</v>
      </c>
      <c r="G898" s="1" t="str">
        <f t="shared" ref="G898:G942" si="85">TEXT(F898,"DDDD")</f>
        <v>Monday</v>
      </c>
      <c r="H898" s="1" t="str">
        <f t="shared" ref="H898:H942" si="86">TEXT(F898,"MMMM")</f>
        <v>October</v>
      </c>
      <c r="I898" s="1" t="str">
        <f t="shared" ref="I898:I942" si="87">TEXT(F898,"YYYY")</f>
        <v>2023</v>
      </c>
      <c r="J898" t="b">
        <v>1</v>
      </c>
      <c r="K898" t="s">
        <v>21</v>
      </c>
      <c r="L898">
        <v>1139</v>
      </c>
      <c r="M898">
        <v>40</v>
      </c>
      <c r="N898" t="str">
        <f t="shared" si="83"/>
        <v>Adults</v>
      </c>
      <c r="O898" t="s">
        <v>37</v>
      </c>
      <c r="P898" t="s">
        <v>9</v>
      </c>
    </row>
    <row r="899" spans="1:16" x14ac:dyDescent="0.25">
      <c r="A899">
        <v>6369347</v>
      </c>
      <c r="B899" t="s">
        <v>76</v>
      </c>
      <c r="C899" t="s">
        <v>1</v>
      </c>
      <c r="D899">
        <v>2.2000000000000002</v>
      </c>
      <c r="E899" t="str">
        <f t="shared" si="84"/>
        <v>Good</v>
      </c>
      <c r="F899" s="1">
        <v>45442.402777777781</v>
      </c>
      <c r="G899" s="1" t="str">
        <f t="shared" si="85"/>
        <v>Thursday</v>
      </c>
      <c r="H899" s="1" t="str">
        <f t="shared" si="86"/>
        <v>May</v>
      </c>
      <c r="I899" s="1" t="str">
        <f t="shared" si="87"/>
        <v>2024</v>
      </c>
      <c r="J899" t="b">
        <v>1</v>
      </c>
      <c r="K899" t="s">
        <v>15</v>
      </c>
      <c r="L899">
        <v>1040</v>
      </c>
      <c r="M899">
        <v>65</v>
      </c>
      <c r="N899" t="str">
        <f t="shared" si="83"/>
        <v>Seniors</v>
      </c>
      <c r="O899" t="s">
        <v>27</v>
      </c>
      <c r="P899" t="s">
        <v>9</v>
      </c>
    </row>
    <row r="900" spans="1:16" x14ac:dyDescent="0.25">
      <c r="A900">
        <v>4599844</v>
      </c>
      <c r="B900" t="s">
        <v>74</v>
      </c>
      <c r="C900" t="s">
        <v>43</v>
      </c>
      <c r="D900">
        <v>4.5999999999999996</v>
      </c>
      <c r="E900" t="str">
        <f t="shared" si="84"/>
        <v>Excellent</v>
      </c>
      <c r="F900" s="1">
        <v>45864.461805555555</v>
      </c>
      <c r="G900" s="1" t="str">
        <f t="shared" si="85"/>
        <v>Saturday</v>
      </c>
      <c r="H900" s="1" t="str">
        <f t="shared" si="86"/>
        <v>July</v>
      </c>
      <c r="I900" s="1" t="str">
        <f t="shared" si="87"/>
        <v>2025</v>
      </c>
      <c r="J900" t="b">
        <v>1</v>
      </c>
      <c r="K900" t="s">
        <v>15</v>
      </c>
      <c r="L900">
        <v>921</v>
      </c>
      <c r="M900">
        <v>52</v>
      </c>
      <c r="N900" t="str">
        <f t="shared" si="83"/>
        <v>Adults</v>
      </c>
      <c r="O900" t="s">
        <v>16</v>
      </c>
      <c r="P900" t="s">
        <v>4</v>
      </c>
    </row>
    <row r="901" spans="1:16" x14ac:dyDescent="0.25">
      <c r="A901">
        <v>4947725</v>
      </c>
      <c r="B901" t="s">
        <v>56</v>
      </c>
      <c r="C901" t="s">
        <v>43</v>
      </c>
      <c r="D901">
        <v>2.2999999999999998</v>
      </c>
      <c r="E901" t="str">
        <f t="shared" si="84"/>
        <v>Good</v>
      </c>
      <c r="F901" s="1">
        <v>45498.260416666664</v>
      </c>
      <c r="G901" s="1" t="str">
        <f t="shared" si="85"/>
        <v>Thursday</v>
      </c>
      <c r="H901" s="1" t="str">
        <f t="shared" si="86"/>
        <v>July</v>
      </c>
      <c r="I901" s="1" t="str">
        <f t="shared" si="87"/>
        <v>2024</v>
      </c>
      <c r="J901" t="b">
        <v>1</v>
      </c>
      <c r="K901" t="s">
        <v>2</v>
      </c>
      <c r="L901">
        <v>1242</v>
      </c>
      <c r="M901">
        <v>52</v>
      </c>
      <c r="N901" t="str">
        <f t="shared" si="83"/>
        <v>Adults</v>
      </c>
      <c r="O901" t="s">
        <v>72</v>
      </c>
      <c r="P901" t="s">
        <v>9</v>
      </c>
    </row>
    <row r="902" spans="1:16" x14ac:dyDescent="0.25">
      <c r="A902">
        <v>9116220</v>
      </c>
      <c r="B902" t="s">
        <v>32</v>
      </c>
      <c r="C902" t="s">
        <v>11</v>
      </c>
      <c r="D902">
        <v>4.5</v>
      </c>
      <c r="E902" t="str">
        <f t="shared" si="84"/>
        <v>Excellent</v>
      </c>
      <c r="F902" s="1">
        <v>45141.415277777778</v>
      </c>
      <c r="G902" s="1" t="str">
        <f t="shared" si="85"/>
        <v>Thursday</v>
      </c>
      <c r="H902" s="1" t="str">
        <f t="shared" si="86"/>
        <v>August</v>
      </c>
      <c r="I902" s="1" t="str">
        <f t="shared" si="87"/>
        <v>2023</v>
      </c>
      <c r="J902" t="b">
        <v>1</v>
      </c>
      <c r="K902" t="s">
        <v>2</v>
      </c>
      <c r="L902">
        <v>981</v>
      </c>
      <c r="M902">
        <v>26</v>
      </c>
      <c r="N902" t="str">
        <f t="shared" si="83"/>
        <v>Adults</v>
      </c>
      <c r="O902" t="s">
        <v>42</v>
      </c>
      <c r="P902" t="s">
        <v>9</v>
      </c>
    </row>
    <row r="903" spans="1:16" x14ac:dyDescent="0.25">
      <c r="A903">
        <v>9302146</v>
      </c>
      <c r="B903" t="s">
        <v>60</v>
      </c>
      <c r="C903" t="s">
        <v>26</v>
      </c>
      <c r="D903">
        <v>2.7</v>
      </c>
      <c r="E903" t="str">
        <f t="shared" si="84"/>
        <v>Good</v>
      </c>
      <c r="F903" s="1">
        <v>45146.533333333333</v>
      </c>
      <c r="G903" s="1" t="str">
        <f t="shared" si="85"/>
        <v>Tuesday</v>
      </c>
      <c r="H903" s="1" t="str">
        <f t="shared" si="86"/>
        <v>August</v>
      </c>
      <c r="I903" s="1" t="str">
        <f t="shared" si="87"/>
        <v>2023</v>
      </c>
      <c r="J903" t="b">
        <v>1</v>
      </c>
      <c r="K903" t="s">
        <v>21</v>
      </c>
      <c r="L903">
        <v>1247</v>
      </c>
      <c r="M903">
        <v>57</v>
      </c>
      <c r="N903" t="str">
        <f t="shared" si="83"/>
        <v>Adults</v>
      </c>
      <c r="O903" t="s">
        <v>48</v>
      </c>
      <c r="P903" t="s">
        <v>9</v>
      </c>
    </row>
    <row r="904" spans="1:16" x14ac:dyDescent="0.25">
      <c r="A904">
        <v>9899907</v>
      </c>
      <c r="B904" t="s">
        <v>62</v>
      </c>
      <c r="C904" t="s">
        <v>29</v>
      </c>
      <c r="D904">
        <v>2.7</v>
      </c>
      <c r="E904" t="str">
        <f t="shared" si="84"/>
        <v>Good</v>
      </c>
      <c r="F904" s="1">
        <v>45263.461111111108</v>
      </c>
      <c r="G904" s="1" t="str">
        <f t="shared" si="85"/>
        <v>Sunday</v>
      </c>
      <c r="H904" s="1" t="str">
        <f t="shared" si="86"/>
        <v>December</v>
      </c>
      <c r="I904" s="1" t="str">
        <f t="shared" si="87"/>
        <v>2023</v>
      </c>
      <c r="J904" t="b">
        <v>1</v>
      </c>
      <c r="K904" t="s">
        <v>21</v>
      </c>
      <c r="L904">
        <v>636</v>
      </c>
      <c r="M904">
        <v>70</v>
      </c>
      <c r="N904" t="str">
        <f t="shared" si="83"/>
        <v>Seniors</v>
      </c>
      <c r="O904" t="s">
        <v>81</v>
      </c>
      <c r="P904" t="s">
        <v>9</v>
      </c>
    </row>
    <row r="905" spans="1:16" x14ac:dyDescent="0.25">
      <c r="A905">
        <v>1397834</v>
      </c>
      <c r="B905" t="s">
        <v>69</v>
      </c>
      <c r="C905" t="s">
        <v>38</v>
      </c>
      <c r="D905">
        <v>3.2</v>
      </c>
      <c r="E905" t="str">
        <f t="shared" si="84"/>
        <v>Very Good</v>
      </c>
      <c r="F905" s="1">
        <v>45605.652083333334</v>
      </c>
      <c r="G905" s="1" t="str">
        <f t="shared" si="85"/>
        <v>Saturday</v>
      </c>
      <c r="H905" s="1" t="str">
        <f t="shared" si="86"/>
        <v>November</v>
      </c>
      <c r="I905" s="1" t="str">
        <f t="shared" si="87"/>
        <v>2024</v>
      </c>
      <c r="J905" t="b">
        <v>0</v>
      </c>
      <c r="K905" t="s">
        <v>15</v>
      </c>
      <c r="L905">
        <v>30</v>
      </c>
      <c r="M905">
        <v>69</v>
      </c>
      <c r="N905" t="str">
        <f t="shared" si="83"/>
        <v>Seniors</v>
      </c>
      <c r="O905" t="s">
        <v>44</v>
      </c>
      <c r="P905" t="s">
        <v>4</v>
      </c>
    </row>
    <row r="906" spans="1:16" x14ac:dyDescent="0.25">
      <c r="A906">
        <v>6026811</v>
      </c>
      <c r="B906" t="s">
        <v>25</v>
      </c>
      <c r="C906" t="s">
        <v>26</v>
      </c>
      <c r="D906">
        <v>3.4</v>
      </c>
      <c r="E906" t="str">
        <f t="shared" si="84"/>
        <v>Very Good</v>
      </c>
      <c r="F906" s="1">
        <v>45340.716666666667</v>
      </c>
      <c r="G906" s="1" t="str">
        <f t="shared" si="85"/>
        <v>Sunday</v>
      </c>
      <c r="H906" s="1" t="str">
        <f t="shared" si="86"/>
        <v>February</v>
      </c>
      <c r="I906" s="1" t="str">
        <f t="shared" si="87"/>
        <v>2024</v>
      </c>
      <c r="J906" t="b">
        <v>1</v>
      </c>
      <c r="K906" t="s">
        <v>21</v>
      </c>
      <c r="L906">
        <v>406</v>
      </c>
      <c r="M906">
        <v>13</v>
      </c>
      <c r="N906" t="str">
        <f t="shared" si="83"/>
        <v>Teenagers</v>
      </c>
      <c r="O906" t="s">
        <v>55</v>
      </c>
      <c r="P906" t="s">
        <v>9</v>
      </c>
    </row>
    <row r="907" spans="1:16" x14ac:dyDescent="0.25">
      <c r="A907">
        <v>2752447</v>
      </c>
      <c r="B907" t="s">
        <v>25</v>
      </c>
      <c r="C907" t="s">
        <v>43</v>
      </c>
      <c r="D907">
        <v>3.7</v>
      </c>
      <c r="E907" t="str">
        <f t="shared" si="84"/>
        <v>Very Good</v>
      </c>
      <c r="F907" s="1">
        <v>45862.791666666664</v>
      </c>
      <c r="G907" s="1" t="str">
        <f t="shared" si="85"/>
        <v>Thursday</v>
      </c>
      <c r="H907" s="1" t="str">
        <f t="shared" si="86"/>
        <v>July</v>
      </c>
      <c r="I907" s="1" t="str">
        <f t="shared" si="87"/>
        <v>2025</v>
      </c>
      <c r="J907" t="b">
        <v>1</v>
      </c>
      <c r="K907" t="s">
        <v>2</v>
      </c>
      <c r="L907">
        <v>957</v>
      </c>
      <c r="M907">
        <v>13</v>
      </c>
      <c r="N907" t="str">
        <f t="shared" si="83"/>
        <v>Teenagers</v>
      </c>
      <c r="O907" t="s">
        <v>68</v>
      </c>
      <c r="P907" t="s">
        <v>4</v>
      </c>
    </row>
    <row r="908" spans="1:16" x14ac:dyDescent="0.25">
      <c r="A908">
        <v>3943470</v>
      </c>
      <c r="B908" t="s">
        <v>5</v>
      </c>
      <c r="C908" t="s">
        <v>75</v>
      </c>
      <c r="D908">
        <v>1.7</v>
      </c>
      <c r="E908" t="str">
        <f t="shared" si="84"/>
        <v>Poor</v>
      </c>
      <c r="F908" s="1">
        <v>45456.918055555558</v>
      </c>
      <c r="G908" s="1" t="str">
        <f t="shared" si="85"/>
        <v>Thursday</v>
      </c>
      <c r="H908" s="1" t="str">
        <f t="shared" si="86"/>
        <v>June</v>
      </c>
      <c r="I908" s="1" t="str">
        <f t="shared" si="87"/>
        <v>2024</v>
      </c>
      <c r="J908" t="b">
        <v>1</v>
      </c>
      <c r="K908" t="s">
        <v>7</v>
      </c>
      <c r="L908">
        <v>860</v>
      </c>
      <c r="M908">
        <v>36</v>
      </c>
      <c r="N908" t="str">
        <f t="shared" si="83"/>
        <v>Adults</v>
      </c>
      <c r="O908" t="s">
        <v>81</v>
      </c>
      <c r="P908" t="s">
        <v>9</v>
      </c>
    </row>
    <row r="909" spans="1:16" x14ac:dyDescent="0.25">
      <c r="A909">
        <v>3051849</v>
      </c>
      <c r="B909" t="s">
        <v>76</v>
      </c>
      <c r="C909" t="s">
        <v>38</v>
      </c>
      <c r="D909">
        <v>1.7</v>
      </c>
      <c r="E909" t="str">
        <f t="shared" si="84"/>
        <v>Poor</v>
      </c>
      <c r="F909" s="1">
        <v>45145.671527777777</v>
      </c>
      <c r="G909" s="1" t="str">
        <f t="shared" si="85"/>
        <v>Monday</v>
      </c>
      <c r="H909" s="1" t="str">
        <f t="shared" si="86"/>
        <v>August</v>
      </c>
      <c r="I909" s="1" t="str">
        <f t="shared" si="87"/>
        <v>2023</v>
      </c>
      <c r="J909" t="b">
        <v>1</v>
      </c>
      <c r="K909" t="s">
        <v>7</v>
      </c>
      <c r="L909">
        <v>250</v>
      </c>
      <c r="M909">
        <v>47</v>
      </c>
      <c r="N909" t="str">
        <f t="shared" si="83"/>
        <v>Adults</v>
      </c>
      <c r="O909" t="s">
        <v>48</v>
      </c>
      <c r="P909" t="s">
        <v>9</v>
      </c>
    </row>
    <row r="910" spans="1:16" x14ac:dyDescent="0.25">
      <c r="A910">
        <v>7857872</v>
      </c>
      <c r="B910" t="s">
        <v>41</v>
      </c>
      <c r="C910" t="s">
        <v>47</v>
      </c>
      <c r="D910">
        <v>4.2</v>
      </c>
      <c r="E910" t="str">
        <f t="shared" si="84"/>
        <v>Excellent</v>
      </c>
      <c r="F910" s="1">
        <v>45641.692361111112</v>
      </c>
      <c r="G910" s="1" t="str">
        <f t="shared" si="85"/>
        <v>Sunday</v>
      </c>
      <c r="H910" s="1" t="str">
        <f t="shared" si="86"/>
        <v>December</v>
      </c>
      <c r="I910" s="1" t="str">
        <f t="shared" si="87"/>
        <v>2024</v>
      </c>
      <c r="J910" t="b">
        <v>1</v>
      </c>
      <c r="K910" t="s">
        <v>58</v>
      </c>
      <c r="L910">
        <v>869</v>
      </c>
      <c r="M910">
        <v>26</v>
      </c>
      <c r="N910" t="str">
        <f t="shared" ref="N910:N937" si="88">IF(M910&lt;=17,"Teenagers", IF(AND(M910&gt;=18,M910&lt;61),"Adults",IF(M910&gt;60,"Seniors")))</f>
        <v>Adults</v>
      </c>
      <c r="O910" t="s">
        <v>50</v>
      </c>
      <c r="P910" t="s">
        <v>4</v>
      </c>
    </row>
    <row r="911" spans="1:16" x14ac:dyDescent="0.25">
      <c r="A911">
        <v>6518497</v>
      </c>
      <c r="B911" t="s">
        <v>40</v>
      </c>
      <c r="C911" t="s">
        <v>36</v>
      </c>
      <c r="D911">
        <v>4.9000000000000004</v>
      </c>
      <c r="E911" t="str">
        <f t="shared" si="84"/>
        <v>Excellent</v>
      </c>
      <c r="F911" s="1">
        <v>45448.976388888892</v>
      </c>
      <c r="G911" s="1" t="str">
        <f t="shared" si="85"/>
        <v>Wednesday</v>
      </c>
      <c r="H911" s="1" t="str">
        <f t="shared" si="86"/>
        <v>June</v>
      </c>
      <c r="I911" s="1" t="str">
        <f t="shared" si="87"/>
        <v>2024</v>
      </c>
      <c r="J911" t="b">
        <v>1</v>
      </c>
      <c r="K911" t="s">
        <v>2</v>
      </c>
      <c r="L911">
        <v>157</v>
      </c>
      <c r="M911">
        <v>35</v>
      </c>
      <c r="N911" t="str">
        <f t="shared" si="88"/>
        <v>Adults</v>
      </c>
      <c r="O911" t="s">
        <v>24</v>
      </c>
      <c r="P911" t="s">
        <v>9</v>
      </c>
    </row>
    <row r="912" spans="1:16" x14ac:dyDescent="0.25">
      <c r="A912">
        <v>1799277</v>
      </c>
      <c r="B912" t="s">
        <v>40</v>
      </c>
      <c r="C912" t="s">
        <v>43</v>
      </c>
      <c r="D912">
        <v>1.4</v>
      </c>
      <c r="E912" t="str">
        <f t="shared" si="84"/>
        <v>Poor</v>
      </c>
      <c r="F912" s="1">
        <v>45864.319444444445</v>
      </c>
      <c r="G912" s="1" t="str">
        <f t="shared" si="85"/>
        <v>Saturday</v>
      </c>
      <c r="H912" s="1" t="str">
        <f t="shared" si="86"/>
        <v>July</v>
      </c>
      <c r="I912" s="1" t="str">
        <f t="shared" si="87"/>
        <v>2025</v>
      </c>
      <c r="J912" t="b">
        <v>1</v>
      </c>
      <c r="K912" t="s">
        <v>21</v>
      </c>
      <c r="L912">
        <v>1005</v>
      </c>
      <c r="M912">
        <v>60</v>
      </c>
      <c r="N912" t="str">
        <f t="shared" si="88"/>
        <v>Adults</v>
      </c>
      <c r="O912" t="s">
        <v>65</v>
      </c>
      <c r="P912" t="s">
        <v>4</v>
      </c>
    </row>
    <row r="913" spans="1:16" x14ac:dyDescent="0.25">
      <c r="A913">
        <v>1236751</v>
      </c>
      <c r="B913" t="s">
        <v>79</v>
      </c>
      <c r="C913" t="s">
        <v>11</v>
      </c>
      <c r="D913">
        <v>4.8</v>
      </c>
      <c r="E913" t="str">
        <f t="shared" si="84"/>
        <v>Excellent</v>
      </c>
      <c r="F913" s="1">
        <v>45412.65902777778</v>
      </c>
      <c r="G913" s="1" t="str">
        <f t="shared" si="85"/>
        <v>Tuesday</v>
      </c>
      <c r="H913" s="1" t="str">
        <f t="shared" si="86"/>
        <v>April</v>
      </c>
      <c r="I913" s="1" t="str">
        <f t="shared" si="87"/>
        <v>2024</v>
      </c>
      <c r="J913" t="b">
        <v>1</v>
      </c>
      <c r="K913" t="s">
        <v>15</v>
      </c>
      <c r="L913">
        <v>1195</v>
      </c>
      <c r="M913">
        <v>67</v>
      </c>
      <c r="N913" t="str">
        <f t="shared" si="88"/>
        <v>Seniors</v>
      </c>
      <c r="O913" t="s">
        <v>44</v>
      </c>
      <c r="P913" t="s">
        <v>9</v>
      </c>
    </row>
    <row r="914" spans="1:16" x14ac:dyDescent="0.25">
      <c r="A914">
        <v>3346044</v>
      </c>
      <c r="B914" t="s">
        <v>51</v>
      </c>
      <c r="C914" t="s">
        <v>57</v>
      </c>
      <c r="D914">
        <v>1.4</v>
      </c>
      <c r="E914" t="str">
        <f t="shared" si="84"/>
        <v>Poor</v>
      </c>
      <c r="F914" s="1">
        <v>45379.927777777775</v>
      </c>
      <c r="G914" s="1" t="str">
        <f t="shared" si="85"/>
        <v>Thursday</v>
      </c>
      <c r="H914" s="1" t="str">
        <f t="shared" si="86"/>
        <v>March</v>
      </c>
      <c r="I914" s="1" t="str">
        <f t="shared" si="87"/>
        <v>2024</v>
      </c>
      <c r="J914" t="b">
        <v>1</v>
      </c>
      <c r="K914" t="s">
        <v>15</v>
      </c>
      <c r="L914">
        <v>691</v>
      </c>
      <c r="M914">
        <v>46</v>
      </c>
      <c r="N914" t="str">
        <f t="shared" si="88"/>
        <v>Adults</v>
      </c>
      <c r="O914" t="s">
        <v>48</v>
      </c>
      <c r="P914" t="s">
        <v>4</v>
      </c>
    </row>
    <row r="915" spans="1:16" x14ac:dyDescent="0.25">
      <c r="A915">
        <v>8279175</v>
      </c>
      <c r="B915" t="s">
        <v>60</v>
      </c>
      <c r="C915" t="s">
        <v>57</v>
      </c>
      <c r="D915">
        <v>2.1</v>
      </c>
      <c r="E915" t="str">
        <f t="shared" si="84"/>
        <v>Good</v>
      </c>
      <c r="F915" s="1">
        <v>45475.515972222223</v>
      </c>
      <c r="G915" s="1" t="str">
        <f t="shared" si="85"/>
        <v>Tuesday</v>
      </c>
      <c r="H915" s="1" t="str">
        <f t="shared" si="86"/>
        <v>July</v>
      </c>
      <c r="I915" s="1" t="str">
        <f t="shared" si="87"/>
        <v>2024</v>
      </c>
      <c r="J915" t="b">
        <v>0</v>
      </c>
      <c r="K915" t="s">
        <v>21</v>
      </c>
      <c r="L915">
        <v>516</v>
      </c>
      <c r="M915">
        <v>13</v>
      </c>
      <c r="N915" t="str">
        <f t="shared" si="88"/>
        <v>Teenagers</v>
      </c>
      <c r="O915" t="s">
        <v>50</v>
      </c>
      <c r="P915" t="s">
        <v>9</v>
      </c>
    </row>
    <row r="916" spans="1:16" x14ac:dyDescent="0.25">
      <c r="A916">
        <v>9293742</v>
      </c>
      <c r="B916" t="s">
        <v>28</v>
      </c>
      <c r="C916" t="s">
        <v>34</v>
      </c>
      <c r="D916">
        <v>2.7</v>
      </c>
      <c r="E916" t="str">
        <f t="shared" si="84"/>
        <v>Good</v>
      </c>
      <c r="F916" s="1">
        <v>45704.848611111112</v>
      </c>
      <c r="G916" s="1" t="str">
        <f t="shared" si="85"/>
        <v>Sunday</v>
      </c>
      <c r="H916" s="1" t="str">
        <f t="shared" si="86"/>
        <v>February</v>
      </c>
      <c r="I916" s="1" t="str">
        <f t="shared" si="87"/>
        <v>2025</v>
      </c>
      <c r="J916" t="b">
        <v>0</v>
      </c>
      <c r="K916" t="s">
        <v>2</v>
      </c>
      <c r="L916">
        <v>89</v>
      </c>
      <c r="M916">
        <v>13</v>
      </c>
      <c r="N916" t="str">
        <f t="shared" si="88"/>
        <v>Teenagers</v>
      </c>
      <c r="O916" t="s">
        <v>22</v>
      </c>
      <c r="P916" t="s">
        <v>9</v>
      </c>
    </row>
    <row r="917" spans="1:16" x14ac:dyDescent="0.25">
      <c r="A917">
        <v>7956881</v>
      </c>
      <c r="B917" t="s">
        <v>33</v>
      </c>
      <c r="C917" t="s">
        <v>6</v>
      </c>
      <c r="D917">
        <v>3.6</v>
      </c>
      <c r="E917" t="str">
        <f t="shared" si="84"/>
        <v>Very Good</v>
      </c>
      <c r="F917" s="1">
        <v>45849.683333333334</v>
      </c>
      <c r="G917" s="1" t="str">
        <f t="shared" si="85"/>
        <v>Friday</v>
      </c>
      <c r="H917" s="1" t="str">
        <f t="shared" si="86"/>
        <v>July</v>
      </c>
      <c r="I917" s="1" t="str">
        <f t="shared" si="87"/>
        <v>2025</v>
      </c>
      <c r="J917" t="b">
        <v>1</v>
      </c>
      <c r="K917" t="s">
        <v>7</v>
      </c>
      <c r="L917">
        <v>663</v>
      </c>
      <c r="M917">
        <v>35</v>
      </c>
      <c r="N917" t="str">
        <f t="shared" si="88"/>
        <v>Adults</v>
      </c>
      <c r="O917" t="s">
        <v>72</v>
      </c>
      <c r="P917" t="s">
        <v>9</v>
      </c>
    </row>
    <row r="918" spans="1:16" x14ac:dyDescent="0.25">
      <c r="A918">
        <v>8379258</v>
      </c>
      <c r="B918" t="s">
        <v>88</v>
      </c>
      <c r="C918" t="s">
        <v>57</v>
      </c>
      <c r="D918">
        <v>3.6</v>
      </c>
      <c r="E918" t="str">
        <f t="shared" si="84"/>
        <v>Very Good</v>
      </c>
      <c r="F918" s="1">
        <v>45227.60833333333</v>
      </c>
      <c r="G918" s="1" t="str">
        <f t="shared" si="85"/>
        <v>Saturday</v>
      </c>
      <c r="H918" s="1" t="str">
        <f t="shared" si="86"/>
        <v>October</v>
      </c>
      <c r="I918" s="1" t="str">
        <f t="shared" si="87"/>
        <v>2023</v>
      </c>
      <c r="J918" t="b">
        <v>1</v>
      </c>
      <c r="K918" t="s">
        <v>21</v>
      </c>
      <c r="L918">
        <v>1247</v>
      </c>
      <c r="M918">
        <v>19</v>
      </c>
      <c r="N918" t="str">
        <f t="shared" si="88"/>
        <v>Adults</v>
      </c>
      <c r="O918" t="s">
        <v>53</v>
      </c>
      <c r="P918" t="s">
        <v>9</v>
      </c>
    </row>
    <row r="919" spans="1:16" x14ac:dyDescent="0.25">
      <c r="A919">
        <v>9994859</v>
      </c>
      <c r="B919" t="s">
        <v>51</v>
      </c>
      <c r="C919" t="s">
        <v>38</v>
      </c>
      <c r="D919">
        <v>2.4</v>
      </c>
      <c r="E919" t="str">
        <f t="shared" si="84"/>
        <v>Good</v>
      </c>
      <c r="F919" s="1">
        <v>45542.811111111114</v>
      </c>
      <c r="G919" s="1" t="str">
        <f t="shared" si="85"/>
        <v>Saturday</v>
      </c>
      <c r="H919" s="1" t="str">
        <f t="shared" si="86"/>
        <v>September</v>
      </c>
      <c r="I919" s="1" t="str">
        <f t="shared" si="87"/>
        <v>2024</v>
      </c>
      <c r="J919" t="b">
        <v>0</v>
      </c>
      <c r="K919" t="s">
        <v>21</v>
      </c>
      <c r="L919">
        <v>45</v>
      </c>
      <c r="M919">
        <v>75</v>
      </c>
      <c r="N919" t="str">
        <f t="shared" si="88"/>
        <v>Seniors</v>
      </c>
      <c r="O919" t="s">
        <v>59</v>
      </c>
      <c r="P919" t="s">
        <v>4</v>
      </c>
    </row>
    <row r="920" spans="1:16" x14ac:dyDescent="0.25">
      <c r="A920">
        <v>1568345</v>
      </c>
      <c r="B920" t="s">
        <v>87</v>
      </c>
      <c r="C920" t="s">
        <v>57</v>
      </c>
      <c r="D920">
        <v>3.3</v>
      </c>
      <c r="E920" t="str">
        <f t="shared" si="84"/>
        <v>Very Good</v>
      </c>
      <c r="F920" s="1">
        <v>45189.320138888892</v>
      </c>
      <c r="G920" s="1" t="str">
        <f t="shared" si="85"/>
        <v>Wednesday</v>
      </c>
      <c r="H920" s="1" t="str">
        <f t="shared" si="86"/>
        <v>September</v>
      </c>
      <c r="I920" s="1" t="str">
        <f t="shared" si="87"/>
        <v>2023</v>
      </c>
      <c r="J920" t="b">
        <v>1</v>
      </c>
      <c r="K920" t="s">
        <v>7</v>
      </c>
      <c r="L920">
        <v>963</v>
      </c>
      <c r="M920">
        <v>29</v>
      </c>
      <c r="N920" t="str">
        <f t="shared" si="88"/>
        <v>Adults</v>
      </c>
      <c r="O920" t="s">
        <v>72</v>
      </c>
      <c r="P920" t="s">
        <v>4</v>
      </c>
    </row>
    <row r="921" spans="1:16" x14ac:dyDescent="0.25">
      <c r="A921">
        <v>717362</v>
      </c>
      <c r="B921" t="s">
        <v>70</v>
      </c>
      <c r="C921" t="s">
        <v>57</v>
      </c>
      <c r="D921">
        <v>5</v>
      </c>
      <c r="E921" t="str">
        <f t="shared" si="84"/>
        <v>Excellent</v>
      </c>
      <c r="F921" s="1">
        <v>45200.59097222222</v>
      </c>
      <c r="G921" s="1" t="str">
        <f t="shared" si="85"/>
        <v>Sunday</v>
      </c>
      <c r="H921" s="1" t="str">
        <f t="shared" si="86"/>
        <v>October</v>
      </c>
      <c r="I921" s="1" t="str">
        <f t="shared" si="87"/>
        <v>2023</v>
      </c>
      <c r="J921" t="b">
        <v>1</v>
      </c>
      <c r="K921" t="s">
        <v>7</v>
      </c>
      <c r="L921">
        <v>1193</v>
      </c>
      <c r="M921">
        <v>58</v>
      </c>
      <c r="N921" t="str">
        <f t="shared" si="88"/>
        <v>Adults</v>
      </c>
      <c r="O921" t="s">
        <v>39</v>
      </c>
      <c r="P921" t="s">
        <v>4</v>
      </c>
    </row>
    <row r="922" spans="1:16" x14ac:dyDescent="0.25">
      <c r="A922">
        <v>5528764</v>
      </c>
      <c r="B922" t="s">
        <v>56</v>
      </c>
      <c r="C922" t="s">
        <v>36</v>
      </c>
      <c r="D922">
        <v>4.0999999999999996</v>
      </c>
      <c r="E922" t="str">
        <f t="shared" si="84"/>
        <v>Excellent</v>
      </c>
      <c r="F922" s="1">
        <v>45682.47152777778</v>
      </c>
      <c r="G922" s="1" t="str">
        <f t="shared" si="85"/>
        <v>Saturday</v>
      </c>
      <c r="H922" s="1" t="str">
        <f t="shared" si="86"/>
        <v>January</v>
      </c>
      <c r="I922" s="1" t="str">
        <f t="shared" si="87"/>
        <v>2025</v>
      </c>
      <c r="J922" t="b">
        <v>1</v>
      </c>
      <c r="K922" t="s">
        <v>58</v>
      </c>
      <c r="L922">
        <v>237</v>
      </c>
      <c r="M922">
        <v>27</v>
      </c>
      <c r="N922" t="str">
        <f t="shared" si="88"/>
        <v>Adults</v>
      </c>
      <c r="O922" t="s">
        <v>72</v>
      </c>
      <c r="P922" t="s">
        <v>9</v>
      </c>
    </row>
    <row r="923" spans="1:16" x14ac:dyDescent="0.25">
      <c r="A923">
        <v>2585842</v>
      </c>
      <c r="B923" t="s">
        <v>71</v>
      </c>
      <c r="C923" t="s">
        <v>38</v>
      </c>
      <c r="D923">
        <v>3.9</v>
      </c>
      <c r="E923" t="str">
        <f t="shared" si="84"/>
        <v>Very Good</v>
      </c>
      <c r="F923" s="1">
        <v>45302.814583333333</v>
      </c>
      <c r="G923" s="1" t="str">
        <f t="shared" si="85"/>
        <v>Thursday</v>
      </c>
      <c r="H923" s="1" t="str">
        <f t="shared" si="86"/>
        <v>January</v>
      </c>
      <c r="I923" s="1" t="str">
        <f t="shared" si="87"/>
        <v>2024</v>
      </c>
      <c r="J923" t="b">
        <v>1</v>
      </c>
      <c r="K923" t="s">
        <v>15</v>
      </c>
      <c r="L923">
        <v>413</v>
      </c>
      <c r="M923">
        <v>23</v>
      </c>
      <c r="N923" t="str">
        <f t="shared" si="88"/>
        <v>Adults</v>
      </c>
      <c r="O923" t="s">
        <v>65</v>
      </c>
      <c r="P923" t="s">
        <v>4</v>
      </c>
    </row>
    <row r="924" spans="1:16" x14ac:dyDescent="0.25">
      <c r="A924">
        <v>5678724</v>
      </c>
      <c r="B924" t="s">
        <v>70</v>
      </c>
      <c r="C924" t="s">
        <v>38</v>
      </c>
      <c r="D924">
        <v>2.4</v>
      </c>
      <c r="E924" t="str">
        <f t="shared" si="84"/>
        <v>Good</v>
      </c>
      <c r="F924" s="1">
        <v>45557.370138888888</v>
      </c>
      <c r="G924" s="1" t="str">
        <f t="shared" si="85"/>
        <v>Sunday</v>
      </c>
      <c r="H924" s="1" t="str">
        <f t="shared" si="86"/>
        <v>September</v>
      </c>
      <c r="I924" s="1" t="str">
        <f t="shared" si="87"/>
        <v>2024</v>
      </c>
      <c r="J924" t="b">
        <v>0</v>
      </c>
      <c r="K924" t="s">
        <v>58</v>
      </c>
      <c r="L924">
        <v>186</v>
      </c>
      <c r="M924">
        <v>67</v>
      </c>
      <c r="N924" t="str">
        <f t="shared" si="88"/>
        <v>Seniors</v>
      </c>
      <c r="O924" t="s">
        <v>65</v>
      </c>
      <c r="P924" t="s">
        <v>4</v>
      </c>
    </row>
    <row r="925" spans="1:16" x14ac:dyDescent="0.25">
      <c r="A925">
        <v>8061083</v>
      </c>
      <c r="B925" t="s">
        <v>71</v>
      </c>
      <c r="C925" t="s">
        <v>34</v>
      </c>
      <c r="D925">
        <v>3.2</v>
      </c>
      <c r="E925" t="str">
        <f t="shared" si="84"/>
        <v>Very Good</v>
      </c>
      <c r="F925" s="1">
        <v>45783.210416666669</v>
      </c>
      <c r="G925" s="1" t="str">
        <f t="shared" si="85"/>
        <v>Tuesday</v>
      </c>
      <c r="H925" s="1" t="str">
        <f t="shared" si="86"/>
        <v>May</v>
      </c>
      <c r="I925" s="1" t="str">
        <f t="shared" si="87"/>
        <v>2025</v>
      </c>
      <c r="J925" t="b">
        <v>1</v>
      </c>
      <c r="K925" t="s">
        <v>58</v>
      </c>
      <c r="L925">
        <v>952</v>
      </c>
      <c r="M925">
        <v>15</v>
      </c>
      <c r="N925" t="str">
        <f t="shared" si="88"/>
        <v>Teenagers</v>
      </c>
      <c r="O925" t="s">
        <v>72</v>
      </c>
      <c r="P925" t="s">
        <v>9</v>
      </c>
    </row>
    <row r="926" spans="1:16" x14ac:dyDescent="0.25">
      <c r="A926">
        <v>7876962</v>
      </c>
      <c r="B926" t="s">
        <v>52</v>
      </c>
      <c r="C926" t="s">
        <v>1</v>
      </c>
      <c r="D926">
        <v>4.7</v>
      </c>
      <c r="E926" t="str">
        <f t="shared" si="84"/>
        <v>Excellent</v>
      </c>
      <c r="F926" s="1">
        <v>45848.884722222225</v>
      </c>
      <c r="G926" s="1" t="str">
        <f t="shared" si="85"/>
        <v>Thursday</v>
      </c>
      <c r="H926" s="1" t="str">
        <f t="shared" si="86"/>
        <v>July</v>
      </c>
      <c r="I926" s="1" t="str">
        <f t="shared" si="87"/>
        <v>2025</v>
      </c>
      <c r="J926" t="b">
        <v>1</v>
      </c>
      <c r="K926" t="s">
        <v>15</v>
      </c>
      <c r="L926">
        <v>879</v>
      </c>
      <c r="M926">
        <v>24</v>
      </c>
      <c r="N926" t="str">
        <f t="shared" si="88"/>
        <v>Adults</v>
      </c>
      <c r="O926" t="s">
        <v>19</v>
      </c>
      <c r="P926" t="s">
        <v>4</v>
      </c>
    </row>
    <row r="927" spans="1:16" x14ac:dyDescent="0.25">
      <c r="A927">
        <v>9694850</v>
      </c>
      <c r="B927" t="s">
        <v>41</v>
      </c>
      <c r="C927" t="s">
        <v>85</v>
      </c>
      <c r="D927">
        <v>2.7</v>
      </c>
      <c r="E927" t="str">
        <f t="shared" si="84"/>
        <v>Good</v>
      </c>
      <c r="F927" s="1">
        <v>45800.773611111108</v>
      </c>
      <c r="G927" s="1" t="str">
        <f t="shared" si="85"/>
        <v>Friday</v>
      </c>
      <c r="H927" s="1" t="str">
        <f t="shared" si="86"/>
        <v>May</v>
      </c>
      <c r="I927" s="1" t="str">
        <f t="shared" si="87"/>
        <v>2025</v>
      </c>
      <c r="J927" t="b">
        <v>1</v>
      </c>
      <c r="K927" t="s">
        <v>21</v>
      </c>
      <c r="L927">
        <v>327</v>
      </c>
      <c r="M927">
        <v>23</v>
      </c>
      <c r="N927" t="str">
        <f t="shared" si="88"/>
        <v>Adults</v>
      </c>
      <c r="O927" t="s">
        <v>39</v>
      </c>
      <c r="P927" t="s">
        <v>4</v>
      </c>
    </row>
    <row r="928" spans="1:16" x14ac:dyDescent="0.25">
      <c r="A928">
        <v>3949916</v>
      </c>
      <c r="B928" t="s">
        <v>82</v>
      </c>
      <c r="C928" t="s">
        <v>18</v>
      </c>
      <c r="D928">
        <v>3.7</v>
      </c>
      <c r="E928" t="str">
        <f t="shared" si="84"/>
        <v>Very Good</v>
      </c>
      <c r="F928" s="1">
        <v>45197.990972222222</v>
      </c>
      <c r="G928" s="1" t="str">
        <f t="shared" si="85"/>
        <v>Thursday</v>
      </c>
      <c r="H928" s="1" t="str">
        <f t="shared" si="86"/>
        <v>September</v>
      </c>
      <c r="I928" s="1" t="str">
        <f t="shared" si="87"/>
        <v>2023</v>
      </c>
      <c r="J928" t="b">
        <v>1</v>
      </c>
      <c r="K928" t="s">
        <v>21</v>
      </c>
      <c r="L928">
        <v>596</v>
      </c>
      <c r="M928">
        <v>71</v>
      </c>
      <c r="N928" t="str">
        <f t="shared" si="88"/>
        <v>Seniors</v>
      </c>
      <c r="O928" t="s">
        <v>16</v>
      </c>
      <c r="P928" t="s">
        <v>9</v>
      </c>
    </row>
    <row r="929" spans="1:16" x14ac:dyDescent="0.25">
      <c r="A929">
        <v>7072202</v>
      </c>
      <c r="B929" t="s">
        <v>84</v>
      </c>
      <c r="C929" t="s">
        <v>11</v>
      </c>
      <c r="D929">
        <v>4.4000000000000004</v>
      </c>
      <c r="E929" t="str">
        <f t="shared" si="84"/>
        <v>Excellent</v>
      </c>
      <c r="F929" s="1">
        <v>45264.599305555559</v>
      </c>
      <c r="G929" s="1" t="str">
        <f t="shared" si="85"/>
        <v>Monday</v>
      </c>
      <c r="H929" s="1" t="str">
        <f t="shared" si="86"/>
        <v>December</v>
      </c>
      <c r="I929" s="1" t="str">
        <f t="shared" si="87"/>
        <v>2023</v>
      </c>
      <c r="J929" t="b">
        <v>1</v>
      </c>
      <c r="K929" t="s">
        <v>7</v>
      </c>
      <c r="L929">
        <v>406</v>
      </c>
      <c r="M929">
        <v>75</v>
      </c>
      <c r="N929" t="str">
        <f t="shared" si="88"/>
        <v>Seniors</v>
      </c>
      <c r="O929" t="s">
        <v>37</v>
      </c>
      <c r="P929" t="s">
        <v>4</v>
      </c>
    </row>
    <row r="930" spans="1:16" x14ac:dyDescent="0.25">
      <c r="A930">
        <v>3524117</v>
      </c>
      <c r="B930" t="s">
        <v>5</v>
      </c>
      <c r="C930" t="s">
        <v>14</v>
      </c>
      <c r="D930">
        <v>4.5999999999999996</v>
      </c>
      <c r="E930" t="str">
        <f t="shared" si="84"/>
        <v>Excellent</v>
      </c>
      <c r="F930" s="1">
        <v>45705.234722222223</v>
      </c>
      <c r="G930" s="1" t="str">
        <f t="shared" si="85"/>
        <v>Monday</v>
      </c>
      <c r="H930" s="1" t="str">
        <f t="shared" si="86"/>
        <v>February</v>
      </c>
      <c r="I930" s="1" t="str">
        <f t="shared" si="87"/>
        <v>2025</v>
      </c>
      <c r="J930" t="b">
        <v>1</v>
      </c>
      <c r="K930" t="s">
        <v>7</v>
      </c>
      <c r="L930">
        <v>389</v>
      </c>
      <c r="M930">
        <v>63</v>
      </c>
      <c r="N930" t="str">
        <f t="shared" si="88"/>
        <v>Seniors</v>
      </c>
      <c r="O930" t="s">
        <v>48</v>
      </c>
      <c r="P930" t="s">
        <v>9</v>
      </c>
    </row>
    <row r="931" spans="1:16" x14ac:dyDescent="0.25">
      <c r="A931">
        <v>9068963</v>
      </c>
      <c r="B931" t="s">
        <v>0</v>
      </c>
      <c r="C931" t="s">
        <v>43</v>
      </c>
      <c r="D931">
        <v>1.1000000000000001</v>
      </c>
      <c r="E931" t="str">
        <f t="shared" si="84"/>
        <v>Poor</v>
      </c>
      <c r="F931" s="1">
        <v>45500.284722222219</v>
      </c>
      <c r="G931" s="1" t="str">
        <f t="shared" si="85"/>
        <v>Saturday</v>
      </c>
      <c r="H931" s="1" t="str">
        <f t="shared" si="86"/>
        <v>July</v>
      </c>
      <c r="I931" s="1" t="str">
        <f t="shared" si="87"/>
        <v>2024</v>
      </c>
      <c r="J931" t="b">
        <v>1</v>
      </c>
      <c r="K931" t="s">
        <v>7</v>
      </c>
      <c r="L931">
        <v>524</v>
      </c>
      <c r="M931">
        <v>50</v>
      </c>
      <c r="N931" t="str">
        <f t="shared" si="88"/>
        <v>Adults</v>
      </c>
      <c r="O931" t="s">
        <v>3</v>
      </c>
      <c r="P931" t="s">
        <v>9</v>
      </c>
    </row>
    <row r="932" spans="1:16" x14ac:dyDescent="0.25">
      <c r="A932">
        <v>2148456</v>
      </c>
      <c r="B932" t="s">
        <v>89</v>
      </c>
      <c r="C932" t="s">
        <v>43</v>
      </c>
      <c r="D932">
        <v>3.9</v>
      </c>
      <c r="E932" t="str">
        <f t="shared" si="84"/>
        <v>Very Good</v>
      </c>
      <c r="F932" s="1">
        <v>45512.669444444444</v>
      </c>
      <c r="G932" s="1" t="str">
        <f t="shared" si="85"/>
        <v>Thursday</v>
      </c>
      <c r="H932" s="1" t="str">
        <f t="shared" si="86"/>
        <v>August</v>
      </c>
      <c r="I932" s="1" t="str">
        <f t="shared" si="87"/>
        <v>2024</v>
      </c>
      <c r="J932" t="b">
        <v>0</v>
      </c>
      <c r="K932" t="s">
        <v>2</v>
      </c>
      <c r="L932">
        <v>592</v>
      </c>
      <c r="M932">
        <v>16</v>
      </c>
      <c r="N932" t="str">
        <f t="shared" si="88"/>
        <v>Teenagers</v>
      </c>
      <c r="O932" t="s">
        <v>86</v>
      </c>
      <c r="P932" t="s">
        <v>9</v>
      </c>
    </row>
    <row r="933" spans="1:16" x14ac:dyDescent="0.25">
      <c r="A933">
        <v>4769108</v>
      </c>
      <c r="B933" t="s">
        <v>64</v>
      </c>
      <c r="C933" t="s">
        <v>14</v>
      </c>
      <c r="D933">
        <v>2.8</v>
      </c>
      <c r="E933" t="str">
        <f t="shared" si="84"/>
        <v>Good</v>
      </c>
      <c r="F933" s="1">
        <v>45748.991666666669</v>
      </c>
      <c r="G933" s="1" t="str">
        <f t="shared" si="85"/>
        <v>Tuesday</v>
      </c>
      <c r="H933" s="1" t="str">
        <f t="shared" si="86"/>
        <v>April</v>
      </c>
      <c r="I933" s="1" t="str">
        <f t="shared" si="87"/>
        <v>2025</v>
      </c>
      <c r="J933" t="b">
        <v>1</v>
      </c>
      <c r="K933" t="s">
        <v>7</v>
      </c>
      <c r="L933">
        <v>79</v>
      </c>
      <c r="M933">
        <v>37</v>
      </c>
      <c r="N933" t="str">
        <f t="shared" si="88"/>
        <v>Adults</v>
      </c>
      <c r="O933" t="s">
        <v>53</v>
      </c>
      <c r="P933" t="s">
        <v>9</v>
      </c>
    </row>
    <row r="934" spans="1:16" x14ac:dyDescent="0.25">
      <c r="A934">
        <v>6077035</v>
      </c>
      <c r="B934" t="s">
        <v>51</v>
      </c>
      <c r="C934" t="s">
        <v>57</v>
      </c>
      <c r="D934">
        <v>2.1</v>
      </c>
      <c r="E934" t="str">
        <f t="shared" si="84"/>
        <v>Good</v>
      </c>
      <c r="F934" s="1">
        <v>45751.712500000001</v>
      </c>
      <c r="G934" s="1" t="str">
        <f t="shared" si="85"/>
        <v>Friday</v>
      </c>
      <c r="H934" s="1" t="str">
        <f t="shared" si="86"/>
        <v>April</v>
      </c>
      <c r="I934" s="1" t="str">
        <f t="shared" si="87"/>
        <v>2025</v>
      </c>
      <c r="J934" t="b">
        <v>1</v>
      </c>
      <c r="K934" t="s">
        <v>15</v>
      </c>
      <c r="L934">
        <v>937</v>
      </c>
      <c r="M934">
        <v>43</v>
      </c>
      <c r="N934" t="str">
        <f t="shared" si="88"/>
        <v>Adults</v>
      </c>
      <c r="O934" t="s">
        <v>16</v>
      </c>
      <c r="P934" t="s">
        <v>4</v>
      </c>
    </row>
    <row r="935" spans="1:16" x14ac:dyDescent="0.25">
      <c r="A935">
        <v>3275929</v>
      </c>
      <c r="B935" t="s">
        <v>84</v>
      </c>
      <c r="C935" t="s">
        <v>47</v>
      </c>
      <c r="D935">
        <v>1.6</v>
      </c>
      <c r="E935" t="str">
        <f t="shared" si="84"/>
        <v>Poor</v>
      </c>
      <c r="F935" s="1">
        <v>45562.428472222222</v>
      </c>
      <c r="G935" s="1" t="str">
        <f t="shared" si="85"/>
        <v>Friday</v>
      </c>
      <c r="H935" s="1" t="str">
        <f t="shared" si="86"/>
        <v>September</v>
      </c>
      <c r="I935" s="1" t="str">
        <f t="shared" si="87"/>
        <v>2024</v>
      </c>
      <c r="J935" t="b">
        <v>1</v>
      </c>
      <c r="K935" t="s">
        <v>2</v>
      </c>
      <c r="L935">
        <v>297</v>
      </c>
      <c r="M935">
        <v>33</v>
      </c>
      <c r="N935" t="str">
        <f t="shared" si="88"/>
        <v>Adults</v>
      </c>
      <c r="O935" t="s">
        <v>27</v>
      </c>
      <c r="P935" t="s">
        <v>9</v>
      </c>
    </row>
    <row r="936" spans="1:16" x14ac:dyDescent="0.25">
      <c r="A936">
        <v>405807</v>
      </c>
      <c r="B936" t="s">
        <v>69</v>
      </c>
      <c r="C936" t="s">
        <v>31</v>
      </c>
      <c r="D936">
        <v>2.2999999999999998</v>
      </c>
      <c r="E936" t="str">
        <f t="shared" si="84"/>
        <v>Good</v>
      </c>
      <c r="F936" s="1">
        <v>45846.410416666666</v>
      </c>
      <c r="G936" s="1" t="str">
        <f t="shared" si="85"/>
        <v>Tuesday</v>
      </c>
      <c r="H936" s="1" t="str">
        <f t="shared" si="86"/>
        <v>July</v>
      </c>
      <c r="I936" s="1" t="str">
        <f t="shared" si="87"/>
        <v>2025</v>
      </c>
      <c r="J936" t="b">
        <v>0</v>
      </c>
      <c r="K936" t="s">
        <v>15</v>
      </c>
      <c r="L936">
        <v>480</v>
      </c>
      <c r="M936">
        <v>39</v>
      </c>
      <c r="N936" t="str">
        <f t="shared" si="88"/>
        <v>Adults</v>
      </c>
      <c r="O936" t="s">
        <v>16</v>
      </c>
      <c r="P936" t="s">
        <v>9</v>
      </c>
    </row>
    <row r="937" spans="1:16" x14ac:dyDescent="0.25">
      <c r="A937">
        <v>1549957</v>
      </c>
      <c r="B937" t="s">
        <v>89</v>
      </c>
      <c r="C937" t="s">
        <v>1</v>
      </c>
      <c r="D937">
        <v>1.5</v>
      </c>
      <c r="E937" t="str">
        <f t="shared" si="84"/>
        <v>Poor</v>
      </c>
      <c r="F937" s="1">
        <v>45739.644444444442</v>
      </c>
      <c r="G937" s="1" t="str">
        <f t="shared" si="85"/>
        <v>Sunday</v>
      </c>
      <c r="H937" s="1" t="str">
        <f t="shared" si="86"/>
        <v>March</v>
      </c>
      <c r="I937" s="1" t="str">
        <f t="shared" si="87"/>
        <v>2025</v>
      </c>
      <c r="J937" t="b">
        <v>1</v>
      </c>
      <c r="K937" t="s">
        <v>21</v>
      </c>
      <c r="L937">
        <v>925</v>
      </c>
      <c r="M937">
        <v>73</v>
      </c>
      <c r="N937" t="str">
        <f t="shared" si="88"/>
        <v>Seniors</v>
      </c>
      <c r="O937" t="s">
        <v>37</v>
      </c>
      <c r="P937" t="s">
        <v>9</v>
      </c>
    </row>
    <row r="938" spans="1:16" x14ac:dyDescent="0.25">
      <c r="A938">
        <v>2397127</v>
      </c>
      <c r="B938" t="s">
        <v>69</v>
      </c>
      <c r="C938" t="s">
        <v>75</v>
      </c>
      <c r="D938">
        <v>3</v>
      </c>
      <c r="E938" t="str">
        <f t="shared" si="84"/>
        <v>Good</v>
      </c>
      <c r="F938" s="1">
        <v>45679.404861111114</v>
      </c>
      <c r="G938" s="1" t="str">
        <f t="shared" si="85"/>
        <v>Wednesday</v>
      </c>
      <c r="H938" s="1" t="str">
        <f t="shared" si="86"/>
        <v>January</v>
      </c>
      <c r="I938" s="1" t="str">
        <f t="shared" si="87"/>
        <v>2025</v>
      </c>
      <c r="J938" t="b">
        <v>1</v>
      </c>
      <c r="K938" t="s">
        <v>58</v>
      </c>
      <c r="L938">
        <v>1010</v>
      </c>
      <c r="M938">
        <v>13</v>
      </c>
      <c r="N938" t="str">
        <f t="shared" ref="N938:N942" si="89">IF(M938&lt;=17,"Teenagers", IF(AND(M938&gt;=18,M938&lt;61),"Adults",IF(M938&gt;60,"Seniors")))</f>
        <v>Teenagers</v>
      </c>
      <c r="O938" t="s">
        <v>50</v>
      </c>
      <c r="P938" t="s">
        <v>4</v>
      </c>
    </row>
    <row r="939" spans="1:16" x14ac:dyDescent="0.25">
      <c r="A939">
        <v>8907272</v>
      </c>
      <c r="B939" t="s">
        <v>32</v>
      </c>
      <c r="C939" t="s">
        <v>11</v>
      </c>
      <c r="D939">
        <v>1.9</v>
      </c>
      <c r="E939" t="str">
        <f t="shared" si="84"/>
        <v>Poor</v>
      </c>
      <c r="F939" s="1">
        <v>45591.107638888891</v>
      </c>
      <c r="G939" s="1" t="str">
        <f t="shared" si="85"/>
        <v>Saturday</v>
      </c>
      <c r="H939" s="1" t="str">
        <f t="shared" si="86"/>
        <v>October</v>
      </c>
      <c r="I939" s="1" t="str">
        <f t="shared" si="87"/>
        <v>2024</v>
      </c>
      <c r="J939" t="b">
        <v>1</v>
      </c>
      <c r="K939" t="s">
        <v>21</v>
      </c>
      <c r="L939">
        <v>1219</v>
      </c>
      <c r="M939">
        <v>54</v>
      </c>
      <c r="N939" t="str">
        <f t="shared" si="89"/>
        <v>Adults</v>
      </c>
      <c r="O939" t="s">
        <v>77</v>
      </c>
      <c r="P939" t="s">
        <v>9</v>
      </c>
    </row>
    <row r="940" spans="1:16" x14ac:dyDescent="0.25">
      <c r="A940">
        <v>1893332</v>
      </c>
      <c r="B940" t="s">
        <v>83</v>
      </c>
      <c r="C940" t="s">
        <v>20</v>
      </c>
      <c r="D940">
        <v>2.1</v>
      </c>
      <c r="E940" t="str">
        <f t="shared" si="84"/>
        <v>Good</v>
      </c>
      <c r="F940" s="1">
        <v>45344.152083333334</v>
      </c>
      <c r="G940" s="1" t="str">
        <f t="shared" si="85"/>
        <v>Thursday</v>
      </c>
      <c r="H940" s="1" t="str">
        <f t="shared" si="86"/>
        <v>February</v>
      </c>
      <c r="I940" s="1" t="str">
        <f t="shared" si="87"/>
        <v>2024</v>
      </c>
      <c r="J940" t="b">
        <v>1</v>
      </c>
      <c r="K940" t="s">
        <v>58</v>
      </c>
      <c r="L940">
        <v>346</v>
      </c>
      <c r="M940">
        <v>59</v>
      </c>
      <c r="N940" t="str">
        <f t="shared" si="89"/>
        <v>Adults</v>
      </c>
      <c r="O940" t="s">
        <v>8</v>
      </c>
      <c r="P940" t="s">
        <v>9</v>
      </c>
    </row>
    <row r="941" spans="1:16" x14ac:dyDescent="0.25">
      <c r="A941">
        <v>9515213</v>
      </c>
      <c r="B941" t="s">
        <v>23</v>
      </c>
      <c r="C941" t="s">
        <v>20</v>
      </c>
      <c r="D941">
        <v>4.2</v>
      </c>
      <c r="E941" t="str">
        <f t="shared" si="84"/>
        <v>Excellent</v>
      </c>
      <c r="F941" s="1">
        <v>45834.063888888886</v>
      </c>
      <c r="G941" s="1" t="str">
        <f t="shared" si="85"/>
        <v>Thursday</v>
      </c>
      <c r="H941" s="1" t="str">
        <f t="shared" si="86"/>
        <v>June</v>
      </c>
      <c r="I941" s="1" t="str">
        <f t="shared" si="87"/>
        <v>2025</v>
      </c>
      <c r="J941" t="b">
        <v>1</v>
      </c>
      <c r="K941" t="s">
        <v>7</v>
      </c>
      <c r="L941">
        <v>1179</v>
      </c>
      <c r="M941">
        <v>70</v>
      </c>
      <c r="N941" t="str">
        <f t="shared" si="89"/>
        <v>Seniors</v>
      </c>
      <c r="O941" t="s">
        <v>68</v>
      </c>
      <c r="P941" t="s">
        <v>4</v>
      </c>
    </row>
    <row r="942" spans="1:16" x14ac:dyDescent="0.25">
      <c r="A942">
        <v>1475880</v>
      </c>
      <c r="B942" t="s">
        <v>89</v>
      </c>
      <c r="C942" t="s">
        <v>31</v>
      </c>
      <c r="D942">
        <v>4.0999999999999996</v>
      </c>
      <c r="E942" t="str">
        <f t="shared" si="84"/>
        <v>Excellent</v>
      </c>
      <c r="F942" s="1">
        <v>45398.352083333331</v>
      </c>
      <c r="G942" s="1" t="str">
        <f t="shared" si="85"/>
        <v>Tuesday</v>
      </c>
      <c r="H942" s="1" t="str">
        <f t="shared" si="86"/>
        <v>April</v>
      </c>
      <c r="I942" s="1" t="str">
        <f t="shared" si="87"/>
        <v>2024</v>
      </c>
      <c r="J942" t="b">
        <v>1</v>
      </c>
      <c r="K942" t="s">
        <v>7</v>
      </c>
      <c r="L942">
        <v>621</v>
      </c>
      <c r="M942">
        <v>29</v>
      </c>
      <c r="N942" t="str">
        <f t="shared" si="89"/>
        <v>Adults</v>
      </c>
      <c r="O942" t="s">
        <v>12</v>
      </c>
      <c r="P942" t="s">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Unique Count of Apps</vt:lpstr>
      <vt:lpstr>App usage by Count</vt:lpstr>
      <vt:lpstr>App Reviews by Day</vt:lpstr>
      <vt:lpstr>App Review by Month </vt:lpstr>
      <vt:lpstr>Reviews by Year</vt:lpstr>
      <vt:lpstr>App Usage by Age Class</vt:lpstr>
      <vt:lpstr> Rating by App Name</vt:lpstr>
      <vt:lpstr>App Usage by Category</vt:lpstr>
      <vt:lpstr>App Usage by Gender</vt:lpstr>
      <vt:lpstr>App Usage by Country</vt:lpstr>
      <vt:lpstr>DASHBOARD</vt:lpstr>
      <vt:lpstr>Multilingual_Mobile_App_Reviews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COUNSELOR</dc:creator>
  <cp:lastModifiedBy>Mfoniso Ekong</cp:lastModifiedBy>
  <dcterms:modified xsi:type="dcterms:W3CDTF">2026-01-14T00:13:56Z</dcterms:modified>
</cp:coreProperties>
</file>